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xlganttTabId001" Type="http://schemas.microsoft.com/office/2006/relationships/ui/extensibility" Target="customUI/customUI.xml"/><Relationship Id="rId2" Type="http://schemas.microsoft.com/office/2006/relationships/ui/userCustomization" Target="NUL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729" codeName="{B6124F1A-AFFB-F854-7757-9A1D4C6FC43C}"/>
  <workbookPr codeName="ThisWorkbook"/>
  <mc:AlternateContent xmlns:mc="http://schemas.openxmlformats.org/markup-compatibility/2006">
    <mc:Choice Requires="x15">
      <x15ac:absPath xmlns:x15ac="http://schemas.microsoft.com/office/spreadsheetml/2010/11/ac" url="C:\Users\COCONUT\Documents\BadGuys_2022\Plan\"/>
    </mc:Choice>
  </mc:AlternateContent>
  <xr:revisionPtr revIDLastSave="0" documentId="13_ncr:1_{A8140E13-5945-4DBB-8DA6-319BC5615DC0}" xr6:coauthVersionLast="47" xr6:coauthVersionMax="47" xr10:uidLastSave="{00000000-0000-0000-0000-000000000000}"/>
  <bookViews>
    <workbookView xWindow="-120" yWindow="-120" windowWidth="29040" windowHeight="15840" tabRatio="453" firstSheet="1" activeTab="2" xr2:uid="{00000000-000D-0000-FFFF-FFFF00000000}"/>
  </bookViews>
  <sheets>
    <sheet name="Settings" sheetId="6" state="veryHidden" r:id="rId1"/>
    <sheet name="Help" sheetId="9" r:id="rId2"/>
    <sheet name="Schedule" sheetId="2" r:id="rId3"/>
    <sheet name="Progress" sheetId="3" r:id="rId4"/>
    <sheet name="AnalysisReport" sheetId="4" r:id="rId5"/>
    <sheet name="Calendar" sheetId="5" r:id="rId6"/>
    <sheet name="TranslatedLanguages" sheetId="7" state="hidden" r:id="rId7"/>
    <sheet name="Workload" sheetId="8" r:id="rId8"/>
    <sheet name="ServerData" sheetId="18" r:id="rId9"/>
  </sheets>
  <functionGroups builtInGroupCount="19"/>
  <definedNames>
    <definedName name="_xlnm._FilterDatabase" localSheetId="2" hidden="1">Schedule!$P$3:$AB$4</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_xlnm.Print_Area" localSheetId="2">Schedule!$D$1:$AY$73</definedName>
    <definedName name="RATE_GAP">Progress!$B$24</definedName>
    <definedName name="RNG_ACTUAL_END_DATE_COL_NAME">Schedule!$X$3</definedName>
    <definedName name="RNG_ACTUAL_RATE_COL_NAME">Schedule!$AE$3</definedName>
    <definedName name="RNG_ACTUAL_START_DATE_COL_NAME">Schedule!$W$3</definedName>
    <definedName name="RNG_ACTUAL_TOTAL_DURATION_COL_NAME">Schedule!$Z$3</definedName>
    <definedName name="RNG_ACTUAL_TOTAL_WORKLOAD_COL_NAME">Schedule!$Y$3</definedName>
    <definedName name="RNG_CALENDAR_COL_NAME">Schedule!$R$3</definedName>
    <definedName name="RNG_DELIVERABLES_COL_NAME">Schedule!$AC$3</definedName>
    <definedName name="RNG_END_DATE_COL_NAME">Schedule!$Q$3</definedName>
    <definedName name="RNG_ETC_COL_NAME">Schedule!$O$3</definedName>
    <definedName name="RNG_GANTT_AREA_FIRST_COL_NAME">Schedule!$AF$4</definedName>
    <definedName name="RNG_PLAN_DURATION_COL_NAME">Schedule!$V$3</definedName>
    <definedName name="RNG_PLAN_RATE_COL_NAME">Schedule!$AD$3</definedName>
    <definedName name="RNG_PLAN_WORKLOAD_COL_NAME">Schedule!$T$3</definedName>
    <definedName name="RNG_RESOURCE_COL_NAME">Schedule!$AB$3</definedName>
    <definedName name="RNG_RESOURCE_WEIGHT_COL_NAME">Schedule!$AA$3</definedName>
    <definedName name="RNG_START_DATE_COL_NAME">Schedule!$P$3</definedName>
    <definedName name="RNG_TASK_FIRST_COL_NAME">Schedule!$E$3</definedName>
    <definedName name="RNG_TOTAL_DURATION_COL_NAME">Schedule!$U$3</definedName>
    <definedName name="RNG_TOTAL_WORKLOAD_COL_NAME">Schedule!$S$3</definedName>
    <definedName name="RNG_WBS_AREA_LAST_COL_NAME">Schedule!$AE$3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2" hidden="1">Schedule!$E$4:$W$4</definedName>
    <definedName name="Z_0A64F8D9_59E4_4471_A54B_AB6085820F8B_.wvu.FilterData" localSheetId="2" hidden="1">Schedule!$E$4:$W$4</definedName>
    <definedName name="Z_0A64F8D9_59E4_4471_A54B_AB6085820F8B_.wvu.PrintArea" localSheetId="2" hidden="1">Schedule!$E$4:$AE$4</definedName>
    <definedName name="Z_0B810681_CC81_4141_9F16_24B3FD4F0FB8_.wvu.FilterData" localSheetId="2" hidden="1">Schedule!$E$4:$W$4</definedName>
    <definedName name="Z_0B810681_CC81_4141_9F16_24B3FD4F0FB8_.wvu.PrintArea" localSheetId="2" hidden="1">Schedule!$E$4:$AE$4</definedName>
    <definedName name="Z_45F170B6_3544_43F8_BFC7_D657B723AABC_.wvu.FilterData" localSheetId="2" hidden="1">Schedule!$E$4:$W$4</definedName>
    <definedName name="Z_45F170B6_3544_43F8_BFC7_D657B723AABC_.wvu.PrintArea" localSheetId="2" hidden="1">Schedule!$E$4:$AE$4</definedName>
    <definedName name="Z_6C04A49A_6140_42F5_B660_358F3428D555_.wvu.FilterData" localSheetId="2" hidden="1">Schedule!$E$4:$W$4</definedName>
    <definedName name="Z_6C04A49A_6140_42F5_B660_358F3428D555_.wvu.PrintArea" localSheetId="2" hidden="1">Schedule!$E$4:$AE$4</definedName>
    <definedName name="Z_717B341C_ADF7_4494_8FE3_F9159C14788B_.wvu.FilterData" localSheetId="2" hidden="1">Schedule!$E$4:$W$4</definedName>
    <definedName name="Z_96DEAA77_2828_4E97_975A_CF93EF5D9712_.wvu.FilterData" localSheetId="2" hidden="1">Schedule!$E$4:$W$4</definedName>
    <definedName name="Z_AF9F6769_16BA_4444_B539_537212F9672A_.wvu.FilterData" localSheetId="2" hidden="1">Schedule!$E$4:$W$4</definedName>
    <definedName name="Z_AF9F6769_16BA_4444_B539_537212F9672A_.wvu.PrintArea" localSheetId="2" hidden="1">Schedule!$E$4:$AE$4</definedName>
    <definedName name="Z_B0AA3114_3257_4D99_8E15_F0A183B56293_.wvu.FilterData" localSheetId="2" hidden="1">Schedule!$E$4:$W$4</definedName>
    <definedName name="Z_B4798534_C27D_422C_BD87_0A71D9C8BAA9_.wvu.FilterData" localSheetId="2" hidden="1">Schedule!$E$4:$W$4</definedName>
    <definedName name="Z_C7B87852_3417_4B82_AD8F_04929FC46960_.wvu.FilterData" localSheetId="2" hidden="1">Schedule!$E$4:$W$4</definedName>
    <definedName name="Z_CD147E05_78AB_4F1A_996E_7FAB0BB4629B_.wvu.FilterData" localSheetId="2" hidden="1">Schedule!$E$4:$W$4</definedName>
    <definedName name="Z_F8F33EAC_6737_4237_A48D_05833D89E8C9_.wvu.FilterData" localSheetId="2" hidden="1">Schedule!$E$4:$W$4</definedName>
    <definedName name="Z_F8F33EAC_6737_4237_A48D_05833D89E8C9_.wvu.PrintArea" localSheetId="2" hidden="1">Schedule!$E$4:$AE$4</definedName>
    <definedName name="Z_FA644498_2FA7_4E23_AA15_463455A1D2EE_.wvu.FilterData" localSheetId="2" hidden="1">Schedule!$E$4:$W$4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L5" i="2" l="1"/>
  <c r="AM6" i="2"/>
  <c r="AM7" i="2"/>
  <c r="AK8" i="2"/>
  <c r="AJ9" i="2"/>
  <c r="AK10" i="2"/>
  <c r="AJ11" i="2"/>
  <c r="AK12" i="2"/>
  <c r="AK13" i="2"/>
  <c r="AK14" i="2"/>
  <c r="AL15" i="2"/>
  <c r="AL16" i="2"/>
  <c r="AM17" i="2"/>
  <c r="AM18" i="2"/>
  <c r="AL19" i="2"/>
  <c r="AK20" i="2"/>
  <c r="AL21" i="2"/>
  <c r="AL22" i="2"/>
  <c r="AM23" i="2"/>
  <c r="AL24" i="2"/>
  <c r="AL25" i="2"/>
  <c r="AM26" i="2"/>
  <c r="AL27" i="2"/>
  <c r="AL28" i="2"/>
  <c r="AL29" i="2"/>
  <c r="AN30" i="2"/>
  <c r="AN31" i="2"/>
  <c r="AM32" i="2"/>
  <c r="AM33" i="2"/>
  <c r="AM34" i="2"/>
  <c r="AM35" i="2"/>
  <c r="AF36" i="2"/>
  <c r="AF37" i="2"/>
  <c r="AF38" i="2"/>
  <c r="AF39" i="2"/>
  <c r="AL44" i="2"/>
  <c r="AM45" i="2"/>
  <c r="AM46" i="2"/>
  <c r="AM47" i="2"/>
  <c r="AM48" i="2"/>
  <c r="AM49" i="2"/>
  <c r="AL55" i="2"/>
  <c r="AL56" i="2"/>
  <c r="AL57" i="2"/>
  <c r="AL58" i="2"/>
  <c r="AK59" i="2"/>
  <c r="AK60" i="2"/>
  <c r="AN60" i="2"/>
  <c r="AK61" i="2"/>
  <c r="AN61" i="2"/>
  <c r="AK62" i="2"/>
  <c r="AN62" i="2"/>
  <c r="AK63" i="2"/>
  <c r="AK64" i="2"/>
  <c r="AJ65" i="2"/>
  <c r="AM66" i="2"/>
  <c r="AM67" i="2"/>
  <c r="AM68" i="2"/>
  <c r="AM69" i="2"/>
  <c r="AM70" i="2"/>
  <c r="AL71" i="2"/>
  <c r="AL72" i="2"/>
  <c r="AK73" i="2"/>
  <c r="L50" i="4" l="1"/>
  <c r="L48" i="4"/>
  <c r="L47" i="4"/>
  <c r="L46" i="4"/>
  <c r="L45" i="4"/>
  <c r="L44" i="4"/>
  <c r="L42" i="4"/>
  <c r="L40" i="4"/>
  <c r="L39" i="4"/>
  <c r="L38" i="4"/>
  <c r="L36" i="4"/>
  <c r="L34" i="4"/>
  <c r="L32" i="4"/>
  <c r="L31" i="4"/>
  <c r="L29" i="4"/>
  <c r="L28" i="4"/>
  <c r="L27" i="4"/>
  <c r="L26" i="4"/>
  <c r="L25" i="4"/>
  <c r="L24" i="4"/>
  <c r="L23" i="4"/>
  <c r="L22" i="4"/>
  <c r="L21" i="4"/>
  <c r="L20" i="4"/>
  <c r="L19" i="4"/>
  <c r="L18" i="4"/>
  <c r="L17" i="4"/>
  <c r="L16" i="4"/>
  <c r="L15" i="4"/>
  <c r="L14" i="4"/>
  <c r="L13" i="4"/>
  <c r="L12" i="4"/>
  <c r="L11" i="4"/>
  <c r="L10" i="4"/>
  <c r="L9" i="4"/>
  <c r="L8" i="4"/>
  <c r="L7" i="4"/>
  <c r="I51" i="4"/>
  <c r="H51" i="4"/>
  <c r="G51" i="4"/>
  <c r="I49" i="4"/>
  <c r="H49" i="4"/>
  <c r="J49" i="4" s="1"/>
  <c r="G49" i="4"/>
  <c r="I43" i="4"/>
  <c r="K43" i="4" s="1"/>
  <c r="H43" i="4"/>
  <c r="J43" i="4" s="1"/>
  <c r="G43" i="4"/>
  <c r="I41" i="4"/>
  <c r="H41" i="4"/>
  <c r="G41" i="4"/>
  <c r="I37" i="4"/>
  <c r="K37" i="4" s="1"/>
  <c r="H37" i="4"/>
  <c r="G37" i="4"/>
  <c r="I35" i="4"/>
  <c r="K35" i="4" s="1"/>
  <c r="H35" i="4"/>
  <c r="G35" i="4"/>
  <c r="I33" i="4"/>
  <c r="H33" i="4"/>
  <c r="G33" i="4"/>
  <c r="J33" i="4" s="1"/>
  <c r="I30" i="4"/>
  <c r="H30" i="4"/>
  <c r="G30" i="4"/>
  <c r="C5" i="5"/>
  <c r="C6" i="5"/>
  <c r="C7" i="5"/>
  <c r="C8" i="5"/>
  <c r="C9" i="5"/>
  <c r="C10" i="5"/>
  <c r="C11" i="5"/>
  <c r="C12" i="5"/>
  <c r="C13" i="5"/>
  <c r="C14" i="5"/>
  <c r="C15" i="5"/>
  <c r="C16" i="5"/>
  <c r="C17" i="5"/>
  <c r="C18" i="5"/>
  <c r="C19" i="5"/>
  <c r="C20" i="5"/>
  <c r="C21" i="5"/>
  <c r="C22" i="5"/>
  <c r="C23" i="5"/>
  <c r="C24" i="5"/>
  <c r="C25" i="5"/>
  <c r="C26" i="5"/>
  <c r="C27" i="5"/>
  <c r="C28" i="5"/>
  <c r="C29" i="5"/>
  <c r="C30" i="5"/>
  <c r="C31" i="5"/>
  <c r="C32" i="5"/>
  <c r="C33" i="5"/>
  <c r="C34" i="5"/>
  <c r="C35" i="5"/>
  <c r="C36" i="5"/>
  <c r="C37" i="5"/>
  <c r="C38" i="5"/>
  <c r="C39" i="5"/>
  <c r="C40" i="5"/>
  <c r="C41" i="5"/>
  <c r="C42" i="5"/>
  <c r="C43" i="5"/>
  <c r="C44" i="5"/>
  <c r="C45" i="5"/>
  <c r="C46" i="5"/>
  <c r="C47" i="5"/>
  <c r="C48" i="5"/>
  <c r="C49" i="5"/>
  <c r="C50" i="5"/>
  <c r="C51" i="5"/>
  <c r="C52" i="5"/>
  <c r="C53" i="5"/>
  <c r="C54" i="5"/>
  <c r="C55" i="5"/>
  <c r="C56" i="5"/>
  <c r="C57" i="5"/>
  <c r="C58" i="5"/>
  <c r="C59" i="5"/>
  <c r="C60" i="5"/>
  <c r="C61" i="5"/>
  <c r="C62" i="5"/>
  <c r="C63" i="5"/>
  <c r="C64" i="5"/>
  <c r="C65" i="5"/>
  <c r="C66" i="5"/>
  <c r="C67" i="5"/>
  <c r="C68" i="5"/>
  <c r="C69" i="5"/>
  <c r="C70" i="5"/>
  <c r="C71" i="5"/>
  <c r="C72" i="5"/>
  <c r="C73" i="5"/>
  <c r="C74" i="5"/>
  <c r="C75" i="5"/>
  <c r="C76" i="5"/>
  <c r="C77" i="5"/>
  <c r="C78" i="5"/>
  <c r="C79" i="5"/>
  <c r="C80" i="5"/>
  <c r="C81" i="5"/>
  <c r="C82" i="5"/>
  <c r="C83" i="5"/>
  <c r="C84" i="5"/>
  <c r="C85" i="5"/>
  <c r="C86" i="5"/>
  <c r="C87" i="5"/>
  <c r="C88" i="5"/>
  <c r="C89" i="5"/>
  <c r="C90" i="5"/>
  <c r="C91" i="5"/>
  <c r="C92" i="5"/>
  <c r="C93" i="5"/>
  <c r="C94" i="5"/>
  <c r="C95" i="5"/>
  <c r="C96" i="5"/>
  <c r="C97" i="5"/>
  <c r="C98" i="5"/>
  <c r="C99" i="5"/>
  <c r="C100" i="5"/>
  <c r="C101" i="5"/>
  <c r="C102" i="5"/>
  <c r="C103" i="5"/>
  <c r="C104" i="5"/>
  <c r="C105" i="5"/>
  <c r="C106" i="5"/>
  <c r="C107" i="5"/>
  <c r="C108" i="5"/>
  <c r="C109" i="5"/>
  <c r="C110" i="5"/>
  <c r="C111" i="5"/>
  <c r="C112" i="5"/>
  <c r="C113" i="5"/>
  <c r="C114" i="5"/>
  <c r="C115" i="5"/>
  <c r="C116" i="5"/>
  <c r="C117" i="5"/>
  <c r="C118" i="5"/>
  <c r="C119" i="5"/>
  <c r="C120" i="5"/>
  <c r="C121" i="5"/>
  <c r="C122" i="5"/>
  <c r="C123" i="5"/>
  <c r="C124" i="5"/>
  <c r="C125" i="5"/>
  <c r="C126" i="5"/>
  <c r="C127" i="5"/>
  <c r="C128" i="5"/>
  <c r="C129" i="5"/>
  <c r="C130" i="5"/>
  <c r="C131" i="5"/>
  <c r="C132" i="5"/>
  <c r="C133" i="5"/>
  <c r="C134" i="5"/>
  <c r="C135" i="5"/>
  <c r="C136" i="5"/>
  <c r="C137" i="5"/>
  <c r="C138" i="5"/>
  <c r="C139" i="5"/>
  <c r="C140" i="5"/>
  <c r="C141" i="5"/>
  <c r="C142" i="5"/>
  <c r="C143" i="5"/>
  <c r="C144" i="5"/>
  <c r="C145" i="5"/>
  <c r="C146" i="5"/>
  <c r="C147" i="5"/>
  <c r="C148" i="5"/>
  <c r="C149" i="5"/>
  <c r="C150" i="5"/>
  <c r="C151" i="5"/>
  <c r="C152" i="5"/>
  <c r="C153" i="5"/>
  <c r="C154" i="5"/>
  <c r="C155" i="5"/>
  <c r="C156" i="5"/>
  <c r="C157" i="5"/>
  <c r="C158" i="5"/>
  <c r="C159" i="5"/>
  <c r="C160" i="5"/>
  <c r="C161" i="5"/>
  <c r="C162" i="5"/>
  <c r="C163" i="5"/>
  <c r="C164" i="5"/>
  <c r="C165" i="5"/>
  <c r="C166" i="5"/>
  <c r="C167" i="5"/>
  <c r="C168" i="5"/>
  <c r="C169" i="5"/>
  <c r="C170" i="5"/>
  <c r="C171" i="5"/>
  <c r="C172" i="5"/>
  <c r="C173" i="5"/>
  <c r="C174" i="5"/>
  <c r="C175" i="5"/>
  <c r="C176" i="5"/>
  <c r="C177" i="5"/>
  <c r="C178" i="5"/>
  <c r="C179" i="5"/>
  <c r="C180" i="5"/>
  <c r="C181" i="5"/>
  <c r="C182" i="5"/>
  <c r="C183" i="5"/>
  <c r="C184" i="5"/>
  <c r="C185" i="5"/>
  <c r="C186" i="5"/>
  <c r="C187" i="5"/>
  <c r="C188" i="5"/>
  <c r="C189" i="5"/>
  <c r="C190" i="5"/>
  <c r="C191" i="5"/>
  <c r="C192" i="5"/>
  <c r="C193" i="5"/>
  <c r="C194" i="5"/>
  <c r="C195" i="5"/>
  <c r="C196" i="5"/>
  <c r="C197" i="5"/>
  <c r="C198" i="5"/>
  <c r="C199" i="5"/>
  <c r="C200" i="5"/>
  <c r="C201" i="5"/>
  <c r="C202" i="5"/>
  <c r="C203" i="5"/>
  <c r="C204" i="5"/>
  <c r="C205" i="5"/>
  <c r="C206" i="5"/>
  <c r="C207" i="5"/>
  <c r="C208" i="5"/>
  <c r="C209" i="5"/>
  <c r="C210" i="5"/>
  <c r="C211" i="5"/>
  <c r="C212" i="5"/>
  <c r="C213" i="5"/>
  <c r="C214" i="5"/>
  <c r="C215" i="5"/>
  <c r="C216" i="5"/>
  <c r="C217" i="5"/>
  <c r="C218" i="5"/>
  <c r="C219" i="5"/>
  <c r="C220" i="5"/>
  <c r="C221" i="5"/>
  <c r="C222" i="5"/>
  <c r="C223" i="5"/>
  <c r="C224" i="5"/>
  <c r="C225" i="5"/>
  <c r="C226" i="5"/>
  <c r="C227" i="5"/>
  <c r="C228" i="5"/>
  <c r="C229" i="5"/>
  <c r="C230" i="5"/>
  <c r="C231" i="5"/>
  <c r="C232" i="5"/>
  <c r="C233" i="5"/>
  <c r="C234" i="5"/>
  <c r="C235" i="5"/>
  <c r="C236" i="5"/>
  <c r="C237" i="5"/>
  <c r="C238" i="5"/>
  <c r="C239" i="5"/>
  <c r="C240" i="5"/>
  <c r="C241" i="5"/>
  <c r="C242" i="5"/>
  <c r="C243" i="5"/>
  <c r="C244" i="5"/>
  <c r="C245" i="5"/>
  <c r="C246" i="5"/>
  <c r="C247" i="5"/>
  <c r="C248" i="5"/>
  <c r="C249" i="5"/>
  <c r="C250" i="5"/>
  <c r="C251" i="5"/>
  <c r="C252" i="5"/>
  <c r="C253" i="5"/>
  <c r="C254" i="5"/>
  <c r="C255" i="5"/>
  <c r="C256" i="5"/>
  <c r="C257" i="5"/>
  <c r="C258" i="5"/>
  <c r="C259" i="5"/>
  <c r="C260" i="5"/>
  <c r="C261" i="5"/>
  <c r="C262" i="5"/>
  <c r="C263" i="5"/>
  <c r="C264" i="5"/>
  <c r="C265" i="5"/>
  <c r="C266" i="5"/>
  <c r="C267" i="5"/>
  <c r="C268" i="5"/>
  <c r="C269" i="5"/>
  <c r="C270" i="5"/>
  <c r="C271" i="5"/>
  <c r="C272" i="5"/>
  <c r="C273" i="5"/>
  <c r="C274" i="5"/>
  <c r="C275" i="5"/>
  <c r="C276" i="5"/>
  <c r="C277" i="5"/>
  <c r="C278" i="5"/>
  <c r="C279" i="5"/>
  <c r="C280" i="5"/>
  <c r="C281" i="5"/>
  <c r="C282" i="5"/>
  <c r="C283" i="5"/>
  <c r="C284" i="5"/>
  <c r="C285" i="5"/>
  <c r="C286" i="5"/>
  <c r="C287" i="5"/>
  <c r="C288" i="5"/>
  <c r="C289" i="5"/>
  <c r="C290" i="5"/>
  <c r="C291" i="5"/>
  <c r="C292" i="5"/>
  <c r="C293" i="5"/>
  <c r="C294" i="5"/>
  <c r="C295" i="5"/>
  <c r="C296" i="5"/>
  <c r="C297" i="5"/>
  <c r="C298" i="5"/>
  <c r="C299" i="5"/>
  <c r="C300" i="5"/>
  <c r="C301" i="5"/>
  <c r="C302" i="5"/>
  <c r="C303" i="5"/>
  <c r="C304" i="5"/>
  <c r="F5" i="5"/>
  <c r="F6" i="5"/>
  <c r="F7" i="5"/>
  <c r="F8" i="5"/>
  <c r="F9" i="5"/>
  <c r="F10" i="5"/>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71" i="5"/>
  <c r="F72" i="5"/>
  <c r="F73" i="5"/>
  <c r="F74" i="5"/>
  <c r="F75" i="5"/>
  <c r="F76" i="5"/>
  <c r="F77" i="5"/>
  <c r="F78" i="5"/>
  <c r="F79" i="5"/>
  <c r="F80" i="5"/>
  <c r="F81" i="5"/>
  <c r="F82" i="5"/>
  <c r="F83" i="5"/>
  <c r="F84" i="5"/>
  <c r="F85" i="5"/>
  <c r="F86" i="5"/>
  <c r="F87" i="5"/>
  <c r="F88" i="5"/>
  <c r="F89" i="5"/>
  <c r="F90" i="5"/>
  <c r="F91" i="5"/>
  <c r="F92" i="5"/>
  <c r="F93" i="5"/>
  <c r="F94" i="5"/>
  <c r="F95" i="5"/>
  <c r="F96" i="5"/>
  <c r="F97" i="5"/>
  <c r="F98" i="5"/>
  <c r="F99" i="5"/>
  <c r="F100" i="5"/>
  <c r="F101" i="5"/>
  <c r="F102" i="5"/>
  <c r="F103" i="5"/>
  <c r="F104" i="5"/>
  <c r="F105" i="5"/>
  <c r="F106" i="5"/>
  <c r="F107" i="5"/>
  <c r="F108" i="5"/>
  <c r="F109" i="5"/>
  <c r="F110" i="5"/>
  <c r="F111" i="5"/>
  <c r="F112" i="5"/>
  <c r="F113" i="5"/>
  <c r="F114" i="5"/>
  <c r="F115" i="5"/>
  <c r="F116" i="5"/>
  <c r="F117" i="5"/>
  <c r="F118" i="5"/>
  <c r="F119" i="5"/>
  <c r="F120" i="5"/>
  <c r="F121" i="5"/>
  <c r="F122" i="5"/>
  <c r="F123" i="5"/>
  <c r="F124" i="5"/>
  <c r="F125" i="5"/>
  <c r="F126" i="5"/>
  <c r="F127" i="5"/>
  <c r="F128" i="5"/>
  <c r="F129" i="5"/>
  <c r="F130" i="5"/>
  <c r="F131" i="5"/>
  <c r="F132" i="5"/>
  <c r="F133" i="5"/>
  <c r="F134" i="5"/>
  <c r="F135" i="5"/>
  <c r="F136" i="5"/>
  <c r="F137" i="5"/>
  <c r="F138" i="5"/>
  <c r="F139" i="5"/>
  <c r="F140" i="5"/>
  <c r="F141" i="5"/>
  <c r="F142" i="5"/>
  <c r="F143" i="5"/>
  <c r="F144" i="5"/>
  <c r="F145" i="5"/>
  <c r="F146" i="5"/>
  <c r="F147" i="5"/>
  <c r="F148" i="5"/>
  <c r="F149" i="5"/>
  <c r="F150" i="5"/>
  <c r="F151" i="5"/>
  <c r="F152" i="5"/>
  <c r="F153" i="5"/>
  <c r="F154" i="5"/>
  <c r="F155" i="5"/>
  <c r="F156" i="5"/>
  <c r="F157" i="5"/>
  <c r="F158" i="5"/>
  <c r="F159" i="5"/>
  <c r="F160" i="5"/>
  <c r="F161" i="5"/>
  <c r="F162" i="5"/>
  <c r="F163" i="5"/>
  <c r="F164" i="5"/>
  <c r="F165" i="5"/>
  <c r="F166" i="5"/>
  <c r="F167" i="5"/>
  <c r="F168" i="5"/>
  <c r="F169" i="5"/>
  <c r="F170" i="5"/>
  <c r="F171" i="5"/>
  <c r="F172" i="5"/>
  <c r="F173" i="5"/>
  <c r="F174" i="5"/>
  <c r="F175" i="5"/>
  <c r="F176" i="5"/>
  <c r="F177" i="5"/>
  <c r="F178" i="5"/>
  <c r="F179" i="5"/>
  <c r="F180" i="5"/>
  <c r="F181" i="5"/>
  <c r="F182" i="5"/>
  <c r="F183" i="5"/>
  <c r="F184" i="5"/>
  <c r="F185" i="5"/>
  <c r="F186" i="5"/>
  <c r="F187" i="5"/>
  <c r="F188" i="5"/>
  <c r="F189" i="5"/>
  <c r="F190" i="5"/>
  <c r="F191" i="5"/>
  <c r="F192" i="5"/>
  <c r="F193" i="5"/>
  <c r="F194" i="5"/>
  <c r="F195" i="5"/>
  <c r="F196" i="5"/>
  <c r="F197" i="5"/>
  <c r="F198" i="5"/>
  <c r="F199" i="5"/>
  <c r="F200" i="5"/>
  <c r="F201" i="5"/>
  <c r="F202" i="5"/>
  <c r="F203" i="5"/>
  <c r="F204" i="5"/>
  <c r="F205" i="5"/>
  <c r="F206" i="5"/>
  <c r="F207" i="5"/>
  <c r="F208" i="5"/>
  <c r="F209" i="5"/>
  <c r="F210" i="5"/>
  <c r="F211" i="5"/>
  <c r="F212" i="5"/>
  <c r="F213" i="5"/>
  <c r="F214" i="5"/>
  <c r="F215" i="5"/>
  <c r="F216" i="5"/>
  <c r="F217" i="5"/>
  <c r="F218" i="5"/>
  <c r="F219" i="5"/>
  <c r="F220" i="5"/>
  <c r="F221" i="5"/>
  <c r="F222" i="5"/>
  <c r="F223" i="5"/>
  <c r="F224" i="5"/>
  <c r="F225" i="5"/>
  <c r="F226" i="5"/>
  <c r="F227" i="5"/>
  <c r="F228" i="5"/>
  <c r="F229" i="5"/>
  <c r="F230" i="5"/>
  <c r="F231" i="5"/>
  <c r="F232" i="5"/>
  <c r="F233" i="5"/>
  <c r="F234" i="5"/>
  <c r="F235" i="5"/>
  <c r="F236" i="5"/>
  <c r="F237" i="5"/>
  <c r="F238" i="5"/>
  <c r="F239" i="5"/>
  <c r="F240" i="5"/>
  <c r="F241" i="5"/>
  <c r="F242" i="5"/>
  <c r="F243" i="5"/>
  <c r="F244" i="5"/>
  <c r="F245" i="5"/>
  <c r="F246" i="5"/>
  <c r="F247" i="5"/>
  <c r="F248" i="5"/>
  <c r="F249" i="5"/>
  <c r="F250" i="5"/>
  <c r="F251" i="5"/>
  <c r="F252" i="5"/>
  <c r="F253" i="5"/>
  <c r="F254" i="5"/>
  <c r="F255" i="5"/>
  <c r="F256" i="5"/>
  <c r="F257" i="5"/>
  <c r="F258" i="5"/>
  <c r="F259" i="5"/>
  <c r="F260" i="5"/>
  <c r="F261" i="5"/>
  <c r="F262" i="5"/>
  <c r="F263" i="5"/>
  <c r="F264" i="5"/>
  <c r="F265" i="5"/>
  <c r="F266" i="5"/>
  <c r="F267" i="5"/>
  <c r="F268" i="5"/>
  <c r="F269" i="5"/>
  <c r="F270" i="5"/>
  <c r="F271" i="5"/>
  <c r="F272" i="5"/>
  <c r="F273" i="5"/>
  <c r="F274" i="5"/>
  <c r="F275" i="5"/>
  <c r="F276" i="5"/>
  <c r="F277" i="5"/>
  <c r="F278" i="5"/>
  <c r="F279" i="5"/>
  <c r="F280" i="5"/>
  <c r="F281" i="5"/>
  <c r="F282" i="5"/>
  <c r="F283" i="5"/>
  <c r="F284" i="5"/>
  <c r="F285" i="5"/>
  <c r="F286" i="5"/>
  <c r="F287" i="5"/>
  <c r="F288" i="5"/>
  <c r="F289" i="5"/>
  <c r="F290" i="5"/>
  <c r="F291" i="5"/>
  <c r="F292" i="5"/>
  <c r="F293" i="5"/>
  <c r="F294" i="5"/>
  <c r="F295" i="5"/>
  <c r="F296" i="5"/>
  <c r="F297" i="5"/>
  <c r="F298" i="5"/>
  <c r="F299" i="5"/>
  <c r="F300" i="5"/>
  <c r="F301" i="5"/>
  <c r="F302" i="5"/>
  <c r="F303" i="5"/>
  <c r="F304" i="5"/>
  <c r="I5" i="5"/>
  <c r="I6" i="5"/>
  <c r="I7" i="5"/>
  <c r="I8" i="5"/>
  <c r="I9" i="5"/>
  <c r="I10" i="5"/>
  <c r="I11" i="5"/>
  <c r="I12" i="5"/>
  <c r="I13" i="5"/>
  <c r="I14" i="5"/>
  <c r="I15" i="5"/>
  <c r="I16" i="5"/>
  <c r="I17" i="5"/>
  <c r="I18" i="5"/>
  <c r="I19" i="5"/>
  <c r="I20" i="5"/>
  <c r="I21" i="5"/>
  <c r="I22" i="5"/>
  <c r="I23" i="5"/>
  <c r="I24" i="5"/>
  <c r="I25" i="5"/>
  <c r="I26" i="5"/>
  <c r="I27" i="5"/>
  <c r="I28" i="5"/>
  <c r="I29" i="5"/>
  <c r="I30" i="5"/>
  <c r="I31" i="5"/>
  <c r="I32" i="5"/>
  <c r="I33" i="5"/>
  <c r="I34" i="5"/>
  <c r="I35" i="5"/>
  <c r="I36" i="5"/>
  <c r="I37" i="5"/>
  <c r="I38" i="5"/>
  <c r="I39" i="5"/>
  <c r="I40" i="5"/>
  <c r="I41" i="5"/>
  <c r="I42" i="5"/>
  <c r="I43" i="5"/>
  <c r="I44" i="5"/>
  <c r="I45" i="5"/>
  <c r="I46" i="5"/>
  <c r="I47" i="5"/>
  <c r="I48" i="5"/>
  <c r="I49" i="5"/>
  <c r="I50" i="5"/>
  <c r="I51" i="5"/>
  <c r="I52" i="5"/>
  <c r="I53" i="5"/>
  <c r="I54" i="5"/>
  <c r="I55" i="5"/>
  <c r="I56" i="5"/>
  <c r="I57" i="5"/>
  <c r="I58" i="5"/>
  <c r="I59" i="5"/>
  <c r="I60" i="5"/>
  <c r="I61" i="5"/>
  <c r="I62" i="5"/>
  <c r="I63" i="5"/>
  <c r="I64" i="5"/>
  <c r="I65" i="5"/>
  <c r="I66" i="5"/>
  <c r="I67" i="5"/>
  <c r="I68" i="5"/>
  <c r="I69" i="5"/>
  <c r="I70" i="5"/>
  <c r="I71" i="5"/>
  <c r="I72" i="5"/>
  <c r="I73" i="5"/>
  <c r="I74" i="5"/>
  <c r="I75" i="5"/>
  <c r="I76" i="5"/>
  <c r="I77" i="5"/>
  <c r="I78" i="5"/>
  <c r="I79" i="5"/>
  <c r="I80" i="5"/>
  <c r="I81" i="5"/>
  <c r="I82" i="5"/>
  <c r="I83" i="5"/>
  <c r="I84" i="5"/>
  <c r="I85" i="5"/>
  <c r="I86" i="5"/>
  <c r="I87" i="5"/>
  <c r="I88" i="5"/>
  <c r="I89" i="5"/>
  <c r="I90" i="5"/>
  <c r="I91" i="5"/>
  <c r="I92" i="5"/>
  <c r="I93" i="5"/>
  <c r="I94" i="5"/>
  <c r="I95" i="5"/>
  <c r="I96" i="5"/>
  <c r="I97" i="5"/>
  <c r="I98" i="5"/>
  <c r="I99" i="5"/>
  <c r="I100" i="5"/>
  <c r="I101" i="5"/>
  <c r="I102" i="5"/>
  <c r="I103" i="5"/>
  <c r="I104" i="5"/>
  <c r="I105" i="5"/>
  <c r="I106" i="5"/>
  <c r="I107" i="5"/>
  <c r="I108" i="5"/>
  <c r="I109" i="5"/>
  <c r="I110" i="5"/>
  <c r="I111" i="5"/>
  <c r="I112" i="5"/>
  <c r="I113" i="5"/>
  <c r="I114" i="5"/>
  <c r="I115" i="5"/>
  <c r="I116" i="5"/>
  <c r="I117" i="5"/>
  <c r="I118" i="5"/>
  <c r="I119" i="5"/>
  <c r="I120" i="5"/>
  <c r="I121" i="5"/>
  <c r="I122" i="5"/>
  <c r="I123" i="5"/>
  <c r="I124" i="5"/>
  <c r="I125" i="5"/>
  <c r="I126" i="5"/>
  <c r="I127" i="5"/>
  <c r="I128" i="5"/>
  <c r="I129" i="5"/>
  <c r="I130" i="5"/>
  <c r="I131" i="5"/>
  <c r="I132" i="5"/>
  <c r="I133" i="5"/>
  <c r="I134" i="5"/>
  <c r="I135" i="5"/>
  <c r="I136" i="5"/>
  <c r="I137" i="5"/>
  <c r="I138" i="5"/>
  <c r="I139" i="5"/>
  <c r="I140" i="5"/>
  <c r="I141" i="5"/>
  <c r="I142" i="5"/>
  <c r="I143" i="5"/>
  <c r="I144" i="5"/>
  <c r="I145" i="5"/>
  <c r="I146" i="5"/>
  <c r="I147" i="5"/>
  <c r="I148" i="5"/>
  <c r="I149" i="5"/>
  <c r="I150" i="5"/>
  <c r="I151" i="5"/>
  <c r="I152" i="5"/>
  <c r="I153" i="5"/>
  <c r="I154" i="5"/>
  <c r="I155" i="5"/>
  <c r="I156" i="5"/>
  <c r="I157" i="5"/>
  <c r="I158" i="5"/>
  <c r="I159" i="5"/>
  <c r="I160" i="5"/>
  <c r="I161" i="5"/>
  <c r="I162" i="5"/>
  <c r="I163" i="5"/>
  <c r="I164" i="5"/>
  <c r="I165" i="5"/>
  <c r="I166" i="5"/>
  <c r="I167" i="5"/>
  <c r="I168" i="5"/>
  <c r="I169" i="5"/>
  <c r="I170" i="5"/>
  <c r="I171" i="5"/>
  <c r="I172" i="5"/>
  <c r="I173" i="5"/>
  <c r="I174" i="5"/>
  <c r="I175" i="5"/>
  <c r="I176" i="5"/>
  <c r="I177" i="5"/>
  <c r="I178" i="5"/>
  <c r="I179" i="5"/>
  <c r="I180" i="5"/>
  <c r="I181" i="5"/>
  <c r="I182" i="5"/>
  <c r="I183" i="5"/>
  <c r="I184" i="5"/>
  <c r="I185" i="5"/>
  <c r="I186" i="5"/>
  <c r="I187" i="5"/>
  <c r="I188" i="5"/>
  <c r="I189" i="5"/>
  <c r="I190" i="5"/>
  <c r="I191" i="5"/>
  <c r="I192" i="5"/>
  <c r="I193" i="5"/>
  <c r="I194" i="5"/>
  <c r="I195" i="5"/>
  <c r="I196" i="5"/>
  <c r="I197" i="5"/>
  <c r="I198" i="5"/>
  <c r="I199" i="5"/>
  <c r="I200" i="5"/>
  <c r="I201" i="5"/>
  <c r="I202" i="5"/>
  <c r="I203" i="5"/>
  <c r="I204" i="5"/>
  <c r="I205" i="5"/>
  <c r="I206" i="5"/>
  <c r="I207" i="5"/>
  <c r="I208" i="5"/>
  <c r="I209" i="5"/>
  <c r="I210" i="5"/>
  <c r="I211" i="5"/>
  <c r="I212" i="5"/>
  <c r="I213" i="5"/>
  <c r="I214" i="5"/>
  <c r="I215" i="5"/>
  <c r="I216" i="5"/>
  <c r="I217" i="5"/>
  <c r="I218" i="5"/>
  <c r="I219" i="5"/>
  <c r="I220" i="5"/>
  <c r="I221" i="5"/>
  <c r="I222" i="5"/>
  <c r="I223" i="5"/>
  <c r="I224" i="5"/>
  <c r="I225" i="5"/>
  <c r="I226" i="5"/>
  <c r="I227" i="5"/>
  <c r="I228" i="5"/>
  <c r="I229" i="5"/>
  <c r="I230" i="5"/>
  <c r="I231" i="5"/>
  <c r="I232" i="5"/>
  <c r="I233" i="5"/>
  <c r="I234" i="5"/>
  <c r="I235" i="5"/>
  <c r="I236" i="5"/>
  <c r="I237" i="5"/>
  <c r="I238" i="5"/>
  <c r="I239" i="5"/>
  <c r="I240" i="5"/>
  <c r="I241" i="5"/>
  <c r="I242" i="5"/>
  <c r="I243" i="5"/>
  <c r="I244" i="5"/>
  <c r="I245" i="5"/>
  <c r="I246" i="5"/>
  <c r="I247" i="5"/>
  <c r="I248" i="5"/>
  <c r="I249" i="5"/>
  <c r="I250" i="5"/>
  <c r="I251" i="5"/>
  <c r="I252" i="5"/>
  <c r="I253" i="5"/>
  <c r="I254" i="5"/>
  <c r="I255" i="5"/>
  <c r="I256" i="5"/>
  <c r="I257" i="5"/>
  <c r="I258" i="5"/>
  <c r="I259" i="5"/>
  <c r="I260" i="5"/>
  <c r="I261" i="5"/>
  <c r="I262" i="5"/>
  <c r="I263" i="5"/>
  <c r="I264" i="5"/>
  <c r="I265" i="5"/>
  <c r="I266" i="5"/>
  <c r="I267" i="5"/>
  <c r="I268" i="5"/>
  <c r="I269" i="5"/>
  <c r="I270" i="5"/>
  <c r="I271" i="5"/>
  <c r="I272" i="5"/>
  <c r="I273" i="5"/>
  <c r="I274" i="5"/>
  <c r="I275" i="5"/>
  <c r="I276" i="5"/>
  <c r="I277" i="5"/>
  <c r="I278" i="5"/>
  <c r="I279" i="5"/>
  <c r="I280" i="5"/>
  <c r="I281" i="5"/>
  <c r="I282" i="5"/>
  <c r="I283" i="5"/>
  <c r="I284" i="5"/>
  <c r="I285" i="5"/>
  <c r="I286" i="5"/>
  <c r="I287" i="5"/>
  <c r="I288" i="5"/>
  <c r="I289" i="5"/>
  <c r="I290" i="5"/>
  <c r="I291" i="5"/>
  <c r="I292" i="5"/>
  <c r="I293" i="5"/>
  <c r="I294" i="5"/>
  <c r="I295" i="5"/>
  <c r="I296" i="5"/>
  <c r="I297" i="5"/>
  <c r="I298" i="5"/>
  <c r="I299" i="5"/>
  <c r="I300" i="5"/>
  <c r="I301" i="5"/>
  <c r="I302" i="5"/>
  <c r="I303" i="5"/>
  <c r="I304" i="5"/>
  <c r="AE2" i="2" a="1"/>
  <c r="AE1" i="2" a="1"/>
  <c r="D1" i="2"/>
  <c r="J51" i="4" l="1"/>
  <c r="J35" i="4"/>
  <c r="J30" i="4"/>
  <c r="K51" i="4"/>
  <c r="L51" i="4" s="1"/>
  <c r="G53" i="4"/>
  <c r="L35" i="4"/>
  <c r="L43" i="4"/>
  <c r="I53" i="4"/>
  <c r="K53" i="4" s="1"/>
  <c r="J37" i="4"/>
  <c r="K49" i="4"/>
  <c r="L49" i="4" s="1"/>
  <c r="L37" i="4"/>
  <c r="K33" i="4"/>
  <c r="J41" i="4"/>
  <c r="K41" i="4"/>
  <c r="L33" i="4"/>
  <c r="L41" i="4"/>
  <c r="K30" i="4"/>
  <c r="H53" i="4"/>
  <c r="J53" i="4" s="1"/>
  <c r="AE2" i="2"/>
  <c r="AE1" i="2"/>
  <c r="L30" i="4" l="1"/>
  <c r="L53" i="4"/>
  <c r="B24" i="3"/>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<sst xmlns="http://schemas.openxmlformats.org/spreadsheetml/2006/main" count="3360" uniqueCount="1734">
  <si>
    <t>Man/Day</t>
    <phoneticPr fontId="4" type="noConversion"/>
  </si>
  <si>
    <t>Man-Day</t>
  </si>
  <si>
    <t>Man-Month</t>
  </si>
  <si>
    <t>ITEM</t>
    <phoneticPr fontId="4" type="noConversion"/>
  </si>
  <si>
    <t>VALUE1</t>
    <phoneticPr fontId="4" type="noConversion"/>
  </si>
  <si>
    <t>VALUE2</t>
    <phoneticPr fontId="4" type="noConversion"/>
  </si>
  <si>
    <t>VALUE3</t>
  </si>
  <si>
    <t>INSERTED_DATE</t>
    <phoneticPr fontId="4" type="noConversion"/>
  </si>
  <si>
    <t>UPDATED_DATE</t>
    <phoneticPr fontId="4" type="noConversion"/>
  </si>
  <si>
    <t>COMPANY</t>
    <phoneticPr fontId="4" type="noConversion"/>
  </si>
  <si>
    <t>XLWorks</t>
    <phoneticPr fontId="4" type="noConversion"/>
  </si>
  <si>
    <t>DO NOT UPDATE</t>
    <phoneticPr fontId="4" type="noConversion"/>
  </si>
  <si>
    <t>AUTHOR_EMAIL</t>
    <phoneticPr fontId="4" type="noConversion"/>
  </si>
  <si>
    <t>PROGRAM_NAME</t>
    <phoneticPr fontId="4" type="noConversion"/>
  </si>
  <si>
    <t>XLGantt</t>
  </si>
  <si>
    <t>PROGRAM_SITE</t>
    <phoneticPr fontId="4" type="noConversion"/>
  </si>
  <si>
    <t>PROGRAM_SITE_DISP</t>
    <phoneticPr fontId="4" type="noConversion"/>
  </si>
  <si>
    <t>VERSION</t>
    <phoneticPr fontId="4" type="noConversion"/>
  </si>
  <si>
    <t>DO NOT UPDATE</t>
    <phoneticPr fontId="4" type="noConversion"/>
  </si>
  <si>
    <t>RELEASE_DATE</t>
    <phoneticPr fontId="4" type="noConversion"/>
  </si>
  <si>
    <t>LICENSE</t>
    <phoneticPr fontId="4" type="noConversion"/>
  </si>
  <si>
    <t>Freeware</t>
    <phoneticPr fontId="4" type="noConversion"/>
  </si>
  <si>
    <t>Name:projectName</t>
  </si>
  <si>
    <t>Name:isConfirmedProjectBasicInfo</t>
  </si>
  <si>
    <t>Name:projectStartDate</t>
  </si>
  <si>
    <t>Name:projectEndDate</t>
  </si>
  <si>
    <t>Name:optScheduleChangeMgt</t>
  </si>
  <si>
    <t>Name:optPlanRateCriteriaDate</t>
  </si>
  <si>
    <t>Name:chkDeliverablesMgt</t>
    <phoneticPr fontId="4" type="noConversion"/>
  </si>
  <si>
    <t>Name:savePathType</t>
    <phoneticPr fontId="4" type="noConversion"/>
  </si>
  <si>
    <t>Name:txtDefinedPath</t>
    <phoneticPr fontId="4" type="noConversion"/>
  </si>
  <si>
    <t>Name:txtAutoDefinedBasePath</t>
    <phoneticPr fontId="4" type="noConversion"/>
  </si>
  <si>
    <t>Name:txtPgmName1</t>
    <phoneticPr fontId="4" type="noConversion"/>
  </si>
  <si>
    <t>Name:txtFileExt1</t>
  </si>
  <si>
    <t>Name:txtPgmPath1</t>
    <phoneticPr fontId="4" type="noConversion"/>
  </si>
  <si>
    <t>Name:chkInclude2SelectList1</t>
    <phoneticPr fontId="4" type="noConversion"/>
  </si>
  <si>
    <t>Name:txtPgmName2</t>
    <phoneticPr fontId="4" type="noConversion"/>
  </si>
  <si>
    <t>Name:txtFileExt2</t>
    <phoneticPr fontId="4" type="noConversion"/>
  </si>
  <si>
    <t>Name:txtPgmPath2</t>
    <phoneticPr fontId="4" type="noConversion"/>
  </si>
  <si>
    <t>Name:chkInclude2SelectList2</t>
    <phoneticPr fontId="4" type="noConversion"/>
  </si>
  <si>
    <t>Name:txtPgmName3</t>
    <phoneticPr fontId="4" type="noConversion"/>
  </si>
  <si>
    <t>Name:txtFileExt3</t>
    <phoneticPr fontId="4" type="noConversion"/>
  </si>
  <si>
    <t>Name:txtPgmPath3</t>
    <phoneticPr fontId="4" type="noConversion"/>
  </si>
  <si>
    <t>Name:chkInclude2SelectList3</t>
    <phoneticPr fontId="4" type="noConversion"/>
  </si>
  <si>
    <t>Name:txtPgmName4</t>
    <phoneticPr fontId="4" type="noConversion"/>
  </si>
  <si>
    <t>Name:txtFileExt4</t>
    <phoneticPr fontId="4" type="noConversion"/>
  </si>
  <si>
    <t>Name:txtPgmPath4</t>
    <phoneticPr fontId="4" type="noConversion"/>
  </si>
  <si>
    <t>Name:chkInclude2SelectList4</t>
    <phoneticPr fontId="4" type="noConversion"/>
  </si>
  <si>
    <t>Name:txtPgmName5</t>
    <phoneticPr fontId="4" type="noConversion"/>
  </si>
  <si>
    <t>Name:txtFileExt5</t>
    <phoneticPr fontId="4" type="noConversion"/>
  </si>
  <si>
    <t>Name:txtPgmPath5</t>
    <phoneticPr fontId="4" type="noConversion"/>
  </si>
  <si>
    <t>Name:chkInclude2SelectList5</t>
    <phoneticPr fontId="4" type="noConversion"/>
  </si>
  <si>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</si>
  <si>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</si>
  <si>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</si>
  <si>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</si>
  <si>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</si>
  <si>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</si>
  <si>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</si>
  <si>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</si>
  <si>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</si>
  <si>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</si>
  <si>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</si>
  <si>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</si>
  <si>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English</t>
  </si>
  <si>
    <t>Korean</t>
  </si>
  <si>
    <t xml:space="preserve">              From                      To</t>
  </si>
  <si>
    <t xml:space="preserve">           Field Name         Example</t>
  </si>
  <si>
    <t xml:space="preserve">       Field Name           Field Value</t>
  </si>
  <si>
    <t xml:space="preserve"> Mapped</t>
  </si>
  <si>
    <t xml:space="preserve"> Setting nonworking days in the project calendar</t>
  </si>
  <si>
    <t>%Work Complete</t>
  </si>
  <si>
    <t>%Work Complete(B)</t>
  </si>
  <si>
    <t>%Work Complete(C/A)</t>
  </si>
  <si>
    <t>%Work\nComplete</t>
  </si>
  <si>
    <t>* Automactically calulated if you click the "Update Schedule" button</t>
  </si>
  <si>
    <t>* Choose a language</t>
  </si>
  <si>
    <t>* This sheet shows you tasks, workloads, progresses(%Work complete), etc by resources.</t>
  </si>
  <si>
    <t>* This sheet shows you workload allocations by resources.</t>
  </si>
  <si>
    <t>* This sheet shows you workload and %Work complete.</t>
  </si>
  <si>
    <t>* You need to click the "Progresses by Resources" button to update contents.</t>
  </si>
  <si>
    <t>* You need to click the "Workloads by Resources" button to update the contents.</t>
  </si>
  <si>
    <t>{} "Outlook Appointment(s)" have been added.</t>
  </si>
  <si>
    <t>{} file does not exist.</t>
  </si>
  <si>
    <t>About</t>
  </si>
  <si>
    <t>Accumulated\nMan-Day</t>
  </si>
  <si>
    <t>Actual %Complete is invalid. Enter a number only. Verify row {} of the source file.</t>
  </si>
  <si>
    <t>Actual %Work Complete from the start date to the current date</t>
  </si>
  <si>
    <t>Actual Finish Date</t>
  </si>
  <si>
    <t>Actual finish date field of a task. It must be in date format.</t>
  </si>
  <si>
    <t>Actual finish date is invalid.</t>
  </si>
  <si>
    <t>Actual finish date is invalid. Verify row {} of the source file.</t>
  </si>
  <si>
    <t>Actual progress rate(%Work Complete) field.</t>
  </si>
  <si>
    <t>Actual Start Date</t>
  </si>
  <si>
    <t>Actual start date field of a task. It must be in date format.</t>
  </si>
  <si>
    <t>Actual start date is invalid.</t>
  </si>
  <si>
    <t>Actual start date is invalid. Verify row {} of the source file.</t>
  </si>
  <si>
    <t>Actual Total\nDuration</t>
  </si>
  <si>
    <t>Actual Total\nWork(Total\nManDay)</t>
  </si>
  <si>
    <t>Actual\nFinish</t>
  </si>
  <si>
    <t>Actual\nStart</t>
  </si>
  <si>
    <t>Actual\nTotal Duration</t>
  </si>
  <si>
    <t>Actual\nTotal Work</t>
  </si>
  <si>
    <t>Actually performed workload</t>
  </si>
  <si>
    <t>Actually Performed workload when managing schedule changes</t>
  </si>
  <si>
    <t>Actually performed workload when not managing schedule changes(Total Duration x %Work Complete)</t>
  </si>
  <si>
    <t>Add &gt;&gt;</t>
  </si>
  <si>
    <t>Add Languages</t>
  </si>
  <si>
    <t>Add to MS Outlook Calendar</t>
  </si>
  <si>
    <t>After turning off filtering, we'll proceed.</t>
  </si>
  <si>
    <t>All tasks</t>
  </si>
  <si>
    <t>An error occurred while checking for updates. Please try again \nError Message: {}</t>
  </si>
  <si>
    <t>An error occurred while checking XLGantt cell formats. Please restart XLGantt.</t>
  </si>
  <si>
    <t>An error occurred while processing. Please check the messages below.</t>
  </si>
  <si>
    <t>Analysis</t>
  </si>
  <si>
    <t>Automatically defined</t>
  </si>
  <si>
    <t>Available Languages</t>
  </si>
  <si>
    <t>Because the following task already has been added, XLGantt does not add it to "Outlook".\n\nTask Name : {1} \nStart Date : {2}</t>
  </si>
  <si>
    <t>blabla</t>
  </si>
  <si>
    <t>...</t>
  </si>
  <si>
    <t>Calculation Base Date of Planned %Work Complete</t>
  </si>
  <si>
    <t>Calculation Base Date of Planned %Work Complete must be greater than or equal to project start date.</t>
  </si>
  <si>
    <t>Calculation Base Date of Planned %Work Complete must be less than or equal to project finish date.</t>
  </si>
  <si>
    <t>Calendar</t>
  </si>
  <si>
    <t>Cancel</t>
  </si>
  <si>
    <t>Chart</t>
  </si>
  <si>
    <t>Check for Updates</t>
  </si>
  <si>
    <t>Check if you save deliverables in specific directory</t>
  </si>
  <si>
    <t>Choose a language used in XLGantt</t>
  </si>
  <si>
    <t>Choose a language used in XLGantt.</t>
  </si>
  <si>
    <t>Choose a language.</t>
  </si>
  <si>
    <t>Choose directly</t>
  </si>
  <si>
    <t>Choose the Type of Deliverables</t>
  </si>
  <si>
    <t>Close</t>
  </si>
  <si>
    <t>Days (Average number of working days per month)</t>
  </si>
  <si>
    <t>Deliverables</t>
  </si>
  <si>
    <t>Deliverables field.</t>
  </si>
  <si>
    <t>Deliverables type is not selected</t>
  </si>
  <si>
    <t>Display the task name in the same field</t>
  </si>
  <si>
    <t>Display the total workload of the project</t>
  </si>
  <si>
    <t>Displays the task name in the different field for each level</t>
  </si>
  <si>
    <t>Download the latest version</t>
  </si>
  <si>
    <t>Edit a Task</t>
  </si>
  <si>
    <t>Enabled Languages</t>
  </si>
  <si>
    <t>Error! Calculated Total Man-Day is different from the Total Man-Day of the {} sheet.</t>
  </si>
  <si>
    <t>Error! Cause may be one of the following.\n * File is invalid(e.g. the XLGantt file corrupted)\n * Not XLGantt file but General Excel file\n\n Please check the messages below for details.</t>
  </si>
  <si>
    <t>Error, Invalid field specified.</t>
  </si>
  <si>
    <t>Etc</t>
  </si>
  <si>
    <t>Excel</t>
  </si>
  <si>
    <t>Execution path of Program</t>
  </si>
  <si>
    <t>Extension</t>
  </si>
  <si>
    <t>Filter</t>
  </si>
  <si>
    <t>Filter Task</t>
  </si>
  <si>
    <t>Finish</t>
  </si>
  <si>
    <t>Finish Date</t>
  </si>
  <si>
    <t>Finish date field of a task. It must be in date format.</t>
  </si>
  <si>
    <t>Finish date is invalid.</t>
  </si>
  <si>
    <t>Finish date is invalid. Verify row {} of the source file.</t>
  </si>
  <si>
    <t>Follow the language setting of your computer O/S</t>
  </si>
  <si>
    <t>Fri</t>
  </si>
  <si>
    <t>From (File to import )</t>
  </si>
  <si>
    <t>General</t>
  </si>
  <si>
    <t>If the language in source file and the language in target file are different, you can not import.</t>
  </si>
  <si>
    <t>If you choose "Assigning path by task name automatically" option, you need to set the upper path.</t>
  </si>
  <si>
    <t>If you do not enter the actual finish date of row number {1} in the {2} sheet, you can't enter "%Work Complete" as 100%.</t>
  </si>
  <si>
    <t>Import</t>
  </si>
  <si>
    <t>Import common Excel file</t>
  </si>
  <si>
    <t>Import data after clearing the existing data</t>
  </si>
  <si>
    <t>Import Data without Clearing the Existing Data</t>
  </si>
  <si>
    <t>Import files created in XLGantt</t>
  </si>
  <si>
    <t>Import new data into the Schedule sheet after clearing the exisint data</t>
  </si>
  <si>
    <t>Import new data into the Schedule sheet without clearing the existing  data</t>
  </si>
  <si>
    <t>Import Option</t>
  </si>
  <si>
    <t xml:space="preserve">Import success!\nTotal rows of imported data : </t>
  </si>
  <si>
    <t>Import without clearing the existing data.</t>
  </si>
  <si>
    <t>Import Wizard</t>
  </si>
  <si>
    <t>Importing..., Please wait...</t>
  </si>
  <si>
    <t>Indent Task</t>
  </si>
  <si>
    <t>It recalculates duration and % Work Complete. Clicking the Save button will be the same.</t>
  </si>
  <si>
    <t>It's already chosen language.</t>
  </si>
  <si>
    <t>Job Results</t>
  </si>
  <si>
    <t>John</t>
  </si>
  <si>
    <t>Language</t>
  </si>
  <si>
    <t>License</t>
  </si>
  <si>
    <t>Managing Schedule Changes</t>
  </si>
  <si>
    <t>Map &gt;&gt;</t>
  </si>
  <si>
    <t>Mapping &gt;&gt;</t>
  </si>
  <si>
    <t>mm/dd/yyyy</t>
  </si>
  <si>
    <t>mmmm yyyy</t>
  </si>
  <si>
    <t>Mon</t>
  </si>
  <si>
    <t>Name of Nonworking Days</t>
  </si>
  <si>
    <t>Next &gt;&gt;</t>
  </si>
  <si>
    <t>Nonworking Days</t>
  </si>
  <si>
    <t>Not Managing Schedule Changes</t>
  </si>
  <si>
    <t>Not Specified(Standard Calendar)</t>
  </si>
  <si>
    <t>Note</t>
  </si>
  <si>
    <t>Of the first two rows, at least one has been deleted. Please retry after changing the sheet to its previous state.</t>
  </si>
  <si>
    <t>Open Deliverables</t>
  </si>
  <si>
    <t>Outdent Task</t>
  </si>
  <si>
    <t>Outline Level</t>
  </si>
  <si>
    <t>Pick a Date</t>
  </si>
  <si>
    <t>Planned %Work Complete calculation base date</t>
  </si>
  <si>
    <t>Planned %Work Complete from the start date to the current date</t>
  </si>
  <si>
    <t>Planned %Work Complete(A)</t>
  </si>
  <si>
    <t>Planned %Work Complete(B/A)</t>
  </si>
  <si>
    <t>Planned Progress</t>
  </si>
  <si>
    <t>Planned Work(B)\nMan-day</t>
  </si>
  <si>
    <t>Planned Work\n(ManDay to Today)</t>
  </si>
  <si>
    <t>Planned workload</t>
  </si>
  <si>
    <t>Planned workload from the start date to the current date</t>
  </si>
  <si>
    <t>Planned\n%Work Complete</t>
  </si>
  <si>
    <t>Planned\nDuration</t>
  </si>
  <si>
    <t>Planned\nWork</t>
  </si>
  <si>
    <t>Please choose a type of the task field.</t>
  </si>
  <si>
    <t>Please enter the extension.</t>
  </si>
  <si>
    <t>Please enter the path where deliverables are saved.</t>
  </si>
  <si>
    <t>Please enter the program execution path.</t>
  </si>
  <si>
    <t>Please set project calendars in this sheet.</t>
  </si>
  <si>
    <t>Positive - ahead of schedule, Negative - behind schedule</t>
  </si>
  <si>
    <t>Powerpoint</t>
  </si>
  <si>
    <t>Program Info</t>
  </si>
  <si>
    <t>Program Name</t>
  </si>
  <si>
    <t>Program Site</t>
  </si>
  <si>
    <t>Progress</t>
  </si>
  <si>
    <t>Progresses by Resources</t>
  </si>
  <si>
    <t>Project Execution Plan</t>
  </si>
  <si>
    <t>Project Information</t>
  </si>
  <si>
    <t>Project Name</t>
  </si>
  <si>
    <t>Project Progress - When managing schedule changes</t>
  </si>
  <si>
    <t>Project Progress - When not managing schedule changes</t>
  </si>
  <si>
    <t>Reformatting</t>
  </si>
  <si>
    <t>Regardless of the language setting in computer O/S, you can choose a language directly</t>
  </si>
  <si>
    <t>Release Date</t>
  </si>
  <si>
    <t>Resource field.</t>
  </si>
  <si>
    <t xml:space="preserve">Rows of imported data : </t>
  </si>
  <si>
    <t>Sat</t>
  </si>
  <si>
    <t>Save</t>
  </si>
  <si>
    <t>Schedule Change Management</t>
  </si>
  <si>
    <t>Schedule update has been completed.</t>
  </si>
  <si>
    <t>Schedule Variance(B-A)</t>
  </si>
  <si>
    <t>Search for the tasks based on criteria.</t>
  </si>
  <si>
    <t xml:space="preserve">Set path by the task name automatically\n(in this case, specify the upper path of automatically assigned path) </t>
  </si>
  <si>
    <t>Set program execution paths to open deliverables</t>
  </si>
  <si>
    <t>Set saving path of deliverables</t>
  </si>
  <si>
    <t>Settings</t>
  </si>
  <si>
    <t>Specific Date</t>
  </si>
  <si>
    <t>Specific path</t>
  </si>
  <si>
    <t>Standard Calendar</t>
  </si>
  <si>
    <t>Start</t>
  </si>
  <si>
    <t>Start Date</t>
  </si>
  <si>
    <t>Start date field of a task. It must be in date format.</t>
  </si>
  <si>
    <t>Start date is invalid.</t>
  </si>
  <si>
    <t>Start date is invalid. Verify row {} of the source file.</t>
  </si>
  <si>
    <t>Start-Finish</t>
  </si>
  <si>
    <t>Sun</t>
  </si>
  <si>
    <t>Task</t>
  </si>
  <si>
    <t>Task area was not selected. Please select a task area.</t>
  </si>
  <si>
    <t>Task Name</t>
  </si>
  <si>
    <t>Task name field.It's also referred to as "Work" or "Activity" or etc.</t>
  </si>
  <si>
    <t>Task(Task name or Name) is missing.</t>
  </si>
  <si>
    <t>The "%Work Complete" column has been deleted. Please retry after changing the sheet to its previous state.</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</si>
  <si>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</si>
  <si>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</si>
  <si>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</si>
  <si>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</si>
  <si>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</si>
  <si>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</si>
  <si>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</si>
  <si>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</si>
  <si>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</si>
  <si>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</si>
  <si>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</si>
  <si>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</si>
  <si>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</si>
  <si>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</si>
  <si>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</si>
  <si>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</si>
  <si>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</si>
  <si>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</si>
  <si>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</si>
  <si>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</si>
  <si>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</si>
  <si>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</si>
  <si>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</si>
  <si>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</si>
  <si>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count of level</t>
  </si>
  <si>
    <t>The date field of row number {1} in the {2} sheet was entered, but the task field is empty.\nEnter a value in the task field or clear the date field.</t>
  </si>
  <si>
    <t>The deliverables name is empty.</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</si>
  <si>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</si>
  <si>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</si>
  <si>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</si>
  <si>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</si>
  <si>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following file formats are not supported. You can import the files if the version is 0.9.7 or higher than 0.9.7.</t>
  </si>
  <si>
    <t>The following files have been successfully imported.</t>
  </si>
  <si>
    <t>The following folder does not exist.</t>
  </si>
  <si>
    <t>The format of "Calculation Base Date of Planned %Work Complete" is invalid.</t>
  </si>
  <si>
    <t>The format of the project finish date is invalid.</t>
  </si>
  <si>
    <t>The format of the project start date is invalid.</t>
  </si>
  <si>
    <t>The job was not completed successfully.</t>
  </si>
  <si>
    <t>The latest finish date({1}) of the tasks is later than the finish date({2}) of the project.\n\nIn this case, there may be problems with resource calculations. Please change the finish date to valid date.</t>
  </si>
  <si>
    <t>The level of row {} is invalid.</t>
  </si>
  <si>
    <t>The number of Level must be less than or equal to {}</t>
  </si>
  <si>
    <t>The number of Level must be positive integer.</t>
  </si>
  <si>
    <t>The process was terminated due to the {} sheet error.</t>
  </si>
  <si>
    <t>The project finish date({}) you entered is not valid date format.</t>
  </si>
  <si>
    <t>The project start date({}) you entered is not valid date format.</t>
  </si>
  <si>
    <t>The start date format of row number {1} in the {2} sheet is invalid.</t>
  </si>
  <si>
    <t>The start date of row number {1} in the {2} sheet is later than the finish date.</t>
  </si>
  <si>
    <t>The task of the first row of the {} sheet is not level 1.</t>
  </si>
  <si>
    <t>The type of task fields</t>
  </si>
  <si>
    <t>The weight of row number {1} in the {2} sheet is not a number.</t>
  </si>
  <si>
    <t>There are no executable programs that open the deliverables.</t>
  </si>
  <si>
    <t>There is no data in the following files</t>
  </si>
  <si>
    <t>There is no input data</t>
  </si>
  <si>
    <t>There is no input data that will be calculated.</t>
  </si>
  <si>
    <t>There is no input data.</t>
  </si>
  <si>
    <t>There is no input data. Please enter after reformatting.</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</si>
  <si>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</si>
  <si>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</si>
  <si>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</si>
  <si>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</si>
  <si>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Thu</t>
  </si>
  <si>
    <t>Time bucket type is invalid.</t>
  </si>
  <si>
    <t>To (XLGantt)</t>
  </si>
  <si>
    <t>Today</t>
  </si>
  <si>
    <t>Today only</t>
  </si>
  <si>
    <t>Total Work(A)\nMan-day</t>
  </si>
  <si>
    <t>Total Work\n(Total ManDay)</t>
  </si>
  <si>
    <t>Total workload of the project</t>
  </si>
  <si>
    <t>Total\nDuration</t>
  </si>
  <si>
    <t>Total\nWork</t>
  </si>
  <si>
    <t>Tue</t>
  </si>
  <si>
    <t>Type a number between 0% and 100% in "%Work Complete" field of row number {1} in the {2} sheet.</t>
  </si>
  <si>
    <t>UI Design</t>
  </si>
  <si>
    <t>Unable to open file. Please change the "Check if you save deliverables in specific directory" option to the checked state in the Setting&gt;Deliverables tab.</t>
  </si>
  <si>
    <t>Update Schedule</t>
  </si>
  <si>
    <t>Updates</t>
  </si>
  <si>
    <t>Updating schedule... \nplease wait...</t>
  </si>
  <si>
    <t>User Defined Calendar 1</t>
  </si>
  <si>
    <t>User Defined Calendar 2</t>
  </si>
  <si>
    <t>Variance(Actual-Planned)</t>
  </si>
  <si>
    <t>WBS</t>
  </si>
  <si>
    <t>WBS Level is invalid. Enter a number only. Verify row {} of the source file.</t>
  </si>
  <si>
    <t>WBS No.</t>
  </si>
  <si>
    <t>Wed</t>
  </si>
  <si>
    <t>Weight</t>
  </si>
  <si>
    <t>Weight is invalid.</t>
  </si>
  <si>
    <t>Weight must be greater than zero.</t>
  </si>
  <si>
    <t>Word</t>
  </si>
  <si>
    <t>Workload\n(Man-Day)</t>
  </si>
  <si>
    <t>Workload\n(Man-Month)</t>
  </si>
  <si>
    <t>Workloads by {}</t>
  </si>
  <si>
    <t>Workloads by Resouces</t>
  </si>
  <si>
    <t>Worloads by Resources</t>
  </si>
  <si>
    <t>XLGantt Version Check</t>
  </si>
  <si>
    <t>You are using the latest version of XLGantt.\nCurrent Verison : {}</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</si>
  <si>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</si>
  <si>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</si>
  <si>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</si>
  <si>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</si>
  <si>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</si>
  <si>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</si>
  <si>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enter any more.</t>
  </si>
  <si>
    <t>You can not indent any more!</t>
  </si>
  <si>
    <t>You can not indent or outdent the selected row.</t>
  </si>
  <si>
    <t>You can not outdent any more!</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</si>
  <si>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</si>
  <si>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</si>
  <si>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</si>
  <si>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</si>
  <si>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choose a field that is empty.</t>
  </si>
  <si>
    <t>You can't import an Excel Macro file. Please import after saving it as an xls or xlsx file. If it is an XLGantt file, you can import it at the menu "Import files created in XLGantt"</t>
  </si>
  <si>
    <t>You can't remove the default languages(English and Korean).</t>
  </si>
  <si>
    <t>You didn't choose a language.</t>
  </si>
  <si>
    <t>You didn't choose a source field.</t>
  </si>
  <si>
    <t>You didn't choose a target field.</t>
  </si>
  <si>
    <t>You didn't choose an unmap item.</t>
  </si>
  <si>
    <t>You selected {} areas. Please select only one area.</t>
  </si>
  <si>
    <t>There is an error in the total workload or planned workload field of row number {1} in the {2} sheet. Please check that the start / finish date was entered correctly, or that the formula is correct.</t>
  </si>
  <si>
    <t>wbs</t>
  </si>
  <si>
    <t>task</t>
  </si>
  <si>
    <t>resource</t>
  </si>
  <si>
    <t>start</t>
  </si>
  <si>
    <t>finish</t>
  </si>
  <si>
    <t>AUTHOR_NAME</t>
    <phoneticPr fontId="4" type="noConversion"/>
  </si>
  <si>
    <t>admin@xlworks.net</t>
    <phoneticPr fontId="4" type="noConversion"/>
  </si>
  <si>
    <t>OPTIONS_GENERAL</t>
    <phoneticPr fontId="2" type="noConversion"/>
  </si>
  <si>
    <t>OPTIONS_DELIVERABLES_MGT</t>
    <phoneticPr fontId="2" type="noConversion"/>
  </si>
  <si>
    <t>OPTIONS_DELIVERABLES_PGM_PATH</t>
    <phoneticPr fontId="2" type="noConversion"/>
  </si>
  <si>
    <t>OPTIONS_WBS_GANTT</t>
    <phoneticPr fontId="2" type="noConversion"/>
  </si>
  <si>
    <t>Name:completeTaskGrayDisplay</t>
  </si>
  <si>
    <t>Name:taskDispInGroup</t>
  </si>
  <si>
    <t>Name:taskDispInSub</t>
  </si>
  <si>
    <t>Name:dateDisp</t>
  </si>
  <si>
    <t>Name:ganttColWidth</t>
  </si>
  <si>
    <t>Name:taskNameDisplayPosition</t>
  </si>
  <si>
    <t>Name:actualRateDisp</t>
  </si>
  <si>
    <t>Name:languageSelectionType</t>
  </si>
  <si>
    <t>Name:languageSelectedByManual</t>
  </si>
  <si>
    <t>Name:groupTaskInteriorGrayDisplay</t>
  </si>
  <si>
    <t>Name:setTaskDateToProjectDate</t>
  </si>
  <si>
    <t>Name:selectedLanguageList</t>
  </si>
  <si>
    <t>Name:lastTranslatedLanguage</t>
  </si>
  <si>
    <t>Name:scheduleSheetPosition</t>
  </si>
  <si>
    <t>OPTIONS_LANGUAGE</t>
    <phoneticPr fontId="2" type="noConversion"/>
  </si>
  <si>
    <t>Name:optFirstDayOfWeek</t>
  </si>
  <si>
    <t>Name:optGanttChartColumnDisplay</t>
  </si>
  <si>
    <t>Name:applyUserInputFirst</t>
  </si>
  <si>
    <t>Name:txtGanttChartZoomRatio</t>
  </si>
  <si>
    <t>Name:plannedRateDisp</t>
  </si>
  <si>
    <t>Name:chkWBSUpdateExecuteYN</t>
  </si>
  <si>
    <t>Name:chkCheckForUpdatesOnStartup</t>
  </si>
  <si>
    <t>Name:resourceDisp</t>
  </si>
  <si>
    <t>Name:taskDisp</t>
  </si>
  <si>
    <t>Name:optNonWorkingDays</t>
  </si>
  <si>
    <t>Workloads by Weeks</t>
  </si>
  <si>
    <t>* This sheet shows you workload allocations by weeks or months.</t>
  </si>
  <si>
    <t>* You need to click the "Workloads by Weeks" or "Workloads by Months" button to update the contents.</t>
  </si>
  <si>
    <t>"%Work Complete" is invalid. Type a number between 0% and 100%.</t>
  </si>
  <si>
    <t>"Outline level"(task Level) field. It displays the level of a task.Instead of "Outline level", you can use "WBS".</t>
  </si>
  <si>
    <t>"WBS"(Work Breakdown Structure) field. It displays the level of a task. Instead of WBS, you can use "Outline level".</t>
  </si>
  <si>
    <t>* Common Excel file, Not XLGantt file\n   (First row is title,from second rows are contents)\n* You can import only one file at once.</t>
  </si>
  <si>
    <t>{} "Outlook Task(s)" have been added.</t>
  </si>
  <si>
    <t>12/31/2018</t>
  </si>
  <si>
    <t>Actual Finish</t>
  </si>
  <si>
    <t>Actual Start</t>
  </si>
  <si>
    <t>Actual Total Work\nMan-day</t>
  </si>
  <si>
    <t>Add to MS Outlook Task</t>
  </si>
  <si>
    <t>Bar chart Text Display Position</t>
  </si>
  <si>
    <t>Because the following task already has been added, XLGantt does not add it to "Outlook".\n\nTask Name : {1} \nDue Date : {2}</t>
  </si>
  <si>
    <t>By %Work Complete</t>
  </si>
  <si>
    <t>By Duration</t>
  </si>
  <si>
    <t>By Resource</t>
  </si>
  <si>
    <t xml:space="preserve">Check for Updates on Startup </t>
  </si>
  <si>
    <t>Choose a file type to import</t>
  </si>
  <si>
    <t>Choose an import option.</t>
  </si>
  <si>
    <t>Completed(=100%)</t>
  </si>
  <si>
    <t>Contains</t>
  </si>
  <si>
    <t>Current Version</t>
  </si>
  <si>
    <t>Daily</t>
  </si>
  <si>
    <t>Daily view</t>
  </si>
  <si>
    <t xml:space="preserve">Days counted as Nonworking days </t>
  </si>
  <si>
    <t>Display  % Work Complete</t>
  </si>
  <si>
    <t>Display date</t>
  </si>
  <si>
    <t>Display Planned %Work Complete</t>
  </si>
  <si>
    <t>Display resource</t>
  </si>
  <si>
    <t xml:space="preserve">Display task name </t>
  </si>
  <si>
    <t>Drawing Gantt chart</t>
  </si>
  <si>
    <t>Drawing progress line</t>
  </si>
  <si>
    <t xml:space="preserve">Duration </t>
  </si>
  <si>
    <t>Equals</t>
  </si>
  <si>
    <t>First day of week</t>
  </si>
  <si>
    <t>From Date is invalid.</t>
  </si>
  <si>
    <t>Gantt Chart Display</t>
  </si>
  <si>
    <t>Gantt Chart View Style</t>
  </si>
  <si>
    <t>Included in the selection\nlist when deliverables\nnot specified</t>
  </si>
  <si>
    <t>Inside of the chart</t>
  </si>
  <si>
    <t>Left of the chart</t>
  </si>
  <si>
    <t>Monthly</t>
  </si>
  <si>
    <t>Monthly view</t>
  </si>
  <si>
    <t>Months</t>
  </si>
  <si>
    <t>New Version</t>
  </si>
  <si>
    <t>Not Completed(&lt;&gt;100%)</t>
  </si>
  <si>
    <t>Only the dates entered in the Calendar sheet</t>
  </si>
  <si>
    <t>Open Deliverables Folder</t>
  </si>
  <si>
    <t>Options</t>
  </si>
  <si>
    <t xml:space="preserve">Percent </t>
  </si>
  <si>
    <t>Project Scheduler</t>
  </si>
  <si>
    <t>Right of the chart</t>
  </si>
  <si>
    <t>Run "Update Schedule"  When Saving XLGantt File</t>
  </si>
  <si>
    <t>Select source files(Muliple Select)</t>
  </si>
  <si>
    <t>The {} sheet does not exist. Please check that you changed or deleted the sheet.</t>
  </si>
  <si>
    <t>The {} sheet does not exist. Please check that you have changed or deleted the sheet.</t>
  </si>
  <si>
    <t>The actual start date of row number {1} in the {2} sheet is out of the project duration.</t>
  </si>
  <si>
    <t>The actual start or finish date of row number {1} in the {2} sheet is out of the project duration.</t>
  </si>
  <si>
    <t>The kind of period is invalid. You must enter one of the M(Months) or W(Weeks)</t>
  </si>
  <si>
    <t>The start date is later than the finish date.</t>
  </si>
  <si>
    <t>The start or finish date of row number {1} in the {2} sheet is out of the project duration.</t>
  </si>
  <si>
    <t>This XLGantt is not the latest version. Download the latest version from the following site.</t>
  </si>
  <si>
    <t>To Date is invalid.</t>
  </si>
  <si>
    <t>To import files from source to the target file, map the respective fields.\nSelect a field in source file first and then find a corresponding field in the target file.</t>
  </si>
  <si>
    <t>WBS Area Display</t>
  </si>
  <si>
    <t>WBS,Gantt Chart</t>
  </si>
  <si>
    <t>Weekly</t>
  </si>
  <si>
    <t>Weekly view</t>
  </si>
  <si>
    <t>Weeks</t>
  </si>
  <si>
    <t>Workloads by Months</t>
  </si>
  <si>
    <t>You can add "Outlook Tasks" only on the {} sheet.</t>
  </si>
  <si>
    <t>You can not add "Outlook Tasks" in the selected area.</t>
  </si>
  <si>
    <t>for import columun</t>
    <phoneticPr fontId="4" type="noConversion"/>
  </si>
  <si>
    <t>No need to enter in the Calendar sheet</t>
  </si>
  <si>
    <t>No need to enter Saturdays and Sundays in the Calendar sheet</t>
  </si>
  <si>
    <t>Once you choose "Display the task name in the same field" option, you should select a WBS No. or a WBS Level field.</t>
  </si>
  <si>
    <t>Only Saturdays and Sundays</t>
  </si>
  <si>
    <t>Please enter nonworking days only. All days other than nonworking days will be set as working days. \nWhen you enter nonworking days, XLGantt excludes them from calculations of working time.\n(However, depending on the calendar setting in the Options window, the calculation method of the nonworking day can be different)\nStandard calendar is the default calendar. If you want to specify a different calendar for a specific task, please use "User Defined Calendar 1" or "User Defined Calendar 2"</t>
    <phoneticPr fontId="2" type="noConversion"/>
  </si>
  <si>
    <t>Total__Duration</t>
    <phoneticPr fontId="4" type="noConversion"/>
  </si>
  <si>
    <t>Saturdays, Sundays and the dates entered in the Calendar sheet_x000D_</t>
    <phoneticPr fontId="2" type="noConversion"/>
  </si>
  <si>
    <t>Actual__Total Work</t>
    <phoneticPr fontId="4" type="noConversion"/>
  </si>
  <si>
    <t>Reserved</t>
    <phoneticPr fontId="4" type="noConversion"/>
  </si>
  <si>
    <t>Text Index</t>
    <phoneticPr fontId="4" type="noConversion"/>
  </si>
  <si>
    <t>Description</t>
    <phoneticPr fontId="4"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</si>
  <si>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2" type="noConversion"/>
  </si>
  <si>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2"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</si>
  <si>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2" type="noConversion"/>
  </si>
  <si>
    <t>* You can import  files created in XLGantt._x000D_
* You can import files if the version is 0.9.7 or higher than 0.9.7_x000D_
* You can import up to 10,000 records._x000D_
* You can import multiple files simultaneously.</t>
    <phoneticPr fontId="2"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</si>
  <si>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2" type="noConversion"/>
  </si>
  <si>
    <t>%Work__Complete</t>
    <phoneticPr fontId="4" type="noConversion"/>
  </si>
  <si>
    <t>manual input</t>
    <phoneticPr fontId="2" type="noConversion"/>
  </si>
  <si>
    <t>Actual</t>
    <phoneticPr fontId="2" type="noConversion"/>
  </si>
  <si>
    <t>실적</t>
    <phoneticPr fontId="2" type="noConversion"/>
  </si>
  <si>
    <t>Actual Total__Duration</t>
    <phoneticPr fontId="4" type="noConversion"/>
  </si>
  <si>
    <t>Actual__Finish</t>
    <phoneticPr fontId="4" type="noConversion"/>
  </si>
  <si>
    <t>Actual__Start</t>
    <phoneticPr fontId="4" type="noConversion"/>
  </si>
  <si>
    <t>Actual__Total Duration</t>
    <phoneticPr fontId="4" type="noConversion"/>
  </si>
  <si>
    <t>Actual\nStart-Finish</t>
    <phoneticPr fontId="2" type="noConversion"/>
  </si>
  <si>
    <t>yyyy/mm/dd</t>
    <phoneticPr fontId="2" type="noConversion"/>
  </si>
  <si>
    <t>Plan</t>
    <phoneticPr fontId="2" type="noConversion"/>
  </si>
  <si>
    <t>계획</t>
    <phoneticPr fontId="2" type="noConversion"/>
  </si>
  <si>
    <t>Planned__%Work Complete</t>
    <phoneticPr fontId="4" type="noConversion"/>
  </si>
  <si>
    <t>Planned__Duration</t>
    <phoneticPr fontId="4" type="noConversion"/>
  </si>
  <si>
    <t>Planned__Work</t>
    <phoneticPr fontId="4" type="noConversion"/>
  </si>
  <si>
    <t>Resources</t>
    <phoneticPr fontId="2" type="noConversion"/>
  </si>
  <si>
    <t>담당</t>
    <phoneticPr fontId="2" type="noConversion"/>
  </si>
  <si>
    <t>The language setting has been changed.\nPress the OK button to start translation. \nIt may take a long time to translate.\nHowever, translation of Ribbon menu and Popup menu takes effect after reopening this XLGantt file.</t>
    <phoneticPr fontId="4" type="noConversion"/>
  </si>
  <si>
    <t>Total__Work</t>
    <phoneticPr fontId="4" type="noConversion"/>
  </si>
  <si>
    <t>Would you like to update the schedule before saving?</t>
    <phoneticPr fontId="4" type="noConversion"/>
  </si>
  <si>
    <t>Name:groupRows</t>
  </si>
  <si>
    <t>Group rows</t>
    <phoneticPr fontId="2" type="noConversion"/>
  </si>
  <si>
    <t>C:\Temp</t>
    <phoneticPr fontId="4" type="noConversion"/>
  </si>
  <si>
    <t>비고</t>
  </si>
  <si>
    <t>가중치</t>
  </si>
  <si>
    <t>산출물</t>
  </si>
  <si>
    <t>계획</t>
  </si>
  <si>
    <t>Schedule</t>
    <phoneticPr fontId="2" type="noConversion"/>
  </si>
  <si>
    <t>Progress</t>
    <phoneticPr fontId="2" type="noConversion"/>
  </si>
  <si>
    <t>AnalysisReport</t>
    <phoneticPr fontId="2" type="noConversion"/>
  </si>
  <si>
    <t>Calendar</t>
    <phoneticPr fontId="2" type="noConversion"/>
  </si>
  <si>
    <t>TranslatedLanguages</t>
    <phoneticPr fontId="2" type="noConversion"/>
  </si>
  <si>
    <t>Gantt Chart Zoom Ratio(Max 999%)</t>
    <phoneticPr fontId="2" type="noConversion"/>
  </si>
  <si>
    <t>Name:dateDispOnTimescale</t>
  </si>
  <si>
    <t>간트차트 눈금에 날짜 표시</t>
    <phoneticPr fontId="2" type="noConversion"/>
  </si>
  <si>
    <t>Manual</t>
    <phoneticPr fontId="2" type="noConversion"/>
  </si>
  <si>
    <t>Automatic</t>
    <phoneticPr fontId="2" type="noConversion"/>
  </si>
  <si>
    <t>Automatic Except for Data Tables</t>
    <phoneticPr fontId="2" type="noConversion"/>
  </si>
  <si>
    <t>자동</t>
    <phoneticPr fontId="2" type="noConversion"/>
  </si>
  <si>
    <t>수동</t>
    <phoneticPr fontId="2" type="noConversion"/>
  </si>
  <si>
    <t>Calculation Options</t>
    <phoneticPr fontId="2" type="noConversion"/>
  </si>
  <si>
    <t>시작일</t>
  </si>
  <si>
    <t>완료일</t>
  </si>
  <si>
    <t>* 주별 또는 월별 Workload를 보여줍니다.</t>
  </si>
  <si>
    <t>* "Workload(주별)" 또는 "Workload(월별)" 메뉴를 클릭해야 내용이 갱신됩니다.</t>
  </si>
  <si>
    <t>일 (월평균 근무일수)</t>
  </si>
  <si>
    <t>차트</t>
  </si>
  <si>
    <t>Name:chkImportDataOnStartup</t>
  </si>
  <si>
    <t>작업</t>
    <phoneticPr fontId="2" type="noConversion"/>
  </si>
  <si>
    <t>일정변경관리 하지 않을 때 현재까지 실제로 진행된 작업기간을 표시함(총기간 x 총실적진행율)</t>
  </si>
  <si>
    <t>일정계획 변경관리</t>
  </si>
  <si>
    <t>총작업량</t>
  </si>
  <si>
    <t>계획작업량</t>
  </si>
  <si>
    <t>총기간</t>
  </si>
  <si>
    <t>계획기간</t>
  </si>
  <si>
    <t>실제시작일</t>
  </si>
  <si>
    <t>실제완료일</t>
  </si>
  <si>
    <t>실제총작업량</t>
  </si>
  <si>
    <t>실제총기간</t>
  </si>
  <si>
    <t>실적</t>
  </si>
  <si>
    <t>Total Work</t>
  </si>
  <si>
    <t>Planned Work</t>
  </si>
  <si>
    <t>Total Duration</t>
  </si>
  <si>
    <t>Planned Duration</t>
  </si>
  <si>
    <t>Actual Total Work</t>
  </si>
  <si>
    <t>Actual Total Duration</t>
  </si>
  <si>
    <t>Planned %Work Complete</t>
  </si>
  <si>
    <t>for importOnStartup</t>
    <phoneticPr fontId="2" type="noConversion"/>
  </si>
  <si>
    <t>* 현재 XLGantt는 영어와 한국어만 지원합니다. 다른 언어가 필요하면  아래 "언어추가"에서 다른 언어를 추가하고 TranslatedLanguages sheet에 각 언어별로 번역을 추가해야 합니다. 번역을 추가하지 않으면 기본언어인 영어로 표시됩니다(TranslatedLanguages sheet는 숨겨져 있음,Sheet메뉴에서 숨기기 취소하면 볼 수 있음)</t>
  </si>
  <si>
    <t>여기에는 프로젝트의 휴무일만 입력하세요.휴무일을 제외한 날짜는 근무일자로 설정됩니다. \n휴무일을 입력해야 작업기간 계산시 반영합니다. 입력한 일자만큼 작업기간에서 제외합니다.\n(단, 옵션창의 캘린더 설정에 따라 휴무일계산방법은 달라질 수 있습니다.)\n표준캘린더는 기본으로 적용되는 캘린더이며 특정 작업에 다른 캘린더를 지정하고 싶으면 "사용자정의 캘린더1", "사용자정의 캘린더2"에 휴무일을 지정하여 사용합니다.</t>
    <phoneticPr fontId="2" type="noConversion"/>
  </si>
  <si>
    <t>가장 빠른 작업의 시작일({1})이 프로젝트 시작일({2})보다 더 빠릅니다.\n\n가장 늦은 완료일({3})이 프로젝트 기간정보의 완료일({4})보다 더 늦습니다.\n\n이 경우 리소스 계산등에 문제가 있을 수 있습니다. 시작일,완료일을 환경설정메뉴의 프로젝트 기간내로 조정하거나 프로젝트 기간을 조정하시기 바랍니다.</t>
  </si>
  <si>
    <t>작업 중 에러가 발생했습니다. 원인은 다음 중 하나일 수 있습니다.\n - 파일이 비정상적인 경우(엑셀파일이 손상된 경우 등)\n - 자료 포맷이 틀린 경우(1행에 제목, 2행부터 내용이 들어가 있는 포맷 또는 XLGantt 파일만 허용)\n - 이미 열려있는 파일을 또 열다가 취소하는 경우\n\n 자세한 원인은 아래의 메시지를 확인하시기 바랍니다.</t>
  </si>
  <si>
    <t xml:space="preserve">* 가져올 파일이 XLGantt로 작성된 경우만 가능_x000D_
\n* XLGantt의 버전이 0.9.7 이상인 경우만 가능\n* 자료의 갯수는 10,000개 이하까지만 처리됨_x000D_
\n* 여러개의 파일 동시처리 가능_x000D_
</t>
  </si>
  <si>
    <t>프로젝트 기간이 너무 깁니다. 가장 빠른 시작일자는 {1}이고 가장 늦은 완료일자는 {2}이므로 프로젝트 기간은 {3}일입니다. XLGantt에서 허용되는 최대일수는 {4}일입니다. 프로젝트 기간을 XLGantt에서 허용하는 범위내로 줄이십시오.</t>
  </si>
  <si>
    <t>토요일,일요일 및 Calendar sheet에 입력된 날짜_x000D_</t>
    <phoneticPr fontId="2" type="noConversion"/>
  </si>
  <si>
    <t xml:space="preserve"> Source필드 명       Target필드 명</t>
  </si>
  <si>
    <t xml:space="preserve"> 필드 명                값 예시</t>
  </si>
  <si>
    <t xml:space="preserve"> 필드 명                필드 값</t>
  </si>
  <si>
    <t xml:space="preserve"> Mapping된 상태</t>
  </si>
  <si>
    <t xml:space="preserve"> 프로젝트 휴무일 Calendar 설정</t>
  </si>
  <si>
    <t>실적진척율은 0~100% 범위만 입력가능합니다.</t>
  </si>
  <si>
    <t>개요수준(작업Level)필드입니다. 작업의 Level을 표시합니다. 예를 들어 2 Level의 작업이면 숫자 2로 표시됩니다. 개요수준대신 WBS필드(1.3.2 등의 형식으로 표시)를 사용하기도 합니다.</t>
  </si>
  <si>
    <t>WBS(Work Breakdown Structure) 필드입니다. 작업의 Level을 표시합니다. 1.3.2 등의 형식으로 표시됩니다. WBS대신 개요수준(작업Level)필드를 사용하기도 합니다. 예를 들어 2 Level의 작업이면 숫자 2로 표시됩니다.</t>
  </si>
  <si>
    <t>실적진척율</t>
  </si>
  <si>
    <t>실적 진척율(B)</t>
  </si>
  <si>
    <t>실적(C/A)</t>
  </si>
  <si>
    <t>* "스케줄업데이트" 버튼 클릭 시 아래 항목이 자동계산됩니다.</t>
  </si>
  <si>
    <t>* 언어를 선택하세요</t>
  </si>
  <si>
    <t>* XLGantt 파일이 아닌 Excel파일(1행은 제목, 2행부터 내용이 있는 파일)\n* 자료갯수 제한 없음\n* 한번에 한개의 파일만 처리됨</t>
  </si>
  <si>
    <t>* 담당별로 투입된 Task와 총작업량, 계획작업량, 진척작업을 Man-day로 보여주고, 계획/실적 진행율을 보여줍니다.</t>
  </si>
  <si>
    <t>* 담당별 Workload를 보여줍니다.</t>
  </si>
  <si>
    <t>* 프로젝트 작업량과 진척율을 보여줍니다.</t>
  </si>
  <si>
    <t>* "담당별진행율" 메뉴를 클릭해야 내용이 갱신됩니다.</t>
  </si>
  <si>
    <t>* "Workload(담당별)" 메뉴를 클릭해야 내용이 갱신됩니다.</t>
  </si>
  <si>
    <t>Outlook일정이 {}건 등록되었습니다.</t>
  </si>
  <si>
    <t>Outlook작업이 {}건 등록되었습니다.</t>
  </si>
  <si>
    <t>{} 파일이 존재하지 않습니다</t>
  </si>
  <si>
    <t>&lt;&lt; 제거</t>
  </si>
  <si>
    <t>&lt;&lt; Mapping취소</t>
  </si>
  <si>
    <t>누적\nMan-Day</t>
  </si>
  <si>
    <t>실적진척율에 숫자가 아닌 값이 포함되어 있습니다. Import하는 파일의 {}행을 확인하세요.</t>
  </si>
  <si>
    <t>현재날짜까지 실제로 진행된 진척율, WBS의 "실적진척율"의 전체 합계 진척율을 표시함</t>
  </si>
  <si>
    <t>실제완료일자</t>
  </si>
  <si>
    <t>각 작업의 실제완료일(또는 실제종료일)을 표시합니다. 반드시 날짜 형식이어야 합니다.</t>
  </si>
  <si>
    <t>실제완료일의 날짜형식이 잘못되었습니다.</t>
  </si>
  <si>
    <t>실제완료일자에 날짜가 아닌 값이 포함되어 있습니다. Import하는 파일의 {}행을 확인하세요.</t>
  </si>
  <si>
    <t>실제진척율 필드입니다. 현재까지 실제 진척된 작업량을 %로 표현합니다.</t>
  </si>
  <si>
    <t>실제시작일자</t>
  </si>
  <si>
    <t>각 작업의 실제시작일을 표시합니다. 반드시 날짜 형식이어야 합니다.</t>
  </si>
  <si>
    <t>실제시작일의 날짜형식이 잘못되었습니다.</t>
  </si>
  <si>
    <t>실제시작일자에 날짜가 아닌 값이 포함되어 있습니다. Import하는 파일의 {}행을 확인하세요.</t>
  </si>
  <si>
    <t>실제 총작업량\nMan-day</t>
  </si>
  <si>
    <t>실제 총기간__(전체 기간)</t>
    <phoneticPr fontId="4" type="noConversion"/>
  </si>
  <si>
    <t>실제\n총기간</t>
  </si>
  <si>
    <t>실제 총작업량\n(총ManDay,_x000D_가중치 감안)</t>
    <phoneticPr fontId="4" type="noConversion"/>
  </si>
  <si>
    <t>실제__완료일</t>
    <phoneticPr fontId="4" type="noConversion"/>
  </si>
  <si>
    <t>실제__시작일</t>
    <phoneticPr fontId="4" type="noConversion"/>
  </si>
  <si>
    <t>실제__총기간</t>
    <phoneticPr fontId="4" type="noConversion"/>
  </si>
  <si>
    <t>실제__총작업량</t>
    <phoneticPr fontId="4" type="noConversion"/>
  </si>
  <si>
    <t>실제\n완료일</t>
    <phoneticPr fontId="2" type="noConversion"/>
  </si>
  <si>
    <t>실제\n시작일</t>
    <phoneticPr fontId="2" type="noConversion"/>
  </si>
  <si>
    <t>실제_x000D_\n시작일-완료일</t>
    <phoneticPr fontId="2" type="noConversion"/>
  </si>
  <si>
    <t>실제\n총기간</t>
    <phoneticPr fontId="2" type="noConversion"/>
  </si>
  <si>
    <t>실제\n총작업량</t>
  </si>
  <si>
    <t>일정변경 관리할 때 현재까지 실제로 투입된 작업기간을 표시함</t>
  </si>
  <si>
    <t>추가 &gt;&gt;</t>
  </si>
  <si>
    <t>언어 추가</t>
  </si>
  <si>
    <t>MS Outlook일정 등록</t>
  </si>
  <si>
    <t>MS Outlook작업 등록</t>
  </si>
  <si>
    <t>필터를 해제하고 작업을 진행합니다.</t>
  </si>
  <si>
    <t>전체 조회(필터 해제)</t>
  </si>
  <si>
    <t>최신버전 확인 중 에러가 발생했습니다. 잠시 후 다시 시도하세요.\n에러메시지 : {}</t>
  </si>
  <si>
    <t>서식check 중 에러가 발생하였습니다. XLGantt를 종료하고 다시 시작하십시오.</t>
  </si>
  <si>
    <t>처리 중 에러가 발생했습니다. 아래의 메시지를 확인하십시오.</t>
  </si>
  <si>
    <t>분석</t>
  </si>
  <si>
    <t>자동지정</t>
  </si>
  <si>
    <t>추가 가능한 언어</t>
  </si>
  <si>
    <t>Bar chart의 텍스트 표시 위치</t>
  </si>
  <si>
    <t>다음 작업은 이미 등록되어 있으므로 등록하지 않습니다.\n\n작업명 : {1} \n기한 : {2}</t>
  </si>
  <si>
    <t>다음 작업은 이미 등록되어 있으므로 등록하지 않습니다.\n\n작업명 : {1} \n시작일 : {2}</t>
  </si>
  <si>
    <t>완료율</t>
  </si>
  <si>
    <t>기간</t>
  </si>
  <si>
    <t>계획진척율 계산 기준일자</t>
  </si>
  <si>
    <t>계획진척율 계산 기준일자는 프로젝트 시작일보다 크거나 같아야 합니다.</t>
  </si>
  <si>
    <t>계획진척율 계산 기준일자는 프로젝트 완료일보다 작거나 같아야 합니다.</t>
  </si>
  <si>
    <t>취소</t>
  </si>
  <si>
    <t>프로그램 시작 시 최신버전 확인</t>
  </si>
  <si>
    <t>산출물 관리를 할 경우에 체크하세요</t>
  </si>
  <si>
    <t>가져올 파일 종류 선택</t>
  </si>
  <si>
    <t>XLGantt에서 사용할 언어 선택</t>
  </si>
  <si>
    <t>XLGantt에서 사용할 언어를 선택하세요.</t>
  </si>
  <si>
    <t>언어를 선택하세요</t>
  </si>
  <si>
    <t>가져오기 옵션을 선택하세요.</t>
  </si>
  <si>
    <t>컴퓨터 O/S와 관계없이 직접 선택</t>
  </si>
  <si>
    <t>산출물 종류를 선택하세요</t>
  </si>
  <si>
    <t>닫기</t>
  </si>
  <si>
    <t>완료</t>
  </si>
  <si>
    <t>포함</t>
  </si>
  <si>
    <t>현재 사용중인 버전</t>
  </si>
  <si>
    <t>일별</t>
  </si>
  <si>
    <t>일별보기</t>
  </si>
  <si>
    <t>휴무일로 계산되는 날</t>
  </si>
  <si>
    <t>산출물 필드입니다.</t>
  </si>
  <si>
    <t>산출물 종류가 선택되지 않았습니다</t>
  </si>
  <si>
    <t>실적진척율 표시</t>
  </si>
  <si>
    <t>날짜 표시</t>
  </si>
  <si>
    <t>완료된 작업의 폰트색상 회색표시</t>
  </si>
  <si>
    <t>작업그룹의 배경색 회색표시</t>
  </si>
  <si>
    <t>계획진척율 표시</t>
  </si>
  <si>
    <t>담당 표시</t>
  </si>
  <si>
    <t>작업명 표시</t>
  </si>
  <si>
    <t>같은 필드에 작업명 표시</t>
  </si>
  <si>
    <t>프로젝트 전체의 작업량을 Man/Day로 표시한다. 가중치를 적용한 값이다.</t>
  </si>
  <si>
    <t>Level별로 다른 필드에 작업명 표시</t>
  </si>
  <si>
    <t>프로그램 최신버전 다운로드</t>
  </si>
  <si>
    <t>Gantt chart 그리기 작업</t>
  </si>
  <si>
    <t>진척율선 그리기</t>
  </si>
  <si>
    <t>기간 지정</t>
  </si>
  <si>
    <t>작업 정보</t>
  </si>
  <si>
    <t>사용할 수 있는 언어</t>
  </si>
  <si>
    <t>같음</t>
  </si>
  <si>
    <t>오류! 계산된 Total Man-Day가 {} sheet의 Total Man-Day와 다릅니다.</t>
  </si>
  <si>
    <t>작업 중 에러가 발생했습니다. 원인은 다음 중 하나일 수 있습니다.\n - 파일이 비정상적인 경우(XLGantt파일이 손상된 경우 등)\n - XLGantt 파일이 아닌 일반 엑셀파일인 경우\n\n 자세한 원인은 아래의 메시지를 확인하시기 바랍니다.</t>
  </si>
  <si>
    <t>오류, 지정할 수 없는 필드가 있습니다</t>
  </si>
  <si>
    <t>기타</t>
    <phoneticPr fontId="2" type="noConversion"/>
  </si>
  <si>
    <t>엑셀</t>
  </si>
  <si>
    <t>프로그램 실행경로</t>
  </si>
  <si>
    <t>확장자명</t>
  </si>
  <si>
    <t>필터 적용</t>
  </si>
  <si>
    <t>작업 필터</t>
  </si>
  <si>
    <t>완료일자</t>
  </si>
  <si>
    <t>각 작업의 완료일(또는 종료일)을 표시합니다. 반드시 날짜 형식이어야 합니다.</t>
  </si>
  <si>
    <t>작업완료일의 날짜형식이 잘못되었습니다.</t>
  </si>
  <si>
    <t>완료일자에 날짜가 아닌 값이 포함되어 있습니다. Import하는 파일의 {}행을 확인하세요.</t>
  </si>
  <si>
    <t>한주의 시작요일</t>
  </si>
  <si>
    <t>컴퓨터 O/S의 언어설정을 따름</t>
  </si>
  <si>
    <t>금</t>
  </si>
  <si>
    <t>Source파일(가져올 파일 )</t>
  </si>
  <si>
    <t>시작날짜 형식이 잘못되었습니다.</t>
  </si>
  <si>
    <t>Gantt chart표시 방법</t>
  </si>
  <si>
    <t>Gantt Chart 보기 형식</t>
  </si>
  <si>
    <t>Gantt Chart 축소/확대 비율(최대 999%)</t>
    <phoneticPr fontId="2" type="noConversion"/>
  </si>
  <si>
    <t>일반</t>
    <phoneticPr fontId="2" type="noConversion"/>
  </si>
  <si>
    <t>가져오는 파일(소스파일)에 설정된 언어와 이 파일(타겟파일)에 설정된 언어가 다르면 Import할 수 없습니다.</t>
  </si>
  <si>
    <t>작업명으로 하위 경로 자동지정을 선택한 경우에는 상위의 기본경로를 설정해야 합니다.</t>
  </si>
  <si>
    <t>{2} sheet의 {1}행의 실제시작일만 입력하고 실제완료일을 비워놓으면 완료율을 100%로 입력할 수 없습니다.</t>
  </si>
  <si>
    <t>가져오기</t>
  </si>
  <si>
    <t>일반 Excel 파일</t>
  </si>
  <si>
    <t>기존Data 지우고 가져오기</t>
  </si>
  <si>
    <t>기존Data 아래에 추가하기</t>
  </si>
  <si>
    <t>XLGantt로 작성된 파일 가져오기</t>
  </si>
  <si>
    <t>이 XLGantt파일에 있는 Data를 지우고 새로운 Data를 가져와서 _x000D_
붙여 넣기</t>
  </si>
  <si>
    <t>이 XLGantt파일에 있는 Data를 그대로 두고 맨 아래에 새로운 Data를 가져와서 붙여 넣기</t>
  </si>
  <si>
    <t>가져오기 옵션</t>
  </si>
  <si>
    <t xml:space="preserve">가져오기 작업이 정상적으로 완료되었습니다.\n가져온 자료의 전체 행수 : </t>
  </si>
  <si>
    <t>기존Data에 추가하기</t>
  </si>
  <si>
    <t>파일 가져오기</t>
  </si>
  <si>
    <t>자료를 가져옵니다. 잠시만 기다려주세요...</t>
  </si>
  <si>
    <t>산출물명 비었을때\n선택목록에 포함\n여부</t>
  </si>
  <si>
    <t>작업레벨 내림</t>
  </si>
  <si>
    <t>Chart 내부</t>
  </si>
  <si>
    <t>이미 선택된 언어입니다.</t>
  </si>
  <si>
    <t>작업결과</t>
  </si>
  <si>
    <t>홍길동</t>
  </si>
  <si>
    <t>언어</t>
    <phoneticPr fontId="2" type="noConversion"/>
  </si>
  <si>
    <t>Chart 왼쪽</t>
  </si>
  <si>
    <t>라이선스</t>
  </si>
  <si>
    <t>일정변경 관리함(시작일/완료일, 실제시작일/실제완료일 사용)</t>
  </si>
  <si>
    <t>yyyy년 m월</t>
  </si>
  <si>
    <t>월</t>
  </si>
  <si>
    <t>월별</t>
  </si>
  <si>
    <t>월별보기</t>
  </si>
  <si>
    <t>휴무일명</t>
  </si>
  <si>
    <t>최신 버전</t>
  </si>
  <si>
    <t>다음 &gt;&gt;</t>
  </si>
  <si>
    <t>Calendar sheet에 입력할 필요 없음</t>
  </si>
  <si>
    <t>토요일,일요일은 Calendar sheet에 입력할 필요 없음</t>
    <phoneticPr fontId="2" type="noConversion"/>
  </si>
  <si>
    <t>휴무일자</t>
  </si>
  <si>
    <t>미완료</t>
  </si>
  <si>
    <t>일정변경 관리 안함(시작일/완료일만 사용)</t>
  </si>
  <si>
    <t>지정하지 않음(표준캘린더)</t>
  </si>
  <si>
    <t>1~2행 중 한 행이 삭제되었습니다. 원래대로 복구한 후 작업하십시오.</t>
  </si>
  <si>
    <t>"같은 필드에 작업명 표시" 옵션을 선택했으면 WBS No. 또는 개요수준(WBS Level) 필드 중 하나는 선택되어야 합니다</t>
  </si>
  <si>
    <t>토요일,일요일만</t>
    <phoneticPr fontId="2" type="noConversion"/>
  </si>
  <si>
    <t>Calendar sheet에 입력된 날짜만</t>
    <phoneticPr fontId="2" type="noConversion"/>
  </si>
  <si>
    <t>산출물 열기</t>
  </si>
  <si>
    <t>산출물 폴더 열기</t>
  </si>
  <si>
    <t>옵션</t>
  </si>
  <si>
    <t>작업레벨 올림</t>
  </si>
  <si>
    <t>개요수준</t>
  </si>
  <si>
    <t>퍼센트 지정</t>
  </si>
  <si>
    <t>날짜 선택</t>
  </si>
  <si>
    <t>계획진척율 계산 기준일자</t>
    <phoneticPr fontId="2" type="noConversion"/>
  </si>
  <si>
    <t>현재날짜까지 계획된 진척율, WBS의 "계획진척율"의 전체 합계 진척율을 표시함</t>
  </si>
  <si>
    <t>계획 진척율(A)</t>
  </si>
  <si>
    <t>계획(B/A)</t>
  </si>
  <si>
    <t>계획진척율</t>
  </si>
  <si>
    <t>계획작업량(B)\nMan-day</t>
  </si>
  <si>
    <t>계획 작업량_x000D_
(현재일까지ManDay,_x000D_
가중치 감안)</t>
  </si>
  <si>
    <t>현재일까지 계획된 작업량</t>
  </si>
  <si>
    <t>해당작업의 시작일부터 현재일까지의 작업기간을 의미함(현재 날짜까지 진행되었어야 할 기간)</t>
  </si>
  <si>
    <t>계획__기간</t>
    <phoneticPr fontId="4" type="noConversion"/>
  </si>
  <si>
    <t>계획__작업량</t>
    <phoneticPr fontId="4" type="noConversion"/>
  </si>
  <si>
    <t>계획\n기간</t>
  </si>
  <si>
    <t>계획\n작업량</t>
  </si>
  <si>
    <t>작업필드의 유형을 선택하세요.</t>
  </si>
  <si>
    <t>확장자명을 입력하세요.</t>
  </si>
  <si>
    <t>산출물이 저장될 특정경로를 입력하세요.</t>
  </si>
  <si>
    <t>프로그램 실행경로를 입력하세요.</t>
  </si>
  <si>
    <t>이 Sheet에서 프로젝트 Calendar를 설정하세요.</t>
  </si>
  <si>
    <t>양수이면 계획보다 빨리 진행, 음수이면 지연</t>
  </si>
  <si>
    <t>파워포인트</t>
  </si>
  <si>
    <t>프로그램 정보</t>
  </si>
  <si>
    <t>프로그램명</t>
  </si>
  <si>
    <t>프로그램 사이트</t>
  </si>
  <si>
    <t>진척율</t>
  </si>
  <si>
    <t>프로젝트수행계획서</t>
  </si>
  <si>
    <t>프로젝트 정보</t>
  </si>
  <si>
    <t>프로젝트명</t>
  </si>
  <si>
    <t>컴퓨터 O/S에 설정된 언어와 관계없이 사용자가 표시할 언어를 직접 선택할 수 _x000D_
있습니다.</t>
  </si>
  <si>
    <t>릴리즈 일자</t>
  </si>
  <si>
    <t>자원 필드입니다. 담당자, 리소스 등의 이름으로 불리기도 합니다. 해당 작업의 담당자를 표시합니다</t>
  </si>
  <si>
    <t>Chart 오른쪽</t>
  </si>
  <si>
    <t xml:space="preserve">가져온 자료의 행수 : </t>
  </si>
  <si>
    <t>토</t>
  </si>
  <si>
    <t>저장</t>
  </si>
  <si>
    <t>스케줄업데이트 작업이 완료되었습니다.</t>
  </si>
  <si>
    <t>차이(B-A)</t>
  </si>
  <si>
    <t>가져올 파일을 선택하세요(다중선택가능)</t>
  </si>
  <si>
    <t>Task의 가장 빠른 시작일과 가장 늦은 완료일을 프로젝트 기간으로 자동설정</t>
  </si>
  <si>
    <t xml:space="preserve">작업명으로 경로 자동지정(이 경우 자동지정된 경로의 상위경로를 입력) </t>
  </si>
  <si>
    <t>산출물열기 프로그램 실행경로 지정</t>
  </si>
  <si>
    <t>산출물 저장경로</t>
  </si>
  <si>
    <t>설정</t>
  </si>
  <si>
    <t>특정날짜</t>
  </si>
  <si>
    <t>특정 경로</t>
  </si>
  <si>
    <t>표준캘린더</t>
  </si>
  <si>
    <t>시작일자</t>
  </si>
  <si>
    <t>각 작업의 시작일을 표시합니다. 반드시 날짜 형식이어야 합니다.</t>
  </si>
  <si>
    <t>작업시작일의 날짜형식이 잘못되었습니다.</t>
  </si>
  <si>
    <t>시작일자에 날짜가 아닌 값이 포함되어 있습니다. Import하는 파일의 {}행을 확인하세요.</t>
  </si>
  <si>
    <t>시작일-완료일</t>
  </si>
  <si>
    <t>일</t>
  </si>
  <si>
    <t>작업영역이 선택되지 않았습니다. 영역을 선택하세요.</t>
  </si>
  <si>
    <t>작업명</t>
  </si>
  <si>
    <t>작업명 필드입니다. 이름, Task, Activity등 다른 이름으로 불리기도 합니다. 작업의 Level에 따라 표시하는 방식이 다를 수 있습니다. Level별로 다른 필드에 작업명이 표시되는 경우에는 1 Level 필드만 Traget파일의 "작업명"필드와 Mapping하면 됩니다.</t>
  </si>
  <si>
    <t>Task(작업명, 이름 등)는 반드시 입력되어야 합니다.</t>
  </si>
  <si>
    <t>실적진척율 열이 삭제되었습니다. 원래대로 복구한 후 작업하세요.</t>
  </si>
  <si>
    <t>{2} sheet의 {1}행의 실적진척율이 숫자가 아닙니다.</t>
  </si>
  <si>
    <t>실제완료일 열이 삭제되었습니다. 원래대로 복구한 후 작업하세요.</t>
  </si>
  <si>
    <t>실제시작일 열이 삭제되었습니다. 원래대로 복구한 후 작업하세요.</t>
  </si>
  <si>
    <t>실제총기간 열이 삭제되었습니다. 원래대로 복구한 후 작업하세요.</t>
  </si>
  <si>
    <t>실제총작업량 열이 삭제되었습니다. 원래대로 복구한 후 작업하세요.</t>
  </si>
  <si>
    <t>Calendar 열이 삭제되었습니다. 원래대로 복구한 후 작업하세요.</t>
  </si>
  <si>
    <t>산출물 열이 삭제되었습니다. 원래대로 복구한 후 작업하세요.</t>
  </si>
  <si>
    <t>완료일 열이 삭제되었습니다. 원래대로 복구한 후 작업하세요.</t>
  </si>
  <si>
    <t>비고 열이 삭제되었습니다. 원래대로 복구한 후 작업하세요.</t>
  </si>
  <si>
    <t>계획진척율 열이 삭제되었습니다. 원래대로 복구한 후 작업하세요.</t>
  </si>
  <si>
    <t>계획기간 열이 삭제되었습니다. 원래대로 복구한 후 작업하세요.</t>
  </si>
  <si>
    <t>계획작업량 열이 삭제되었습니다. 원래대로 복구한 후 작업하세요.</t>
  </si>
  <si>
    <t>담당 열이 삭제되었습니다. 원래대로 복구한 후 작업하세요.</t>
  </si>
  <si>
    <t>시작일 열이 삭제되었습니다. 원래대로 복구한 후 작업하세요.</t>
  </si>
  <si>
    <t>작업 열이 삭제되었습니다. 원래대로 복구한 후 작업하세요.</t>
  </si>
  <si>
    <t>총기간 열이 삭제되었습니다. 원래대로 복구한 후 작업하세요.</t>
  </si>
  <si>
    <t>총작업량 열이 삭제되었습니다. 원래대로 복구한 후 작업하세요.</t>
  </si>
  <si>
    <t>WBS Level 열이 삭제되었습니다. 원래대로 복구한 후 작업하세요.</t>
  </si>
  <si>
    <t>WBS 열이 삭제되었습니다. 원래대로 복구한 후 작업하세요.</t>
  </si>
  <si>
    <t>가중치 열이 삭제되었습니다. 원래대로 복구한 후 작업하세요.</t>
  </si>
  <si>
    <t>{} sheet가 존재하지 않습니다. 이름을 변경하거나 삭제했는지 확인하세요.</t>
  </si>
  <si>
    <t>{2} sheet의 {1}행의 실제완료일이 날짜형식이 아닙니다. 정확한 날짜형식으로 입력하세요.</t>
  </si>
  <si>
    <t>{2} sheet의 {1}행의 실제시작일이 비어있고 실제완료일만 입력되어 있습니다.</t>
  </si>
  <si>
    <t>{2} sheet의 {1}행의 실제시작일이 날짜형식이 아닙니다. 정확한 날짜형식으로 입력하세요.</t>
  </si>
  <si>
    <t>{2} sheet의 {1}행의 실제시작일이 실제완료일보다 큽니다.</t>
  </si>
  <si>
    <t>{2} sheet의 {1}행의 실제 시작일이 프로젝트 기간을 벗어났습니다.</t>
  </si>
  <si>
    <t>{2} sheet의 {1}행의 실젝 시작일 또는 완료일이 프로젝트 기간을 벗어났습니다.</t>
  </si>
  <si>
    <t>Level의 갯수</t>
  </si>
  <si>
    <t>{2} sheet의 {1}행의 날짜는 입력되었는데 작업필드가 비어있습니다.\n작업필드의 값을 채우거나 날짜를 지우세요.</t>
  </si>
  <si>
    <t>산출물명이 비어있습니다.</t>
  </si>
  <si>
    <t>가장 빠른 시작일({1})이 프로젝트 기간정보의 시작일({2})보다 더 빠릅니다.\n\n이 경우 리소스 계산등에 문제가 있을 수 있습니다. 시작일을 환경설정메뉴의 프로젝트 기간내로 조정하거나 프로젝트 기간을 조정하시기 바랍니다.</t>
  </si>
  <si>
    <t>{2} sheet의 {1}행의 완료일이 날짜형식이 아닙니다. 정확한 날짜형식으로 입력하세요.</t>
  </si>
  <si>
    <t>Gantt영역의 첫번째 열이 삭제되었습니다. 원래대로 복구한 후 작업하세요.</t>
  </si>
  <si>
    <t>다음 파일은 지원하지 않는 형식입니다. XLGantt Version 0.9.7 이상 버전만 지원합니다.</t>
  </si>
  <si>
    <t>다음의 XLGantt파일은 지원하지 않는 버전입니다. Version 0.9.7 이상 버전만 지원합니다.</t>
  </si>
  <si>
    <t>다음 파일을 성공적으로 가져왔습니다.</t>
  </si>
  <si>
    <t>다음의 폴더가 존재하지 않습니다.</t>
  </si>
  <si>
    <t>계획진척율 계산 기준일자의 날짜형식이 잘못되었습니다.</t>
  </si>
  <si>
    <t>프로젝트 완료일의 날짜형식이 잘못되었습니다.</t>
  </si>
  <si>
    <t>프로젝트 시작일의 날짜형식이 잘못되었습니다.</t>
  </si>
  <si>
    <t>작업이 정상적으로 완료되지 않았습니다.</t>
  </si>
  <si>
    <t>기간의 종류가 잘못되었습니다. W(주), M(월) 중에 하나를 입력해야 합니다</t>
  </si>
  <si>
    <t>언어설정이 변경되었습니다.\n확인버튼을 누르면 번역을 시작합니다. 번역은 시간이 걸릴 수 있습니다. \n리본메뉴, 팝업메뉴의 언어는 이 XLGantt파일을 닫은 후 새로 열어야 번역이 적용됩니다.</t>
    <phoneticPr fontId="4" type="noConversion"/>
  </si>
  <si>
    <t>가장 늦은 완료일({1})이 프로젝트 기간정보의 완료일({2})보다 더 늦습니다.\n\n이 경우 리소스 계산등에 문제가 있을 수 있습니다. 완료일을 환경설정메뉴의 프로젝트 기간내로 조정하거나 프로젝트 기간을 조정하시기 바랍니다.</t>
  </si>
  <si>
    <t>{} 행의 Level이 맞지 않습니다. Level을 1보다 크게 증가했는지 확인하세요.</t>
  </si>
  <si>
    <t>Level의 갯수는 {}개까지만 가능합니다.</t>
  </si>
  <si>
    <t>Level의 갯수는 양의 정수만 가능합니다.</t>
  </si>
  <si>
    <t>{} sheet의 에러로 인해 작업이 중단되었습니다.</t>
  </si>
  <si>
    <t>입력한 프로젝트 기간의 완료일({})이 날짜형식이 아닙니다.</t>
  </si>
  <si>
    <t>입력한 프로젝트 기간의 시작일({})이 날짜형식이 아닙니다</t>
  </si>
  <si>
    <t>{2} sheet의 {1}행의 시작일이 날짜형식이 아닙니다. 정확한 날짜형식으로 입력하세요.</t>
  </si>
  <si>
    <t>시작일이 완료일보다 큽니다.</t>
  </si>
  <si>
    <t>{2} sheet의 {1}행의 시작일이 완료일보다 큽니다.</t>
  </si>
  <si>
    <t>{2} sheet의 {1}행의 시작일 또는 완료일이 프로젝트 기간을 벗어났습니다.</t>
  </si>
  <si>
    <t>{} sheet 첫행의 작업이 1 Level이 아닙니다. 첫행의 작업이 첫째칸이 아닌 다른 칸에 입력되었는지 확인하세요.</t>
  </si>
  <si>
    <t>Task필드 유형</t>
  </si>
  <si>
    <t>{2} sheet의 {1}행의 가중치가 숫자가 아닙니다.</t>
  </si>
  <si>
    <t>입력한 산출물을 열 수 있는 실행프로그램이 없습니다.</t>
  </si>
  <si>
    <t>{2} sheet의 {1}행의 총작업량 또는계획작업량 필드에 오류가 있습니다. 시작일/완료일이 잘못 입력되었는지 또는 수식에 문제가 없는지 확인하세요.</t>
  </si>
  <si>
    <t>다음 파일에 자료가 없습니다.</t>
  </si>
  <si>
    <t>입력된 자료가 없습니다</t>
  </si>
  <si>
    <t>계산할 입력자료가 없습니다.</t>
  </si>
  <si>
    <t>입력된 자료가 없습니다.</t>
  </si>
  <si>
    <t>입력된 자료가 없습니다. 입력 후 서식재설정 해 주세요.</t>
  </si>
  <si>
    <t>진척율선 그리기 작업 중 에러가 발생했습니다. 실제시작일 또는 실제완료일이 프로젝트 기간을 벗어난 경우에 발생할 수 있습니다. 아래의 메시지를 확인하십시오.</t>
  </si>
  <si>
    <t>선택할 수 없는 영역입니다. 작업명이 입력된 행을 선택하세요.</t>
  </si>
  <si>
    <t>이번 달 작업만 조회</t>
  </si>
  <si>
    <t>이번 주 작업만 조회</t>
  </si>
  <si>
    <t>지금 사용하고 계신 XLGantt는 최신버전이 아닙니다.\n_x000D_
최신버전을 아래의 사이트에서 다운로드 받으세요.</t>
  </si>
  <si>
    <t>목</t>
  </si>
  <si>
    <t>Time bucket type 오류입니다.</t>
  </si>
  <si>
    <t>Target파일(가져온 후 파일)</t>
  </si>
  <si>
    <t>끝날짜 형식이 잘못되었습니다.</t>
  </si>
  <si>
    <t>Source파일에서 Target파일로 가져오기 위해서 각각의 필드를 Mapping합니다. _x000D_
Source파일의 필드를 먼저 선택하고 해당되는 필드를 Targe파일에서 찾아서 Mapping합니다.</t>
  </si>
  <si>
    <t>오늘</t>
  </si>
  <si>
    <t>오늘 작업만 조회</t>
  </si>
  <si>
    <t>총작업량(A)\nMan-day</t>
  </si>
  <si>
    <t>총 작업량_x000D_
(총ManDay,_x000D_
가중치 감안)</t>
  </si>
  <si>
    <t>프로젝트 전체 작업량</t>
  </si>
  <si>
    <t>총__기간</t>
    <phoneticPr fontId="4" type="noConversion"/>
  </si>
  <si>
    <t>총__작업량</t>
    <phoneticPr fontId="4" type="noConversion"/>
  </si>
  <si>
    <t>총\n기간</t>
  </si>
  <si>
    <t>총\n작업량</t>
  </si>
  <si>
    <t>화</t>
  </si>
  <si>
    <t>{2} sheet의 {1}행의 실적진척율을 0~100% 범위로 입력해주세요.</t>
  </si>
  <si>
    <t>화면설계</t>
  </si>
  <si>
    <t>파일을 열수 없습니다. 환경설정&gt;산출물관리 탭에서 "산출물 관리를 할 경우에 체크하세요" 옵션을 체크상태로 변경해 주세요.</t>
  </si>
  <si>
    <t>업데이트 내용</t>
  </si>
  <si>
    <t>스케줄업데이트 중입니다...\n잠시만 기다려 주세요...</t>
  </si>
  <si>
    <t>사용자정의 캘린더1</t>
  </si>
  <si>
    <t>사용자정의 캘린더2</t>
  </si>
  <si>
    <t>차이(실적-계획)</t>
  </si>
  <si>
    <t>WBS영역 표시방법</t>
  </si>
  <si>
    <t>WBS Level(개요번호)에 숫자가 아닌 값이 포함되어 있습니다. Import하는 파일의 {}행을 확인하세요.</t>
  </si>
  <si>
    <t>수</t>
  </si>
  <si>
    <t>주별</t>
  </si>
  <si>
    <t>주별보기</t>
  </si>
  <si>
    <t>가중치의 숫자형식이 잘못되었습니다.</t>
  </si>
  <si>
    <t>가중치는 0보다 커야 합니다.</t>
  </si>
  <si>
    <t>워드</t>
  </si>
  <si>
    <t>Workload현황({})</t>
  </si>
  <si>
    <t>Workload(월별)</t>
  </si>
  <si>
    <t>Workload(담당별)</t>
  </si>
  <si>
    <t>Workload(주별)</t>
  </si>
  <si>
    <t>저장하기 전에 스케줄을 업데이트하시겠습니까?\n\n[스케줄업데이트]메뉴를 클릭할 때와 동일한 작업을 수행합니다.</t>
    <phoneticPr fontId="4" type="noConversion"/>
  </si>
  <si>
    <t>사용하고 계신 XLGantt는 최신 버전입니다.\n현재 버전 : {}</t>
  </si>
  <si>
    <t>{} Sheet에서만 Outlook일정을 등록할 수 있습니다.</t>
  </si>
  <si>
    <t>{} Sheet에서만 Outlook작업을 등록할 수 있습니다.</t>
  </si>
  <si>
    <t>{} Sheet에서만 작업을 편집할 수 있습니다.</t>
  </si>
  <si>
    <t>{} Sheet에서만 작업가능합니다.</t>
  </si>
  <si>
    <t>선택한 위치에서는 작업할 수 없습니다.</t>
  </si>
  <si>
    <t>선택한 위치에서는 Outlook작업을 등록할 수 없습니다.</t>
  </si>
  <si>
    <t>A열부터 C열까지는 XLGantt프로그램에서 사용하는 영역이므로 임의로 열을 추가할 수 없습니다.</t>
  </si>
  <si>
    <t>더 이상 입력불가</t>
  </si>
  <si>
    <t>더 이상 오른쪽으로 이동할 수 없습니다!</t>
  </si>
  <si>
    <t>선택한 위치에서는 이동할 수 없습니다.</t>
  </si>
  <si>
    <t>더 이상 왼쪽으로 이동할 수 없습니다!</t>
  </si>
  <si>
    <t>Microsoft Outlook을 사용할 수 없습니다.\n정상적으로 설치되어 있는지 확인하세요.</t>
  </si>
  <si>
    <t xml:space="preserve">일정을 관리할 때 작업 시작일/완료일만 사용합니다. 변경된 일정은 관리하지 않습니다. 일정이 변경되었을 때는 시작일과 완료일을 변경합니다.  </t>
  </si>
  <si>
    <t xml:space="preserve">일정을 관리할 때 작업 시작일/완료일, 실제시작일/실제완료일을 사용합니다. 실제 시작된 날짜와 실제 완료된 날짜를 입력하여 일정이 지연되었거나 빨리 진행된 것을 관리할 수 있습니다.  </t>
  </si>
  <si>
    <t>필드명이 비어있는 항목은 선택할 수 없습니다.</t>
  </si>
  <si>
    <t>엑셀매크로 파일은 가져오기를 할 수 없습니다. xls 또는 xlsx파일로 저장하여 작업하시기 바랍니다. 만약 XLGantt파일인 경우에는 "XLGantt로 작성된 파일 가져오기"에서 작업 가능합니다</t>
  </si>
  <si>
    <t>기본언어인 English와 Korean은 삭제할 수 없습니다.</t>
  </si>
  <si>
    <t>언어가 선택되지 않았습니다.</t>
  </si>
  <si>
    <t>Source항목이 선택되지 않았습니다.</t>
  </si>
  <si>
    <t>Target항목이 선택되지 않았습니다.</t>
  </si>
  <si>
    <t>Mapping취소항목이 선택되지 않았습니다.</t>
  </si>
  <si>
    <t>한곳만 선택하세요. 현재 {}곳이 선택되었습니다.</t>
  </si>
  <si>
    <t>작업을 그룹으로 묶기</t>
    <phoneticPr fontId="2" type="noConversion"/>
  </si>
  <si>
    <t>계산 옵션</t>
    <phoneticPr fontId="2" type="noConversion"/>
  </si>
  <si>
    <t>데이터 표만 수동</t>
    <phoneticPr fontId="2" type="noConversion"/>
  </si>
  <si>
    <t>계획진척율</t>
    <phoneticPr fontId="2" type="noConversion"/>
  </si>
  <si>
    <t>Invalid field name!</t>
    <phoneticPr fontId="2" type="noConversion"/>
  </si>
  <si>
    <t>필드명이 잘못되었습니다!</t>
    <phoneticPr fontId="2" type="noConversion"/>
  </si>
  <si>
    <t>Import file format Error! Range A1 should contain "xlgantt_reserved" string.</t>
    <phoneticPr fontId="2" type="noConversion"/>
  </si>
  <si>
    <t>가져오는 파일의 포맷이 잘못되었습니다. A1셀에는 "xlgantt_reserved"가 입력되어 있어야 합니다.</t>
    <phoneticPr fontId="2" type="noConversion"/>
  </si>
  <si>
    <t>Import file format Error! Range A2 should contain the import result.</t>
    <phoneticPr fontId="2" type="noConversion"/>
  </si>
  <si>
    <t>가져오는 파일의 포맷이 잘못되었습니다. A2셀에는 가져오기 결과가 입력되어 있어야 합니다.</t>
    <phoneticPr fontId="2" type="noConversion"/>
  </si>
  <si>
    <t>Successfully imported.</t>
    <phoneticPr fontId="2" type="noConversion"/>
  </si>
  <si>
    <t>가져오기가 정상적으로 완료되었습니다.</t>
    <phoneticPr fontId="2" type="noConversion"/>
  </si>
  <si>
    <t>File저장시 "스케줄업데이트" 실행</t>
    <phoneticPr fontId="2" type="noConversion"/>
  </si>
  <si>
    <t>Name:optRecalcWBSArea</t>
  </si>
  <si>
    <t>Recalculate WBS area after import</t>
    <phoneticPr fontId="2" type="noConversion"/>
  </si>
  <si>
    <t>Do not recalculate WBS area after import</t>
    <phoneticPr fontId="2" type="noConversion"/>
  </si>
  <si>
    <t>가져오기 후 WBS영역 재계산</t>
    <phoneticPr fontId="2" type="noConversion"/>
  </si>
  <si>
    <t>가져오기 후 WBS영역 재계산 안함</t>
    <phoneticPr fontId="2" type="noConversion"/>
  </si>
  <si>
    <t>Number of "Task" columns(Max 20)</t>
    <phoneticPr fontId="2" type="noConversion"/>
  </si>
  <si>
    <t>"작업"열의 개수(최대 20개)</t>
    <phoneticPr fontId="2" type="noConversion"/>
  </si>
  <si>
    <t>Name:txtNumberOfTaskColumn</t>
  </si>
  <si>
    <t>wbs_level</t>
  </si>
  <si>
    <t>xlgantt_reserved</t>
  </si>
  <si>
    <t>xlgantt_task_connection</t>
  </si>
  <si>
    <t>Import from Server</t>
    <phoneticPr fontId="2" type="noConversion"/>
  </si>
  <si>
    <t>project_information</t>
    <phoneticPr fontId="2" type="noConversion"/>
  </si>
  <si>
    <t>Choose what to do after Importing Server Data</t>
    <phoneticPr fontId="2" type="noConversion"/>
  </si>
  <si>
    <t>서버데이터 가져온 후 수행할 작업 선택</t>
    <phoneticPr fontId="2" type="noConversion"/>
  </si>
  <si>
    <t xml:space="preserve">Import  Data of "ServerData" sheet on Startup </t>
    <phoneticPr fontId="2" type="noConversion"/>
  </si>
  <si>
    <t>프로그램 시작 시 "ServerData" 시트의 데이터 가져오기</t>
    <phoneticPr fontId="2" type="noConversion"/>
  </si>
  <si>
    <t>Import has already been completed.</t>
    <phoneticPr fontId="2" type="noConversion"/>
  </si>
  <si>
    <t>가져오기가 이미 완료되었습니다.</t>
    <phoneticPr fontId="2" type="noConversion"/>
  </si>
  <si>
    <t>No data to import.</t>
    <phoneticPr fontId="2" type="noConversion"/>
  </si>
  <si>
    <t>가져올 데이터가 없습니다.</t>
    <phoneticPr fontId="2" type="noConversion"/>
  </si>
  <si>
    <t>The number of task columns is not 10. Please retry after changing the sheet to its previous state.</t>
    <phoneticPr fontId="2" type="noConversion"/>
  </si>
  <si>
    <t>Task열의 갯수가 10개가 아닙니다. 원래대로 복구한 후 작업하세요.</t>
    <phoneticPr fontId="2" type="noConversion"/>
  </si>
  <si>
    <t>체계 1</t>
    <phoneticPr fontId="2" type="noConversion"/>
  </si>
  <si>
    <t>체계 2</t>
  </si>
  <si>
    <t>The week containing the first Thursday of the year is the first week of the year(ISO 8601 Standard).</t>
    <phoneticPr fontId="2" type="noConversion"/>
  </si>
  <si>
    <t>System 2</t>
    <phoneticPr fontId="2" type="noConversion"/>
  </si>
  <si>
    <t>System 1</t>
    <phoneticPr fontId="2" type="noConversion"/>
  </si>
  <si>
    <t>The week containing January 1 is the first week of the year.</t>
    <phoneticPr fontId="2" type="noConversion"/>
  </si>
  <si>
    <t>1월 1일을 포함하는 주가 년도의 첫주가 되는 방식</t>
    <phoneticPr fontId="2" type="noConversion"/>
  </si>
  <si>
    <t>한주의 시작은 월요일이며 년도의 첫번째 목요일을 포함하는 주가 첫주가 되는 방식(ISO 8601 표준)</t>
    <phoneticPr fontId="2" type="noConversion"/>
  </si>
  <si>
    <t>for Week Number</t>
    <phoneticPr fontId="2" type="noConversion"/>
  </si>
  <si>
    <t>None</t>
    <phoneticPr fontId="2" type="noConversion"/>
  </si>
  <si>
    <t>표시 안함</t>
    <phoneticPr fontId="2" type="noConversion"/>
  </si>
  <si>
    <t>Name:optWeekNum</t>
  </si>
  <si>
    <t>Week Numbers Display</t>
    <phoneticPr fontId="2" type="noConversion"/>
  </si>
  <si>
    <t>주차 표시방식</t>
    <phoneticPr fontId="2" type="noConversion"/>
  </si>
  <si>
    <t>ServerData</t>
    <phoneticPr fontId="2" type="noConversion"/>
  </si>
  <si>
    <t>Group rows(Max 8 Levels)</t>
    <phoneticPr fontId="2" type="noConversion"/>
  </si>
  <si>
    <t>작업을 그룹으로 묶기(최대 8 레벨)</t>
    <phoneticPr fontId="2" type="noConversion"/>
  </si>
  <si>
    <t>최신버전\n확인</t>
    <phoneticPr fontId="2" type="noConversion"/>
  </si>
  <si>
    <t>스케줄\n업데이트</t>
    <phoneticPr fontId="2" type="noConversion"/>
  </si>
  <si>
    <t>담당별\n진행율</t>
    <phoneticPr fontId="2" type="noConversion"/>
  </si>
  <si>
    <t>서식\n재설정</t>
    <phoneticPr fontId="2" type="noConversion"/>
  </si>
  <si>
    <t>서버에서\n가져오기</t>
    <phoneticPr fontId="2" type="noConversion"/>
  </si>
  <si>
    <t>totalWorkload</t>
  </si>
  <si>
    <t>planWorkload</t>
  </si>
  <si>
    <t>actualWorkload</t>
  </si>
  <si>
    <t>resourceWeight</t>
  </si>
  <si>
    <t>planRate</t>
  </si>
  <si>
    <t>actualRate</t>
  </si>
  <si>
    <t>reserved index</t>
    <phoneticPr fontId="2" type="noConversion"/>
  </si>
  <si>
    <t>1</t>
  </si>
  <si>
    <t>Actual Accumulated\nMan-Day</t>
    <phoneticPr fontId="2" type="noConversion"/>
  </si>
  <si>
    <t>실제 누적\nMan-Day</t>
    <phoneticPr fontId="2" type="noConversion"/>
  </si>
  <si>
    <t>Actual Man-Day</t>
    <phoneticPr fontId="2" type="noConversion"/>
  </si>
  <si>
    <t>실제 Man-Day</t>
    <phoneticPr fontId="2" type="noConversion"/>
  </si>
  <si>
    <t>Actual Progress</t>
    <phoneticPr fontId="2" type="noConversion"/>
  </si>
  <si>
    <t>실제진척율</t>
    <phoneticPr fontId="2" type="noConversion"/>
  </si>
  <si>
    <t>실적기성(Man-Day)</t>
    <phoneticPr fontId="2" type="noConversion"/>
  </si>
  <si>
    <t>실적기성 진척율</t>
    <phoneticPr fontId="2" type="noConversion"/>
  </si>
  <si>
    <t>Project Progresses by Weeks</t>
    <phoneticPr fontId="2" type="noConversion"/>
  </si>
  <si>
    <t>프로젝트 진척율(주별)</t>
    <phoneticPr fontId="2" type="noConversion"/>
  </si>
  <si>
    <t>* This sheet shows you project progresses by weeks.</t>
    <phoneticPr fontId="2" type="noConversion"/>
  </si>
  <si>
    <t>* 주별로 프로젝트 진적율을 보여줍니다.</t>
    <phoneticPr fontId="2" type="noConversion"/>
  </si>
  <si>
    <t>프로젝트 진척율 - 일정변경 관리할때</t>
    <phoneticPr fontId="2" type="noConversion"/>
  </si>
  <si>
    <t>프로젝트 진척율 - 일정변경 관리하지 않을때</t>
    <phoneticPr fontId="2" type="noConversion"/>
  </si>
  <si>
    <t>timebucketStart</t>
  </si>
  <si>
    <t>timebucketFinish</t>
  </si>
  <si>
    <t>actualStart</t>
  </si>
  <si>
    <t>actualFinish</t>
  </si>
  <si>
    <t>Planned Workload(Man-Day)</t>
    <phoneticPr fontId="2" type="noConversion"/>
  </si>
  <si>
    <t>계획작업량(Man-Day)</t>
    <phoneticPr fontId="2" type="noConversion"/>
  </si>
  <si>
    <t>Planned Workload Accumulated(Man-Day)</t>
    <phoneticPr fontId="2" type="noConversion"/>
  </si>
  <si>
    <t>계획작업량 누적(Man-Day)</t>
    <phoneticPr fontId="2" type="noConversion"/>
  </si>
  <si>
    <t>실적기성 누적(Man-Day)</t>
    <phoneticPr fontId="2" type="noConversion"/>
  </si>
  <si>
    <t>Actual Workload(Man-Day)</t>
    <phoneticPr fontId="2" type="noConversion"/>
  </si>
  <si>
    <t>실제작업량(Man-Day)</t>
    <phoneticPr fontId="2" type="noConversion"/>
  </si>
  <si>
    <t>실제작업량 누적(Man-Day)</t>
    <phoneticPr fontId="2" type="noConversion"/>
  </si>
  <si>
    <t>Actual Workload Progress</t>
    <phoneticPr fontId="2" type="noConversion"/>
  </si>
  <si>
    <t>실제작업량 진척율</t>
    <phoneticPr fontId="2" type="noConversion"/>
  </si>
  <si>
    <t>Planned Workload Progress</t>
    <phoneticPr fontId="2" type="noConversion"/>
  </si>
  <si>
    <t>계획작업량 진척율</t>
    <phoneticPr fontId="2" type="noConversion"/>
  </si>
  <si>
    <t>Actual Workload Accumulated(Man-Day)</t>
    <phoneticPr fontId="2" type="noConversion"/>
  </si>
  <si>
    <t>Progress by Weeks</t>
    <phoneticPr fontId="2" type="noConversion"/>
  </si>
  <si>
    <t>진척율(주별)</t>
    <phoneticPr fontId="2" type="noConversion"/>
  </si>
  <si>
    <t>Progress by Months</t>
    <phoneticPr fontId="2" type="noConversion"/>
  </si>
  <si>
    <t>진척율(월별)</t>
    <phoneticPr fontId="2" type="noConversion"/>
  </si>
  <si>
    <t>Project Progresses by Months</t>
    <phoneticPr fontId="2" type="noConversion"/>
  </si>
  <si>
    <t>프로젝트 진척율(월별)</t>
    <phoneticPr fontId="2" type="noConversion"/>
  </si>
  <si>
    <t>* This sheet shows you project progresses by months.</t>
    <phoneticPr fontId="2" type="noConversion"/>
  </si>
  <si>
    <t>* 월별로 프로젝트 진적율을 보여줍니다.</t>
    <phoneticPr fontId="2" type="noConversion"/>
  </si>
  <si>
    <t>* "진척율(주별)" 메뉴를 클릭해야 갱신됨</t>
    <phoneticPr fontId="2" type="noConversion"/>
  </si>
  <si>
    <t>* You need to click the "Progress by Weeks" button to update the contents.</t>
    <phoneticPr fontId="2" type="noConversion"/>
  </si>
  <si>
    <t>* You need to click the "Progress by Months" button to update the contents.</t>
    <phoneticPr fontId="2" type="noConversion"/>
  </si>
  <si>
    <t>* "진척율(월별)" 메뉴를 클릭해야 갱신됨</t>
    <phoneticPr fontId="2" type="noConversion"/>
  </si>
  <si>
    <t>Earned Value(Man-Day)</t>
    <phoneticPr fontId="2" type="noConversion"/>
  </si>
  <si>
    <t>Earned Value Accumulated(Man-Day)</t>
    <phoneticPr fontId="2" type="noConversion"/>
  </si>
  <si>
    <t>Earned Value Progress</t>
    <phoneticPr fontId="2" type="noConversion"/>
  </si>
  <si>
    <t>Earned value on planned schedule</t>
    <phoneticPr fontId="2" type="noConversion"/>
  </si>
  <si>
    <t>Earned value on planned schedule when managing schedule changes(Total Duration x %Work Complete)</t>
    <phoneticPr fontId="2" type="noConversion"/>
  </si>
  <si>
    <t>실적기성</t>
    <phoneticPr fontId="2" type="noConversion"/>
  </si>
  <si>
    <t>일정변경관리 할때 실적기성(총기간 x 총실적진행율)</t>
    <phoneticPr fontId="2" type="noConversion"/>
  </si>
  <si>
    <t>earnedValue</t>
  </si>
  <si>
    <t>Earned Value(C)\nMan-day</t>
    <phoneticPr fontId="2" type="noConversion"/>
  </si>
  <si>
    <t>실적기성( C )\nMan-day</t>
    <phoneticPr fontId="2" type="noConversion"/>
  </si>
  <si>
    <t>wbsLevel01</t>
  </si>
  <si>
    <t>wbsLevel02</t>
  </si>
  <si>
    <t>wbsLevel03</t>
  </si>
  <si>
    <t>wbsLevel04</t>
  </si>
  <si>
    <t>wbsLevel05</t>
  </si>
  <si>
    <t>wbsLevel06</t>
  </si>
  <si>
    <t>wbsLevel07</t>
  </si>
  <si>
    <t>wbsLevel08</t>
  </si>
  <si>
    <t>wbsLevel09</t>
  </si>
  <si>
    <t>wbsLevel10</t>
  </si>
  <si>
    <t>2</t>
  </si>
  <si>
    <t>weekNumber</t>
  </si>
  <si>
    <t>wbsLevel</t>
  </si>
  <si>
    <t>Workloads</t>
    <phoneticPr fontId="2" type="noConversion"/>
  </si>
  <si>
    <t>Workload</t>
    <phoneticPr fontId="2" type="noConversion"/>
  </si>
  <si>
    <t>Workload Data</t>
    <phoneticPr fontId="2" type="noConversion"/>
  </si>
  <si>
    <t>Create Workload Data by Weeks</t>
    <phoneticPr fontId="2" type="noConversion"/>
  </si>
  <si>
    <t>Workload Data생성(주별)</t>
    <phoneticPr fontId="2" type="noConversion"/>
  </si>
  <si>
    <t>Create Workload Data by Months</t>
  </si>
  <si>
    <t>Workload Data생성(월별)</t>
  </si>
  <si>
    <t>1.1</t>
  </si>
  <si>
    <t>1.1.1</t>
  </si>
  <si>
    <t>1.1.2</t>
  </si>
  <si>
    <t>1.2</t>
  </si>
  <si>
    <t>1.2.1</t>
  </si>
  <si>
    <t>1.3</t>
  </si>
  <si>
    <t>1.3.1</t>
  </si>
  <si>
    <t>3</t>
  </si>
  <si>
    <t>4</t>
  </si>
  <si>
    <t>5</t>
  </si>
  <si>
    <t>6</t>
  </si>
  <si>
    <t>7</t>
  </si>
  <si>
    <t>8</t>
  </si>
  <si>
    <t>9</t>
  </si>
  <si>
    <t>10</t>
  </si>
  <si>
    <t>11</t>
  </si>
  <si>
    <t>12</t>
  </si>
  <si>
    <t>13</t>
  </si>
  <si>
    <t>14</t>
  </si>
  <si>
    <t>15</t>
  </si>
  <si>
    <t>16</t>
  </si>
  <si>
    <t>Benchmarking</t>
  </si>
  <si>
    <t>Workshop</t>
  </si>
  <si>
    <t>1.1.3</t>
  </si>
  <si>
    <t>1.1.4</t>
  </si>
  <si>
    <t>1.2.2</t>
  </si>
  <si>
    <t>1.3.2</t>
  </si>
  <si>
    <t>1.4</t>
  </si>
  <si>
    <t>1.4.1</t>
  </si>
  <si>
    <t>1.4.2</t>
  </si>
  <si>
    <t>1.4.3</t>
  </si>
  <si>
    <t>2020년 신정</t>
  </si>
  <si>
    <t>2020년 설연휴</t>
  </si>
  <si>
    <t>Earned value on planned schedule(Total Duration x %Work Complete)</t>
    <phoneticPr fontId="2" type="noConversion"/>
  </si>
  <si>
    <t>실적기성(총기간 x 총실적진행율)</t>
    <phoneticPr fontId="2" type="noConversion"/>
  </si>
  <si>
    <t>실제 투입된 작업량</t>
    <phoneticPr fontId="2" type="noConversion"/>
  </si>
  <si>
    <t>1;3;4;0;1</t>
    <phoneticPr fontId="2" type="noConversion"/>
  </si>
  <si>
    <t>2;4;8;0;1</t>
    <phoneticPr fontId="2" type="noConversion"/>
  </si>
  <si>
    <t>3;5;6;0;0</t>
    <phoneticPr fontId="2" type="noConversion"/>
  </si>
  <si>
    <t>4;8;9;0;1</t>
    <phoneticPr fontId="2" type="noConversion"/>
  </si>
  <si>
    <t>5;7;11;0;1</t>
    <phoneticPr fontId="2" type="noConversion"/>
  </si>
  <si>
    <t>6;11;12;0;1</t>
    <phoneticPr fontId="2" type="noConversion"/>
  </si>
  <si>
    <t>7;10;14;0;1</t>
    <phoneticPr fontId="2" type="noConversion"/>
  </si>
  <si>
    <t>8;14;15;0;1</t>
    <phoneticPr fontId="2" type="noConversion"/>
  </si>
  <si>
    <t>9;15;16;0;1</t>
    <phoneticPr fontId="2" type="noConversion"/>
  </si>
  <si>
    <t>엑셀간트(XLGantt) - 엑셀 일정관리</t>
    <phoneticPr fontId="2" type="noConversion"/>
  </si>
  <si>
    <t>for help sheet</t>
    <phoneticPr fontId="2" type="noConversion"/>
  </si>
  <si>
    <t>도움말, 최신 버전 다운로드</t>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</si>
  <si>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2" type="noConversion"/>
  </si>
  <si>
    <t>시트 구성</t>
    <phoneticPr fontId="2" type="noConversion"/>
  </si>
  <si>
    <t>작업과 일정을 입력하면 진척율이 계산되며 작업의 일정을 간트차트로 표시해 준다.</t>
    <phoneticPr fontId="2" type="noConversion"/>
  </si>
  <si>
    <t>작업량, 진척율 등을 볼 수 있다.</t>
  </si>
  <si>
    <t>담당별 진행율, Workload등 분석용 Report를 만들어서 보여준다.</t>
  </si>
  <si>
    <t>프로젝트의 휴무일을 설정한다.</t>
  </si>
  <si>
    <t>Server가 별도로 존재하는 IT시스템의 일정관리 Data를 PC에서 보고자할 때 사용한다.</t>
  </si>
  <si>
    <t>(숨겨진 시트) 언어별 번역이 들어 있다.</t>
  </si>
  <si>
    <t>사용법</t>
    <phoneticPr fontId="2" type="noConversion"/>
  </si>
  <si>
    <t>간단 사용법</t>
  </si>
  <si>
    <t>작업입력, 스케줄 업데이트</t>
  </si>
  <si>
    <t>간트차트 표시방법 설정</t>
  </si>
  <si>
    <t>프로젝트 전체 진행상황 파악하기</t>
  </si>
  <si>
    <t>분석 리포트</t>
  </si>
  <si>
    <t>Microsoft Outlook작업, 일정등록</t>
  </si>
  <si>
    <t>다국어 지원</t>
  </si>
  <si>
    <t>다른 파일에서 일정 가져오기</t>
  </si>
  <si>
    <t>Server Data 가져오기</t>
  </si>
  <si>
    <t>기능을 간단히 빨리 익히고 싶으면 “간단 사용법”을 참고한다</t>
  </si>
  <si>
    <t>작업명, 시작일, 완료일, 진척율을 입력하면 휴무일, 가중치를 고려하여 자동으로 작업기간, 계획진척율, 실적진척율 등이 계산된다.</t>
  </si>
  <si>
    <t>진척율을 이용하여 프로젝트 전체 진행상황을 파악할 수 있다.</t>
  </si>
  <si>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</si>
  <si>
    <t>엑셀간트에서는 산출물의 저장 경로(폴더 위치)를 지정하고 Schedule시트에서 바로 산출물을 열 수 있는 기능을 제공한다. 리본 메뉴에서 “옵션” 버튼을 클릭하면  “산출물”과 관련된 설정을 할 수 있다.</t>
  </si>
  <si>
    <t>엑셀간트에서는 Schedule시트에 입력되어 있는 작업을 Microsoft Outlook에 작업이나 일정으로 등록할 수 있는 기능을 제공한다(단, PC에 Microsoft Outlook이 설치되어 있어야 한다).</t>
  </si>
  <si>
    <t>엑셀간트는 다국어를 지원하는데 프로그램을 수정하지 않고 여러 다국어를 추가할 수 있다. 현재는 한국어, 영어 2개 국어가 추가되어 있다.</t>
  </si>
  <si>
    <t>엑셀간트에서는 엑셀간트(XLGantt) 또는 일반 엑셀파일로 만들어진 일정을 가져오는 기능을 제공한다.</t>
  </si>
  <si>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</si>
  <si>
    <t>Excel기능과 통합</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</si>
  <si>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</si>
  <si>
    <t>도움말</t>
    <phoneticPr fontId="2" type="noConversion"/>
  </si>
  <si>
    <t>https://xlworks.net/xlgantt-howto-09-multilingual-support/</t>
  </si>
  <si>
    <t>https://xlworks.net/xlgantt-howto-10-import-schedule/</t>
  </si>
  <si>
    <t>https://xlworks.net/xlgantt-howto-11-calendar/</t>
  </si>
  <si>
    <t>https://xlworks.net/xlgantt-howto-12-integration-with-excel/</t>
  </si>
  <si>
    <t>(Hidden sheet) Contains language-specific translations.</t>
  </si>
  <si>
    <t>Multilingual Support</t>
  </si>
  <si>
    <t>XLGantt  - Project Scheduler</t>
    <phoneticPr fontId="2" type="noConversion"/>
  </si>
  <si>
    <t>Help and the latest version</t>
    <phoneticPr fontId="2" type="noConversion"/>
  </si>
  <si>
    <t>Sheets</t>
    <phoneticPr fontId="2" type="noConversion"/>
  </si>
  <si>
    <t>When you enter a task and a schedule, the progress rate is calculated and the schedule of the task is displayed as a gantt chart.</t>
    <phoneticPr fontId="2" type="noConversion"/>
  </si>
  <si>
    <t>Shows you the progresses and workloads of the project by weeks, months, and resources.</t>
    <phoneticPr fontId="2" type="noConversion"/>
  </si>
  <si>
    <t>Shows you the workloads, progresses, etc.</t>
    <phoneticPr fontId="2" type="noConversion"/>
  </si>
  <si>
    <t>Sets nonworking days.</t>
    <phoneticPr fontId="2" type="noConversion"/>
  </si>
  <si>
    <t>Workload data를 주별/월별로 만들어 준다. 피벗 등의 기능으로 사용자가 원하는대로 분석을 할 수 있다.</t>
    <phoneticPr fontId="2" type="noConversion"/>
  </si>
  <si>
    <t>Makes workload data by weekly and monthly. You can do analysis as you want by using Excel features such as pivot.</t>
    <phoneticPr fontId="2" type="noConversion"/>
  </si>
  <si>
    <t>It is used when you want to see schedule data of IT system where server exists separately.</t>
    <phoneticPr fontId="2" type="noConversion"/>
  </si>
  <si>
    <t>Setting Gantt chart display style</t>
    <phoneticPr fontId="2" type="noConversion"/>
  </si>
  <si>
    <t>Keeping track of project progress</t>
    <phoneticPr fontId="2" type="noConversion"/>
  </si>
  <si>
    <t>Analysis report</t>
    <phoneticPr fontId="2" type="noConversion"/>
  </si>
  <si>
    <t>Schedule change</t>
    <phoneticPr fontId="2" type="noConversion"/>
  </si>
  <si>
    <t>Adding Tasks to Microsoft Outlook Calendar</t>
    <phoneticPr fontId="2" type="noConversion"/>
  </si>
  <si>
    <t>Importing Schedules from Another File</t>
    <phoneticPr fontId="2" type="noConversion"/>
  </si>
  <si>
    <t>Integration with Excel Features</t>
    <phoneticPr fontId="2" type="noConversion"/>
  </si>
  <si>
    <t>Importing Server Data</t>
    <phoneticPr fontId="2" type="noConversion"/>
  </si>
  <si>
    <t>When you enter task names, start and finish dates, and %work complete values, XLGantt automatically calculates the tasks durations, planned %work complete values.</t>
    <phoneticPr fontId="2" type="noConversion"/>
  </si>
  <si>
    <t>Bar chart형태로 간트차트를 보여주며 여러 가지 표시방법을 옵션에서 설정할 수 있다.</t>
  </si>
  <si>
    <t>You can click the "Options" button on the ribbon to customize a Gantt chart style.</t>
    <phoneticPr fontId="2" type="noConversion"/>
  </si>
  <si>
    <t>You can use %work complete to keep track of the progress of the project.</t>
    <phoneticPr fontId="2" type="noConversion"/>
  </si>
  <si>
    <t>프로젝트의 현황을 파악할 수 있는 진행율, Workload 등의 분석 리포트와 분석용 Workload data를 제공한다.</t>
    <phoneticPr fontId="2" type="noConversion"/>
  </si>
  <si>
    <t>Provides you with analytical reports such as progress, workload, and workload data for tracking the status of your project.</t>
    <phoneticPr fontId="2" type="noConversion"/>
  </si>
  <si>
    <t>Manages the planned schedule and actual schedule of the project.</t>
    <phoneticPr fontId="2" type="noConversion"/>
  </si>
  <si>
    <t>Specifies the save path of the deliverables and open the deliverables.</t>
    <phoneticPr fontId="2" type="noConversion"/>
  </si>
  <si>
    <t>Currently we support only English and Korean as user interface(UI) language at XLGantt. Since the program code and the resource file for multiple languages ​​are separated, it is possible to add multiple languages ​​without modifying the program.</t>
    <phoneticPr fontId="2" type="noConversion"/>
  </si>
  <si>
    <t>Imports schedules into XLGantt. You can import the schedules by mapping the fields.</t>
    <phoneticPr fontId="2" type="noConversion"/>
  </si>
  <si>
    <t>한주의 시작요일 지정, 휴무일 설정, 주차표시 기능을 제공한다.
리본메뉴 &gt; XLGantt – Project Scheduler &gt; 옵션 &gt; “Calendar” 탭에서 설정할 수 있다.</t>
    <phoneticPr fontId="2" type="noConversion"/>
  </si>
  <si>
    <t>You can include the formulas and functions of the Excel in XLGantt.</t>
    <phoneticPr fontId="2" type="noConversion"/>
  </si>
  <si>
    <t>Server가 별도로 존재하는 IT시스템의 일정관리 데이터를 PC에서 보고자할 때 Server에서 일정관리 데이터를 ServerData 시트에 넣은 후 파일을 다운로드하고 XLGantt 파일을 열면 이 데이터가 Schedule 시트로 들어온다. 서버에서 작업연결정보를 내려주면 작업을 연결해서 보여준다.</t>
    <phoneticPr fontId="2" type="noConversion"/>
  </si>
  <si>
    <t>You can use this feature if you want to see the server's schedule data. If you put the schedule data on the Server into the ServerData sheet and download the XLGantt file and open the XLGantt file, the data comes into the Schedule sheet.</t>
    <phoneticPr fontId="2" type="noConversion"/>
  </si>
  <si>
    <t>This “Program” is free software developed and distributed by xlworks.net. This program is free to use anywhere, anytime including personal / business / government / school. This Software is protected by copyright laws and other intellectual property laws and international treaties and may not be modified, reverse engineered, decompiled, disassembled, or made part of other software.</t>
    <phoneticPr fontId="2" type="noConversion"/>
  </si>
  <si>
    <t>Getting Started With XLGantt</t>
    <phoneticPr fontId="2" type="noConversion"/>
  </si>
  <si>
    <t>If you want to learn the features quickly and easily, see the "Getting Started With XLGantt".</t>
    <phoneticPr fontId="2" type="noConversion"/>
  </si>
  <si>
    <t>https://xlworks.net/en/xlgantt-howto-07-deliverables/</t>
    <phoneticPr fontId="2" type="noConversion"/>
  </si>
  <si>
    <t>https://xlworks.net/en/xlgantt-howto-08-add-tasks-to-outlook/</t>
    <phoneticPr fontId="2" type="noConversion"/>
  </si>
  <si>
    <t>https://xlworks.net/en/xlgantt-howto-09-multilingual-support/</t>
    <phoneticPr fontId="2" type="noConversion"/>
  </si>
  <si>
    <t>https://xlworks.net/en/xlgantt-howto-10-import-schedule/</t>
    <phoneticPr fontId="2" type="noConversion"/>
  </si>
  <si>
    <t>https://xlworks.net/en/xlgantt-howto-11-calendar/</t>
    <phoneticPr fontId="2" type="noConversion"/>
  </si>
  <si>
    <t>https://xlworks.net/en/xlgantt-howto-12-integration-with-excel/</t>
    <phoneticPr fontId="2" type="noConversion"/>
  </si>
  <si>
    <t>https://xlworks.net/en/xlgantt-howto-13-server-data/</t>
    <phoneticPr fontId="2" type="noConversion"/>
  </si>
  <si>
    <t>https://xlworks.net/xlgantt-howto-13-server-data/</t>
    <phoneticPr fontId="2" type="noConversion"/>
  </si>
  <si>
    <t>https://xlworks.net/en</t>
    <phoneticPr fontId="2" type="noConversion"/>
  </si>
  <si>
    <t>https://xlworks.net</t>
    <phoneticPr fontId="2" type="noConversion"/>
  </si>
  <si>
    <t>XLGantt is a program designed to enable project scheduling in Microsoft Excel. It is composed of the following features. You don't need to install this program because it is a Excel macro file. You just download this file, save it to a folder, and open it in Excel.</t>
    <phoneticPr fontId="2" type="noConversion"/>
  </si>
  <si>
    <t>When you enter nonworking days, XLGantt excludes them from calculations of working time. Standard calendar is the default calendar. If you want to specify a different calendar for a specific task, please use "User Defined Calendar 1" or "User Defined Calendar 2".</t>
    <phoneticPr fontId="2" type="noConversion"/>
  </si>
  <si>
    <t>Adds tasks to the Outlook calendar(You must have Microsoft Outlook installed on your PC).</t>
    <phoneticPr fontId="2" type="noConversion"/>
  </si>
  <si>
    <t>reserved index, for help sheet</t>
    <phoneticPr fontId="2" type="noConversion"/>
  </si>
  <si>
    <t>Color Theme</t>
    <phoneticPr fontId="2" type="noConversion"/>
  </si>
  <si>
    <t>컬러 테마</t>
    <phoneticPr fontId="2" type="noConversion"/>
  </si>
  <si>
    <t>Display date on the timescale</t>
    <phoneticPr fontId="2" type="noConversion"/>
  </si>
  <si>
    <t>Display year on the timescale</t>
    <phoneticPr fontId="2" type="noConversion"/>
  </si>
  <si>
    <t>Display project week number on the timescale</t>
    <phoneticPr fontId="2" type="noConversion"/>
  </si>
  <si>
    <t>Appearance</t>
    <phoneticPr fontId="2" type="noConversion"/>
  </si>
  <si>
    <t>모양</t>
    <phoneticPr fontId="2" type="noConversion"/>
  </si>
  <si>
    <t>Gantt chart title</t>
    <phoneticPr fontId="2" type="noConversion"/>
  </si>
  <si>
    <t>Gantt chart group task bar</t>
    <phoneticPr fontId="2" type="noConversion"/>
  </si>
  <si>
    <t>Gantt chart sub task bar</t>
    <phoneticPr fontId="2" type="noConversion"/>
  </si>
  <si>
    <t>WBS title - input field</t>
    <phoneticPr fontId="2" type="noConversion"/>
  </si>
  <si>
    <t>WBS title - auto calculated field</t>
    <phoneticPr fontId="2" type="noConversion"/>
  </si>
  <si>
    <t>WBS 타이틀 - 입력필드</t>
    <phoneticPr fontId="2" type="noConversion"/>
  </si>
  <si>
    <t>WBS 타이틀 - 자동계산필드</t>
    <phoneticPr fontId="2" type="noConversion"/>
  </si>
  <si>
    <t>간트차트 타이틀</t>
    <phoneticPr fontId="2" type="noConversion"/>
  </si>
  <si>
    <t>간트차트 하위작업Bar</t>
    <phoneticPr fontId="2" type="noConversion"/>
  </si>
  <si>
    <t>간트차트 그룹작업Bar</t>
    <phoneticPr fontId="2" type="noConversion"/>
  </si>
  <si>
    <t>Workload Calculation</t>
    <phoneticPr fontId="2" type="noConversion"/>
  </si>
  <si>
    <t>작업량 계산</t>
    <phoneticPr fontId="2" type="noConversion"/>
  </si>
  <si>
    <t>by Weight</t>
    <phoneticPr fontId="2" type="noConversion"/>
  </si>
  <si>
    <t>가중치로 계산</t>
    <phoneticPr fontId="2" type="noConversion"/>
  </si>
  <si>
    <t>Name:chkYearDispOverTimescale</t>
  </si>
  <si>
    <t>Name:chkProjectWeekNumDispOverTimescale</t>
  </si>
  <si>
    <t>Name:cbxColorTheme</t>
  </si>
  <si>
    <t>Name:themeColorList</t>
  </si>
  <si>
    <t>Name:optWorkloadCalcByResourceAssignRate</t>
  </si>
  <si>
    <t>Default</t>
    <phoneticPr fontId="2" type="noConversion"/>
  </si>
  <si>
    <t>Purple</t>
    <phoneticPr fontId="2" type="noConversion"/>
  </si>
  <si>
    <t>Green</t>
    <phoneticPr fontId="2" type="noConversion"/>
  </si>
  <si>
    <t>Custom</t>
    <phoneticPr fontId="2" type="noConversion"/>
  </si>
  <si>
    <t>사용자 정의</t>
    <phoneticPr fontId="2" type="noConversion"/>
  </si>
  <si>
    <t>그린</t>
    <phoneticPr fontId="2" type="noConversion"/>
  </si>
  <si>
    <t>퍼플</t>
    <phoneticPr fontId="2" type="noConversion"/>
  </si>
  <si>
    <t>기본</t>
    <phoneticPr fontId="2" type="noConversion"/>
  </si>
  <si>
    <t>resourceAssignRate</t>
  </si>
  <si>
    <t>(Resources unspecified)</t>
    <phoneticPr fontId="2" type="noConversion"/>
  </si>
  <si>
    <t>(담당자미지정)</t>
    <phoneticPr fontId="2" type="noConversion"/>
  </si>
  <si>
    <t>자원배정비율</t>
    <phoneticPr fontId="2" type="noConversion"/>
  </si>
  <si>
    <t>자원배정비율로 계산</t>
    <phoneticPr fontId="2" type="noConversion"/>
  </si>
  <si>
    <t>by Resource Allocation Ratio</t>
    <phoneticPr fontId="2" type="noConversion"/>
  </si>
  <si>
    <t>Resource Allocation Ratio</t>
    <phoneticPr fontId="2" type="noConversion"/>
  </si>
  <si>
    <t>The resource allocation ratio in the resource field of row number {1} in the {2} sheet is invalid.</t>
    <phoneticPr fontId="2" type="noConversion"/>
  </si>
  <si>
    <t>{2} sheet의 {1}행의 자원배정비율이 잘못입력되었습니다.</t>
  </si>
  <si>
    <t>The resource field should be entered in the following format.</t>
    <phoneticPr fontId="2" type="noConversion"/>
  </si>
  <si>
    <t>자원배정비율은 다음과 같은 형식으로 입력되어야 합니다.</t>
    <phoneticPr fontId="2" type="noConversion"/>
  </si>
  <si>
    <t>Elsa,John[50%]</t>
    <phoneticPr fontId="2" type="noConversion"/>
  </si>
  <si>
    <t>홍길동,김길동[50%]</t>
    <phoneticPr fontId="2" type="noConversion"/>
  </si>
  <si>
    <t>Mark task as milestone</t>
    <phoneticPr fontId="2" type="noConversion"/>
  </si>
  <si>
    <t>작업을 마일스톤으로 지정</t>
    <phoneticPr fontId="2" type="noConversion"/>
  </si>
  <si>
    <t>간트차트 눈금에 년도 표시</t>
    <phoneticPr fontId="2" type="noConversion"/>
  </si>
  <si>
    <t>간트차트 눈금에 프로젝트 주차 표시</t>
    <phoneticPr fontId="2" type="noConversion"/>
  </si>
  <si>
    <t>Title above WBS</t>
    <phoneticPr fontId="2" type="noConversion"/>
  </si>
  <si>
    <t>WBS영역 위의 타이틀</t>
    <phoneticPr fontId="2" type="noConversion"/>
  </si>
  <si>
    <t>담당</t>
  </si>
  <si>
    <t>작업</t>
  </si>
  <si>
    <t>projectWeekNumber</t>
  </si>
  <si>
    <t>XYZ시스템 구축</t>
    <phoneticPr fontId="2" type="noConversion"/>
  </si>
  <si>
    <t>Project X</t>
  </si>
  <si>
    <t>범위정의</t>
  </si>
  <si>
    <t>이지은,김분석</t>
    <phoneticPr fontId="2" type="noConversion"/>
  </si>
  <si>
    <t>범위확정</t>
  </si>
  <si>
    <t>이지은</t>
    <phoneticPr fontId="2" type="noConversion"/>
  </si>
  <si>
    <t>설계</t>
  </si>
  <si>
    <t>데이터베이스 설계</t>
  </si>
  <si>
    <t>박설계</t>
    <phoneticPr fontId="2" type="noConversion"/>
  </si>
  <si>
    <t>UI설계</t>
  </si>
  <si>
    <t>개발</t>
  </si>
  <si>
    <t>코딩</t>
  </si>
  <si>
    <t>단위테스트</t>
  </si>
  <si>
    <t>나개발</t>
    <phoneticPr fontId="2" type="noConversion"/>
  </si>
  <si>
    <t>테스트</t>
  </si>
  <si>
    <t>통합테스트</t>
  </si>
  <si>
    <t>김분석,이지은</t>
    <phoneticPr fontId="2" type="noConversion"/>
  </si>
  <si>
    <t>시스템테스트</t>
  </si>
  <si>
    <t>홍길동</t>
    <phoneticPr fontId="2" type="noConversion"/>
  </si>
  <si>
    <t>UAT</t>
    <phoneticPr fontId="2" type="noConversion"/>
  </si>
  <si>
    <t>나고객,이고객</t>
    <phoneticPr fontId="2" type="noConversion"/>
  </si>
  <si>
    <t>W1</t>
  </si>
  <si>
    <t>xlgantt_task_id</t>
  </si>
  <si>
    <t>__확인사항</t>
    <phoneticPr fontId="2" type="noConversion"/>
  </si>
  <si>
    <t>범위확정시 주요화면 준비</t>
    <phoneticPr fontId="2" type="noConversion"/>
  </si>
  <si>
    <t>성능테스트Tool필요</t>
    <phoneticPr fontId="2" type="noConversion"/>
  </si>
  <si>
    <t>Title above Gantt chart</t>
    <phoneticPr fontId="2" type="noConversion"/>
  </si>
  <si>
    <t>간트차트 위의 타이틀</t>
    <phoneticPr fontId="2" type="noConversion"/>
  </si>
  <si>
    <t>Black &amp; White</t>
    <phoneticPr fontId="2" type="noConversion"/>
  </si>
  <si>
    <t>흑백</t>
    <phoneticPr fontId="2" type="noConversion"/>
  </si>
  <si>
    <t>2020년 설날 대체휴일</t>
  </si>
  <si>
    <t>21대 국회위원 선거일</t>
  </si>
  <si>
    <t>2020년 부처님오신날</t>
  </si>
  <si>
    <t>2020년 어린이날</t>
  </si>
  <si>
    <t>2020년 추석연휴</t>
  </si>
  <si>
    <t>2020년 추석</t>
  </si>
  <si>
    <t>2020년 한글날</t>
  </si>
  <si>
    <t>2020년 성탄절</t>
  </si>
  <si>
    <t>2020년 8월 임시공휴일</t>
    <phoneticPr fontId="2" type="noConversion"/>
  </si>
  <si>
    <t>2021년 신정</t>
    <phoneticPr fontId="2" type="noConversion"/>
  </si>
  <si>
    <t>2021년 설연휴</t>
    <phoneticPr fontId="2" type="noConversion"/>
  </si>
  <si>
    <t>2021년 설날</t>
    <phoneticPr fontId="2" type="noConversion"/>
  </si>
  <si>
    <t>2021년 삼일절</t>
    <phoneticPr fontId="2" type="noConversion"/>
  </si>
  <si>
    <t>2021년 어린이날</t>
    <phoneticPr fontId="2" type="noConversion"/>
  </si>
  <si>
    <t>2021년 부처님오신날</t>
    <phoneticPr fontId="2" type="noConversion"/>
  </si>
  <si>
    <t>2021년 추석연휴</t>
    <phoneticPr fontId="2" type="noConversion"/>
  </si>
  <si>
    <t>2021년 추석</t>
    <phoneticPr fontId="2" type="noConversion"/>
  </si>
  <si>
    <t>이지은</t>
  </si>
  <si>
    <t>김분석</t>
  </si>
  <si>
    <t>박설계</t>
  </si>
  <si>
    <t>Set "the earliest start date and the lastest fisnish date of the tasks" to the Project Start-Finish date.</t>
    <phoneticPr fontId="2" type="noConversion"/>
  </si>
  <si>
    <t>When not managing schedule changes</t>
    <phoneticPr fontId="2" type="noConversion"/>
  </si>
  <si>
    <t>When managing schedule changes</t>
    <phoneticPr fontId="2" type="noConversion"/>
  </si>
  <si>
    <t>일정변경 관리 안할 때</t>
    <phoneticPr fontId="2" type="noConversion"/>
  </si>
  <si>
    <t>일정변경 관리할 때</t>
    <phoneticPr fontId="2" type="noConversion"/>
  </si>
  <si>
    <t>Ahead of schedule</t>
    <phoneticPr fontId="2" type="noConversion"/>
  </si>
  <si>
    <t>On schedule</t>
    <phoneticPr fontId="2" type="noConversion"/>
  </si>
  <si>
    <t>Behind schedule</t>
    <phoneticPr fontId="2" type="noConversion"/>
  </si>
  <si>
    <t>계획보다 일찍 시작됨</t>
    <phoneticPr fontId="2" type="noConversion"/>
  </si>
  <si>
    <t>계획보다 늦게 시작됨</t>
    <phoneticPr fontId="2" type="noConversion"/>
  </si>
  <si>
    <t>Custom</t>
  </si>
  <si>
    <t>Gantt chart progress line</t>
    <phoneticPr fontId="2" type="noConversion"/>
  </si>
  <si>
    <t>간트차트 진척율선</t>
    <phoneticPr fontId="2" type="noConversion"/>
  </si>
  <si>
    <t>계획과 같은 날짜에 시작됨</t>
    <phoneticPr fontId="2" type="noConversion"/>
  </si>
  <si>
    <t>계획대비 실적 차이</t>
    <phoneticPr fontId="2" type="noConversion"/>
  </si>
  <si>
    <t>Schedule variance</t>
    <phoneticPr fontId="2" type="noConversion"/>
  </si>
  <si>
    <t>계획대비 빠름</t>
    <phoneticPr fontId="2" type="noConversion"/>
  </si>
  <si>
    <t>일정 지연</t>
    <phoneticPr fontId="2" type="noConversion"/>
  </si>
  <si>
    <t>일정 준수</t>
    <phoneticPr fontId="2" type="noConversion"/>
  </si>
  <si>
    <t>Started earlier than planned</t>
    <phoneticPr fontId="2" type="noConversion"/>
  </si>
  <si>
    <t>Started later than planned</t>
    <phoneticPr fontId="2" type="noConversion"/>
  </si>
  <si>
    <t>Started as planned</t>
    <phoneticPr fontId="2" type="noConversion"/>
  </si>
  <si>
    <t>실적 열에 표시됨</t>
    <phoneticPr fontId="2" type="noConversion"/>
  </si>
  <si>
    <t>Star(*) marks-required fields</t>
    <phoneticPr fontId="2" type="noConversion"/>
  </si>
  <si>
    <t>별(*)표시는 필수입력</t>
    <phoneticPr fontId="2" type="noConversion"/>
  </si>
  <si>
    <t>12/1/2018</t>
    <phoneticPr fontId="2" type="noConversion"/>
  </si>
  <si>
    <t>&lt;&lt; Unmap</t>
    <phoneticPr fontId="2" type="noConversion"/>
  </si>
  <si>
    <t>&lt;&lt; Remove</t>
    <phoneticPr fontId="2" type="noConversion"/>
  </si>
  <si>
    <t>10066176;10066176;26367;8421504;26367;8421504;16764108;16737792;65280;16737792;13311;65280;14540253;255</t>
    <phoneticPr fontId="2" type="noConversion"/>
  </si>
  <si>
    <t>나고객</t>
  </si>
  <si>
    <t>이고객</t>
  </si>
  <si>
    <t>https://xlworks.net/en/xlgantt-howto-1-getting-started-with-xlgantt/</t>
    <phoneticPr fontId="2" type="noConversion"/>
  </si>
  <si>
    <t>https://xlworks.net/xlgantt-easy-tip/</t>
    <phoneticPr fontId="2" type="noConversion"/>
  </si>
  <si>
    <t>https://xlworks.net/en/xlgantt-howto-2-input-task-update-schedule/</t>
    <phoneticPr fontId="2" type="noConversion"/>
  </si>
  <si>
    <t>https://xlworks.net/xlgantt-howto-02-task/</t>
    <phoneticPr fontId="2" type="noConversion"/>
  </si>
  <si>
    <t>https://xlworks.net/en/xlgantt-howto-03-gantt-chart/</t>
    <phoneticPr fontId="2" type="noConversion"/>
  </si>
  <si>
    <t>https://xlworks.net/xlgantt-howto-03-gantt-chart/</t>
    <phoneticPr fontId="2" type="noConversion"/>
  </si>
  <si>
    <t>https://xlworks.net/en/xlgantt-howto-04-project-progress/</t>
    <phoneticPr fontId="2" type="noConversion"/>
  </si>
  <si>
    <t>https://xlworks.net/xlgantt-howto-04-project-progress/</t>
    <phoneticPr fontId="2" type="noConversion"/>
  </si>
  <si>
    <t>https://xlworks.net/en/xlgantt-howto-05-analysis-report/</t>
    <phoneticPr fontId="2" type="noConversion"/>
  </si>
  <si>
    <t>https://xlworks.net/en/xlgantt-howto-06-schedule-change-management/</t>
    <phoneticPr fontId="2" type="noConversion"/>
  </si>
  <si>
    <t>Help</t>
    <phoneticPr fontId="2" type="noConversion"/>
  </si>
  <si>
    <t>https://xlworks.net/en/xlgantt-project-scheduler/</t>
    <phoneticPr fontId="2" type="noConversion"/>
  </si>
  <si>
    <t>https://xlworks.net/xlgantt-project-scheduler/</t>
    <phoneticPr fontId="2" type="noConversion"/>
  </si>
  <si>
    <t>How to use</t>
    <phoneticPr fontId="2" type="noConversion"/>
  </si>
  <si>
    <t>https://xlworks.net/xlgantt-howto-05-analysis-report/</t>
    <phoneticPr fontId="2" type="noConversion"/>
  </si>
  <si>
    <t>https://xlworks.net/xlgantt-howto-06-schedule-change-management/</t>
    <phoneticPr fontId="2" type="noConversion"/>
  </si>
  <si>
    <t>https://xlworks.net/xlgantt-howto-07-deliverables/</t>
    <phoneticPr fontId="2" type="noConversion"/>
  </si>
  <si>
    <t>https://xlworks.net/xlgantt-howto-08-add-tasks-to-outlook/</t>
    <phoneticPr fontId="2" type="noConversion"/>
  </si>
  <si>
    <t>XLGantt Version {} Terms of Use</t>
    <phoneticPr fontId="2" type="noConversion"/>
  </si>
  <si>
    <t>XLGantt Version {} 사용조건</t>
    <phoneticPr fontId="2" type="noConversion"/>
  </si>
  <si>
    <t>날짜</t>
    <phoneticPr fontId="2" type="noConversion"/>
  </si>
  <si>
    <t>요일</t>
    <phoneticPr fontId="2" type="noConversion"/>
  </si>
  <si>
    <t>Display date or day on the timescale</t>
    <phoneticPr fontId="2" type="noConversion"/>
  </si>
  <si>
    <t>간트차트 눈금에 날짜/요일 표시방법</t>
    <phoneticPr fontId="2" type="noConversion"/>
  </si>
  <si>
    <t>Display font color to gray for the completed tasks</t>
    <phoneticPr fontId="2" type="noConversion"/>
  </si>
  <si>
    <t>Display interior color to gray for the task groups</t>
    <phoneticPr fontId="2" type="noConversion"/>
  </si>
  <si>
    <t>Left</t>
    <phoneticPr fontId="2" type="noConversion"/>
  </si>
  <si>
    <t>Center</t>
    <phoneticPr fontId="2" type="noConversion"/>
  </si>
  <si>
    <t>Right</t>
    <phoneticPr fontId="2" type="noConversion"/>
  </si>
  <si>
    <t>왼쪽</t>
    <phoneticPr fontId="2" type="noConversion"/>
  </si>
  <si>
    <t>가운데</t>
    <phoneticPr fontId="2" type="noConversion"/>
  </si>
  <si>
    <t>오른쪽</t>
    <phoneticPr fontId="2" type="noConversion"/>
  </si>
  <si>
    <t>Align WBS Column</t>
    <phoneticPr fontId="2" type="noConversion"/>
  </si>
  <si>
    <t>WBS열 정렬</t>
    <phoneticPr fontId="2" type="noConversion"/>
  </si>
  <si>
    <t>Name:optAlignWBSColumn</t>
  </si>
  <si>
    <t>Date</t>
    <phoneticPr fontId="2" type="noConversion"/>
  </si>
  <si>
    <t>Day</t>
    <phoneticPr fontId="2" type="noConversion"/>
  </si>
  <si>
    <t>총작업량</t>
    <phoneticPr fontId="2" type="noConversion"/>
  </si>
  <si>
    <t>시작일</t>
    <phoneticPr fontId="2" type="noConversion"/>
  </si>
  <si>
    <t>동일한 필드명이 존재합니다.</t>
    <phoneticPr fontId="2" type="noConversion"/>
  </si>
  <si>
    <t>The same field name exists.</t>
    <phoneticPr fontId="2" type="noConversion"/>
  </si>
  <si>
    <t>__확인사항2</t>
    <phoneticPr fontId="2" type="noConversion"/>
  </si>
  <si>
    <t>Enter tasks, Update schedule</t>
    <phoneticPr fontId="2" type="noConversion"/>
  </si>
  <si>
    <t>https://xlworks.net/en/xlgantt-project-scheduler/</t>
    <phoneticPr fontId="4" type="noConversion"/>
  </si>
  <si>
    <t>Displayed in %Work complete column</t>
    <phoneticPr fontId="2" type="noConversion"/>
  </si>
  <si>
    <t>엑셀간트(XLGantt) - 엑셀 일정관리</t>
    <phoneticPr fontId="18" type="noConversion"/>
  </si>
  <si>
    <r>
      <rPr>
        <b/>
        <sz val="10"/>
        <color theme="10"/>
        <rFont val="Malgun Gothic"/>
        <family val="3"/>
        <charset val="129"/>
      </rPr>
      <t>도움말</t>
    </r>
    <r>
      <rPr>
        <b/>
        <sz val="10"/>
        <color theme="10"/>
        <rFont val="Calibri"/>
        <family val="2"/>
      </rPr>
      <t xml:space="preserve">, </t>
    </r>
    <r>
      <rPr>
        <b/>
        <sz val="10"/>
        <color theme="10"/>
        <rFont val="Malgun Gothic"/>
        <family val="3"/>
        <charset val="129"/>
      </rPr>
      <t>최신</t>
    </r>
    <r>
      <rPr>
        <b/>
        <sz val="10"/>
        <color theme="10"/>
        <rFont val="Calibri"/>
        <family val="2"/>
      </rPr>
      <t xml:space="preserve"> </t>
    </r>
    <r>
      <rPr>
        <b/>
        <sz val="10"/>
        <color theme="10"/>
        <rFont val="Malgun Gothic"/>
        <family val="3"/>
        <charset val="129"/>
      </rPr>
      <t>버전</t>
    </r>
    <r>
      <rPr>
        <b/>
        <sz val="10"/>
        <color theme="10"/>
        <rFont val="Calibri"/>
        <family val="2"/>
      </rPr>
      <t xml:space="preserve"> </t>
    </r>
    <r>
      <rPr>
        <b/>
        <sz val="10"/>
        <color theme="10"/>
        <rFont val="Malgun Gothic"/>
        <family val="3"/>
        <charset val="129"/>
      </rPr>
      <t>다운로드</t>
    </r>
    <r>
      <rPr>
        <b/>
        <sz val="10"/>
        <color theme="10"/>
        <rFont val="Calibri"/>
        <family val="2"/>
      </rPr>
      <t xml:space="preserve"> - https://xlworks.net/xlgantt-project-scheduler/ </t>
    </r>
    <phoneticPr fontId="2" type="noConversion"/>
  </si>
  <si>
    <t>엑셀간트(XLGantt)는 마이크로소프트 엑셀에서 프로젝트 일정관리를 할 수 있도록 만들어진 프로그램이며 아래와 같은 기능으로 구성되어 있다. 엑셀 VBA로 작성된 매크로 프로그램이므로 설치가 필요없고 매크로 파일만 실행하면 된다.</t>
    <phoneticPr fontId="18" type="noConversion"/>
  </si>
  <si>
    <t>시트 구성</t>
    <phoneticPr fontId="18" type="noConversion"/>
  </si>
  <si>
    <t>작업량, 진척율 등을 볼 수 있다.</t>
    <phoneticPr fontId="2" type="noConversion"/>
  </si>
  <si>
    <t>담당별 진행율, Workload등 분석용 Report를 만들어서 보여준다.</t>
    <phoneticPr fontId="2" type="noConversion"/>
  </si>
  <si>
    <t>프로젝트의 휴무일을 설정한다.</t>
    <phoneticPr fontId="2" type="noConversion"/>
  </si>
  <si>
    <t>Server가 별도로 존재하는 IT시스템의 일정관리 Data를 PC에서 보고자할 때 사용한다.</t>
    <phoneticPr fontId="2" type="noConversion"/>
  </si>
  <si>
    <t>(숨겨진 시트) 언어별 번역이 들어 있다.</t>
    <phoneticPr fontId="2" type="noConversion"/>
  </si>
  <si>
    <t>사용법</t>
    <phoneticPr fontId="18" type="noConversion"/>
  </si>
  <si>
    <t>간단 사용법</t>
    <phoneticPr fontId="2" type="noConversion"/>
  </si>
  <si>
    <t>간트차트 표시방법 설정</t>
    <phoneticPr fontId="2" type="noConversion"/>
  </si>
  <si>
    <t>프로젝트 전체 진행상황 파악하기</t>
    <phoneticPr fontId="2" type="noConversion"/>
  </si>
  <si>
    <t>분석 리포트</t>
    <phoneticPr fontId="2" type="noConversion"/>
  </si>
  <si>
    <t>일정계획 변경관리</t>
    <phoneticPr fontId="2" type="noConversion"/>
  </si>
  <si>
    <t>산출물</t>
    <phoneticPr fontId="2" type="noConversion"/>
  </si>
  <si>
    <t>Microsoft Outlook작업, 일정등록</t>
    <phoneticPr fontId="2" type="noConversion"/>
  </si>
  <si>
    <t>다국어 지원</t>
    <phoneticPr fontId="2" type="noConversion"/>
  </si>
  <si>
    <t>다른 파일에서 일정 가져오기</t>
    <phoneticPr fontId="2" type="noConversion"/>
  </si>
  <si>
    <t>Server Data 가져오기</t>
    <phoneticPr fontId="2" type="noConversion"/>
  </si>
  <si>
    <t>기능을 간단히 빨리 익히고 싶으면 “간단 사용법”을 참고한다</t>
    <phoneticPr fontId="2" type="noConversion"/>
  </si>
  <si>
    <t>작업명, 시작일, 완료일, 진척율을 입력하면 휴무일, 가중치를 고려하여 자동으로 작업기간, 계획진척율, 실적진척율 등이 계산된다.</t>
    <phoneticPr fontId="2" type="noConversion"/>
  </si>
  <si>
    <t>Bar chart형태로 간트차트를 보여주며 여러 가지 표시방법을 옵션에서 설정할 수 있다.</t>
    <phoneticPr fontId="2" type="noConversion"/>
  </si>
  <si>
    <t>진척율을 이용하여 프로젝트 전체 진행상황을 파악할 수 있다.</t>
    <phoneticPr fontId="2" type="noConversion"/>
  </si>
  <si>
    <t>엑셀간트에서는 “일정계획 변경관리”기능을 이용하여 작업의 실제시작일과 실제완료일을 입력할 수 있다. 실제 시작된 날짜와 실제 완료된 날짜를 입력하여 일정이 지연되고 있는 지, 일정이 계획보다 빠른 지 파악할 수 있다.</t>
    <phoneticPr fontId="2" type="noConversion"/>
  </si>
  <si>
    <t>엑셀간트에서는 산출물의 저장 경로(폴더 위치)를 지정하고 Schedule시트에서 바로 산출물을 열 수 있는 기능을 제공한다. 리본 메뉴에서 “옵션” 버튼을 클릭하면  “산출물”과 관련된 설정을 할 수 있다.</t>
    <phoneticPr fontId="2" type="noConversion"/>
  </si>
  <si>
    <t>엑셀간트에서는 Schedule시트에 입력되어 있는 작업을 Microsoft Outlook에 작업이나 일정으로 등록할 수 있는 기능을 제공한다(단, PC에 Microsoft Outlook이 설치되어 있어야 한다).</t>
    <phoneticPr fontId="2" type="noConversion"/>
  </si>
  <si>
    <t>엑셀간트는 다국어를 지원하는데 프로그램을 수정하지 않고 여러 다국어를 추가할 수 있다. 현재는 한국어, 영어 2개 국어가 추가되어 있다.</t>
    <phoneticPr fontId="2" type="noConversion"/>
  </si>
  <si>
    <t>엑셀간트에서는 엑셀간트(XLGantt) 또는 일반 엑셀파일로 만들어진 일정을 가져오는 기능을 제공한다.</t>
    <phoneticPr fontId="2" type="noConversion"/>
  </si>
  <si>
    <t>엑셀간트에서는 입력된 프로젝트 정보를 가지고 올 수 있는 함수와 엑셀의 수식계산 기능 등을 엑셀간트에 포함할 수 있는 기능을 제공하고 있다.
이 기능을 이용하면 프로젝트의 상황에 맞도록 엑셀간트를 재 구성할 수 있다.</t>
    <phoneticPr fontId="2" type="noConversion"/>
  </si>
  <si>
    <t>본 “소프트웨어”는 xlworks.net에서 개발하고 배포하는 무료 소프트웨어(Freeware)입니다. 이 프로그램은 개인/기업/관공서/학교 등 언제나 어디서나 무료로 사용이 가능합니다. 본 “소프트웨어”는 저작권법과 기타 지적재산권 관련 법률 및 국제 협약에 의해 보호를 받고 있으며, 본 “소프트웨어＂를 개작하거나 리버스 엔지니어링, 디컴파일, 디스어셈블, 다른 소프트웨어의 일부분으로 포함하여 제작 할 수 없습니다.</t>
    <phoneticPr fontId="2" type="noConversion"/>
  </si>
  <si>
    <t>* 프로젝트 작업량과 진척율을 보여줍니다.</t>
    <phoneticPr fontId="4" type="noConversion"/>
  </si>
  <si>
    <t>* "스케줄업데이트" 버튼 클릭 시 아래 항목이 자동계산됩니다.</t>
    <phoneticPr fontId="4" type="noConversion"/>
  </si>
  <si>
    <t>프로젝트 전체 작업량</t>
    <phoneticPr fontId="4" type="noConversion"/>
  </si>
  <si>
    <t>프로젝트 전체의 작업량을 Man/Day로 표시한다. 가중치를 적용한 값이다.</t>
    <phoneticPr fontId="4" type="noConversion"/>
  </si>
  <si>
    <t>현재일까지 계획된 작업량</t>
    <phoneticPr fontId="4" type="noConversion"/>
  </si>
  <si>
    <t>해당작업의 시작일부터 현재일까지의 작업기간을 의미함(현재 날짜까지 진행되었어야 할 기간)</t>
    <phoneticPr fontId="4" type="noConversion"/>
  </si>
  <si>
    <t>실제 투입된 작업량</t>
    <phoneticPr fontId="4" type="noConversion"/>
  </si>
  <si>
    <t>일정변경 관리할 때 현재까지 실제로 투입된 작업기간을 표시함</t>
    <phoneticPr fontId="4" type="noConversion"/>
  </si>
  <si>
    <t>계획 진척율(A)</t>
    <phoneticPr fontId="4" type="noConversion"/>
  </si>
  <si>
    <t>현재날짜까지 계획된 진척율, WBS의 "계획진척율"의 전체 합계 진척율을 표시함</t>
    <phoneticPr fontId="4" type="noConversion"/>
  </si>
  <si>
    <t>실적 진척율(B)</t>
    <phoneticPr fontId="4" type="noConversion"/>
  </si>
  <si>
    <t>현재날짜까지 실제로 진행된 진척율, WBS의 "실적진척율"의 전체 합계 진척율을 표시함</t>
    <phoneticPr fontId="4" type="noConversion"/>
  </si>
  <si>
    <t>차이(B-A)</t>
    <phoneticPr fontId="4" type="noConversion"/>
  </si>
  <si>
    <t>양수이면 계획보다 빨리 진행, 음수이면 지연</t>
    <phoneticPr fontId="4" type="noConversion"/>
  </si>
  <si>
    <t>(담당자미지정)</t>
  </si>
  <si>
    <t xml:space="preserve"> 프로젝트 휴무일 Calendar 설정</t>
    <phoneticPr fontId="4"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</si>
  <si>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(단, 옵션창의 캘린더 설정에 따라 휴무일계산방법은 달라질 수 있습니다.)_x000D_
표준캘린더는 기본으로 적용되는 캘린더이며 특정 작업에 다른 캘린더를 지정하고 싶으면 "사용자정의 캘린더1", "사용자정의 캘린더2"에 휴무일을 지정하여 사용합니다.</t>
    <phoneticPr fontId="4" type="noConversion"/>
  </si>
  <si>
    <t>표준캘린더</t>
    <phoneticPr fontId="4" type="noConversion"/>
  </si>
  <si>
    <t>사용자정의 캘린더1</t>
    <phoneticPr fontId="4" type="noConversion"/>
  </si>
  <si>
    <t>사용자정의 캘린더2</t>
    <phoneticPr fontId="4" type="noConversion"/>
  </si>
  <si>
    <t>휴무일명</t>
    <phoneticPr fontId="4" type="noConversion"/>
  </si>
  <si>
    <t>휴무일자</t>
    <phoneticPr fontId="4" type="noConversion"/>
  </si>
  <si>
    <t>더 이상 입력불가</t>
    <phoneticPr fontId="4" type="noConversion"/>
  </si>
  <si>
    <t>프로젝트 착수</t>
  </si>
  <si>
    <t>1.1.2.1</t>
  </si>
  <si>
    <t>프로젝트 계획 수립</t>
  </si>
  <si>
    <t>1.1.2.2</t>
  </si>
  <si>
    <t>착수보고(Kick off)</t>
  </si>
  <si>
    <t>월간보고1</t>
  </si>
  <si>
    <t>월간보고2</t>
  </si>
  <si>
    <t>1.2.3</t>
  </si>
  <si>
    <t>월간보고3</t>
  </si>
  <si>
    <t>1.2.4</t>
  </si>
  <si>
    <t>중간보고</t>
  </si>
  <si>
    <t>종료계획수립</t>
  </si>
  <si>
    <t>시스템 인수인계</t>
  </si>
  <si>
    <t>1.3.3</t>
  </si>
  <si>
    <t>종료보고</t>
  </si>
  <si>
    <t>1.3.4</t>
  </si>
  <si>
    <t>검수 및 종료</t>
  </si>
  <si>
    <t>2.1.1</t>
  </si>
  <si>
    <t>요구사항정의</t>
  </si>
  <si>
    <t>2.1.2</t>
  </si>
  <si>
    <t>2.1.2.1</t>
  </si>
  <si>
    <t>프로세스모델링</t>
  </si>
  <si>
    <t>2.1.2.2</t>
  </si>
  <si>
    <t>데이터모델링</t>
  </si>
  <si>
    <t>2.2.1</t>
  </si>
  <si>
    <t>UI 설계</t>
  </si>
  <si>
    <t>2.2.2</t>
  </si>
  <si>
    <t>2.2.2.1</t>
  </si>
  <si>
    <t>Architecture설계</t>
  </si>
  <si>
    <t>2.2.2.2</t>
  </si>
  <si>
    <t>데이터베이스설계</t>
  </si>
  <si>
    <t>2.2.2.3</t>
  </si>
  <si>
    <t>프로그램설계</t>
  </si>
  <si>
    <t>2.2.3</t>
  </si>
  <si>
    <t>테스트 설계</t>
  </si>
  <si>
    <t>2.3.1</t>
  </si>
  <si>
    <t>2.3.1.1</t>
  </si>
  <si>
    <t>단위테스트시나리오작성</t>
  </si>
  <si>
    <t>2.3.1.2</t>
  </si>
  <si>
    <t>2.3.1.2.1</t>
  </si>
  <si>
    <t>2.3.1.2.1.1</t>
  </si>
  <si>
    <t>프로그램A</t>
  </si>
  <si>
    <t>2.3.1.2.1.2</t>
  </si>
  <si>
    <t>프로그램B</t>
  </si>
  <si>
    <t>2.3.1.2.1.3</t>
  </si>
  <si>
    <t>프로그램C</t>
  </si>
  <si>
    <t>2.3.1.2.2</t>
  </si>
  <si>
    <t>모듈B</t>
  </si>
  <si>
    <t>2.3.1.2.3</t>
  </si>
  <si>
    <t>모듈C</t>
  </si>
  <si>
    <t>2.3.1.2.4</t>
  </si>
  <si>
    <t>모듈D</t>
  </si>
  <si>
    <t>2.3.2</t>
  </si>
  <si>
    <t>2.3.2.1</t>
  </si>
  <si>
    <t>통합테스트실시</t>
  </si>
  <si>
    <t>2.3.2.2</t>
  </si>
  <si>
    <t>시스템테스트실시</t>
  </si>
  <si>
    <t>2.4.1</t>
  </si>
  <si>
    <t>2.4.1.1</t>
  </si>
  <si>
    <t>Release 및 Contingency plan수립</t>
  </si>
  <si>
    <t>2.4.2</t>
  </si>
  <si>
    <t>2.4.2.1</t>
  </si>
  <si>
    <t>데이터베이스구축</t>
  </si>
  <si>
    <t>2.4.2.2</t>
  </si>
  <si>
    <t>소프트웨어설치</t>
  </si>
  <si>
    <t>2.4.2.3</t>
  </si>
  <si>
    <t>인수테스트실시</t>
  </si>
  <si>
    <t>2.4.2.4</t>
  </si>
  <si>
    <t>시스템오픈</t>
  </si>
  <si>
    <t>2.1</t>
  </si>
  <si>
    <t>2.2</t>
  </si>
  <si>
    <t>2.3</t>
  </si>
  <si>
    <t>2.4</t>
  </si>
  <si>
    <t>4.7.0</t>
    <phoneticPr fontId="2" type="noConversion"/>
  </si>
  <si>
    <r>
      <t xml:space="preserve">XLGantt 4.7.0 ©XLWorks </t>
    </r>
    <r>
      <rPr>
        <b/>
        <sz val="9"/>
        <color rgb="FFFF8800"/>
        <rFont val="Calibri"/>
        <family val="2"/>
      </rPr>
      <t xml:space="preserve"> </t>
    </r>
    <r>
      <rPr>
        <b/>
        <sz val="9"/>
        <color rgb="FFFF8800"/>
        <rFont val="돋움"/>
        <family val="3"/>
        <charset val="129"/>
      </rPr>
      <t>주별보기</t>
    </r>
    <r>
      <rPr>
        <b/>
        <sz val="9"/>
        <color rgb="FFFF8800"/>
        <rFont val="Calibri"/>
        <family val="2"/>
      </rPr>
      <t xml:space="preserve">, Zoom 100%, </t>
    </r>
    <r>
      <rPr>
        <b/>
        <sz val="9"/>
        <color rgb="FFFF8800"/>
        <rFont val="돋움"/>
        <family val="3"/>
        <charset val="129"/>
      </rPr>
      <t>계산</t>
    </r>
    <r>
      <rPr>
        <b/>
        <sz val="9"/>
        <color rgb="FFFF8800"/>
        <rFont val="Calibri"/>
        <family val="2"/>
      </rPr>
      <t xml:space="preserve"> </t>
    </r>
    <r>
      <rPr>
        <b/>
        <sz val="9"/>
        <color rgb="FFFF8800"/>
        <rFont val="돋움"/>
        <family val="3"/>
        <charset val="129"/>
      </rPr>
      <t>옵션</t>
    </r>
    <r>
      <rPr>
        <b/>
        <sz val="9"/>
        <color rgb="FFFF8800"/>
        <rFont val="Calibri"/>
        <family val="2"/>
      </rPr>
      <t xml:space="preserve"> : </t>
    </r>
    <r>
      <rPr>
        <b/>
        <sz val="9"/>
        <color rgb="FFFF8800"/>
        <rFont val="돋움"/>
        <family val="3"/>
        <charset val="129"/>
      </rPr>
      <t>자동</t>
    </r>
  </si>
  <si>
    <t xml:space="preserve">XLGantt 4.7.0 ©XLWorks </t>
    <phoneticPr fontId="4" type="noConversion"/>
  </si>
  <si>
    <t>박피엠</t>
  </si>
  <si>
    <t>XLGantt Version 4.7.0 사용조건</t>
    <phoneticPr fontId="2" type="noConversion"/>
  </si>
  <si>
    <t>작업입력, 스케줄 업데이트</t>
    <phoneticPr fontId="2" type="noConversion"/>
  </si>
  <si>
    <t>담당별_x000D_
진행율</t>
  </si>
  <si>
    <t>자원배정비율</t>
  </si>
  <si>
    <t>총작업량(A)_x000D_
Man-day</t>
  </si>
  <si>
    <t>계획작업량(B)_x000D_
Man-day</t>
  </si>
  <si>
    <t>실적기성( C )_x000D_
Man-day</t>
  </si>
  <si>
    <t>(담당자미지정) 요약</t>
  </si>
  <si>
    <t>김분석 요약</t>
  </si>
  <si>
    <t>나고객 요약</t>
  </si>
  <si>
    <t>박설계 요약</t>
  </si>
  <si>
    <t>박피엠 요약</t>
  </si>
  <si>
    <t>이고객 요약</t>
  </si>
  <si>
    <t>이지은 요약</t>
  </si>
  <si>
    <t>홍길동 요약</t>
  </si>
  <si>
    <t>총합계</t>
  </si>
  <si>
    <t>나쁜넘들</t>
    <phoneticPr fontId="2" type="noConversion"/>
  </si>
  <si>
    <t>TODAY</t>
    <phoneticPr fontId="2" type="noConversion"/>
  </si>
  <si>
    <t>DEFINED</t>
    <phoneticPr fontId="4" type="noConversion"/>
  </si>
  <si>
    <t>C:\Temp</t>
    <phoneticPr fontId="4" type="noConversion"/>
  </si>
  <si>
    <t>파워포인트</t>
    <phoneticPr fontId="4" type="noConversion"/>
  </si>
  <si>
    <t>ppt*</t>
    <phoneticPr fontId="4" type="noConversion"/>
  </si>
  <si>
    <t>자동지정</t>
    <phoneticPr fontId="4" type="noConversion"/>
  </si>
  <si>
    <t>워드</t>
    <phoneticPr fontId="4" type="noConversion"/>
  </si>
  <si>
    <t>doc*</t>
    <phoneticPr fontId="4" type="noConversion"/>
  </si>
  <si>
    <t>엑셀</t>
    <phoneticPr fontId="4" type="noConversion"/>
  </si>
  <si>
    <t>xls*</t>
    <phoneticPr fontId="4" type="noConversion"/>
  </si>
  <si>
    <t>AutoCAD</t>
    <phoneticPr fontId="4" type="noConversion"/>
  </si>
  <si>
    <t>dwg</t>
    <phoneticPr fontId="4" type="noConversion"/>
  </si>
  <si>
    <t>C:\Program Files\Autodesk\AutoCAD 2019\acad.exe</t>
    <phoneticPr fontId="4" type="noConversion"/>
  </si>
  <si>
    <t>Notepad++</t>
    <phoneticPr fontId="4" type="noConversion"/>
  </si>
  <si>
    <t>html</t>
    <phoneticPr fontId="4" type="noConversion"/>
  </si>
  <si>
    <t>C:\Program Files\Notepad++\notepad++.exe</t>
    <phoneticPr fontId="4" type="noConversion"/>
  </si>
  <si>
    <t>메모장</t>
    <phoneticPr fontId="4" type="noConversion"/>
  </si>
  <si>
    <t>txt</t>
    <phoneticPr fontId="4" type="noConversion"/>
  </si>
  <si>
    <t>C:\WINDOWS\system32\notepad.exe</t>
    <phoneticPr fontId="4" type="noConversion"/>
  </si>
  <si>
    <t>F</t>
    <phoneticPr fontId="2" type="noConversion"/>
  </si>
  <si>
    <t>1:English,82:Korean,999:Custom</t>
    <phoneticPr fontId="2" type="noConversion"/>
  </si>
  <si>
    <t>2022 졸업작품 프로젝트</t>
  </si>
  <si>
    <t>개발 관련</t>
  </si>
  <si>
    <t>플레이어 WASD 조작</t>
  </si>
  <si>
    <t>플레이어 상호작용 관련</t>
  </si>
  <si>
    <t>수집 오브젝트</t>
  </si>
  <si>
    <t>G</t>
  </si>
  <si>
    <t>1.1.1.1</t>
  </si>
  <si>
    <t>1.1.1.1.1</t>
  </si>
  <si>
    <t>1.1.1.2</t>
  </si>
  <si>
    <t>1.1.1.2.1</t>
  </si>
  <si>
    <t>플레이어 조작 관련</t>
  </si>
  <si>
    <t>플레이어 마우스 시점 조작</t>
  </si>
  <si>
    <t>1.1.1.1.2</t>
  </si>
  <si>
    <t>오브젝트 아웃라인 관련 구현</t>
  </si>
  <si>
    <t>권성빈</t>
  </si>
  <si>
    <t>박광현</t>
  </si>
  <si>
    <t>김 건</t>
  </si>
  <si>
    <t>1.1.1.2.2</t>
  </si>
  <si>
    <t>기획 관련</t>
  </si>
  <si>
    <t>1 챕터 트라우마 확립</t>
  </si>
  <si>
    <t>1 챕터 인물 배경 확립</t>
  </si>
  <si>
    <t>플레이어 관련</t>
  </si>
  <si>
    <t>주변 세계관</t>
  </si>
  <si>
    <t>주인공 소속사 확립</t>
  </si>
  <si>
    <t>주인공 역할 확립</t>
  </si>
  <si>
    <t>스토리 관련</t>
  </si>
  <si>
    <t>레벨 디자인</t>
  </si>
  <si>
    <t>1 챕터 사물 배치</t>
  </si>
  <si>
    <t>1 챕터 전체적인 레벨 디자인</t>
  </si>
  <si>
    <t>1 챕터 퍼즐 배치</t>
  </si>
  <si>
    <t>1 챕터 수집물 배치</t>
  </si>
  <si>
    <t>1.2.1.1</t>
  </si>
  <si>
    <t>1.2.1.1.1</t>
  </si>
  <si>
    <t>1.2.1.1.2</t>
  </si>
  <si>
    <t>1.2.1.2</t>
  </si>
  <si>
    <t>1.2.1.2.1</t>
  </si>
  <si>
    <t>시대상 or 기술수준 확립</t>
  </si>
  <si>
    <t>1.2.1.1.3</t>
  </si>
  <si>
    <t>황민재</t>
  </si>
  <si>
    <t>추후 회의를 통해 검토</t>
  </si>
  <si>
    <t>아트 관련</t>
  </si>
  <si>
    <t>3D 모델 작업</t>
  </si>
  <si>
    <t>2D 이미지 작업</t>
  </si>
  <si>
    <t>각종 사물들 작업</t>
  </si>
  <si>
    <t>1.3.1.1</t>
  </si>
  <si>
    <t>1.3.2.1</t>
  </si>
  <si>
    <t>플레이어 수집물 인벤토리 구현</t>
  </si>
  <si>
    <t>1.1.1.2.3</t>
  </si>
  <si>
    <t>UI 관련</t>
  </si>
  <si>
    <t>11/28
W49</t>
  </si>
  <si>
    <t>12/26
W53</t>
  </si>
  <si>
    <t>W5</t>
  </si>
  <si>
    <t>튜토리얼 관련 프롭 제작</t>
  </si>
  <si>
    <t>1.3.1.1.1</t>
  </si>
  <si>
    <t>튜토리얼 관련 맵 제작</t>
  </si>
  <si>
    <t>튜토리얼 맵에 사물 배치 ( 기획 적용 )</t>
  </si>
  <si>
    <t>UI 디자인 및 기획</t>
  </si>
  <si>
    <t>1.3.1.1.1.1</t>
  </si>
  <si>
    <t>1.3.1.1.1.2</t>
  </si>
  <si>
    <t>1.3.1.1.1.3</t>
  </si>
  <si>
    <t>01. 튜토리얼</t>
  </si>
  <si>
    <t>타이틀 화면 UI 디자인</t>
  </si>
  <si>
    <t>1.3.2.1.1</t>
  </si>
  <si>
    <t>1.3.2.1.2</t>
  </si>
  <si>
    <t>게임 콘텐츠 기획</t>
  </si>
  <si>
    <t>회의</t>
  </si>
  <si>
    <t>타이틀 화면 UI</t>
  </si>
  <si>
    <t>게임 플레이로 이동</t>
  </si>
  <si>
    <t>1.1.2.1.1</t>
  </si>
  <si>
    <t>퍼즐 관련 개발</t>
  </si>
  <si>
    <t>1.1.1.3</t>
  </si>
  <si>
    <t>3D 러시아워 퍼즐 개발</t>
  </si>
  <si>
    <t>1.1.1.3.1</t>
  </si>
  <si>
    <t>프로토타입 개발 끝난 후 회의</t>
  </si>
  <si>
    <t>러시아워 퍼즐 프롭 제작</t>
  </si>
  <si>
    <t>챕터별 퍼즐 형태 기획</t>
  </si>
  <si>
    <t>ㅊ</t>
  </si>
  <si>
    <t>챕터 1</t>
  </si>
  <si>
    <t>챕터 별 설정</t>
  </si>
  <si>
    <t>1.3.1.1.1.1.1</t>
  </si>
  <si>
    <t>튜토리얼 맵 프롭</t>
  </si>
  <si>
    <t>1.3.1.1.1.1.2</t>
  </si>
  <si>
    <t>플레이어의 상호작용 구현</t>
  </si>
  <si>
    <t>1.1.1.2.1.1</t>
  </si>
  <si>
    <t>3D 큐브로 프로토타입 개발</t>
  </si>
  <si>
    <t>1.1.1.3.1.1</t>
  </si>
  <si>
    <t>모델링 된 모델 적용</t>
  </si>
  <si>
    <t>1.1.1.3.1.2</t>
  </si>
  <si>
    <t>프로토타입 제출</t>
  </si>
  <si>
    <t>프로토타입 씬과 메인메뉴 연결</t>
  </si>
  <si>
    <t>1.1.3.1</t>
  </si>
  <si>
    <t>1.1.3.2</t>
  </si>
  <si>
    <t>프로토타입 제출 전 연출들 제작 및 연결</t>
  </si>
  <si>
    <t>개발 전원 협력</t>
  </si>
  <si>
    <t>플레이어 입력 반영</t>
  </si>
  <si>
    <t>1.1.1.3.1.3</t>
  </si>
  <si>
    <t>인벤토리 기획</t>
  </si>
  <si>
    <t>진단서 UI 기획</t>
  </si>
  <si>
    <t>1.3.2.1.3</t>
  </si>
  <si>
    <t>인게임 일시정지 메뉴 기획</t>
  </si>
  <si>
    <t>1.3.2.1.4</t>
  </si>
  <si>
    <t>인게임 UI</t>
  </si>
  <si>
    <t>일시정지 UI 및 옵션 조절</t>
  </si>
  <si>
    <t>1.1.2.2.1</t>
  </si>
  <si>
    <t>튜토리얼</t>
  </si>
  <si>
    <t>튜토리얼 레벨 디자인</t>
  </si>
  <si>
    <t>튜토리얼 사물 배치</t>
  </si>
  <si>
    <t>튜토리얼 퍼즐 배치</t>
  </si>
  <si>
    <t>튜토리얼 수집물 배치</t>
  </si>
  <si>
    <t>{"TASK_FIRST_COL":"5","START_ROW":"5","WBS_AREA_LAST_COL":"31"}</t>
    <phoneticPr fontId="4" type="noConversion"/>
  </si>
  <si>
    <t>SCHEDULE_SHEET_POSITION:3545151617181920212223242526272829303132</t>
    <phoneticPr fontId="2" type="noConversion"/>
  </si>
  <si>
    <t>시작일*</t>
    <phoneticPr fontId="4" type="noConversion"/>
  </si>
  <si>
    <t>총_x000D_
작업량</t>
    <phoneticPr fontId="4" type="noConversion"/>
  </si>
  <si>
    <t>계획_x000D_
작업량</t>
    <phoneticPr fontId="4" type="noConversion"/>
  </si>
  <si>
    <t>총_x000D_
기간</t>
    <phoneticPr fontId="4" type="noConversion"/>
  </si>
  <si>
    <t>계획_x000D_
기간</t>
    <phoneticPr fontId="4" type="noConversion"/>
  </si>
  <si>
    <t>실제_x000D_
시작일</t>
    <phoneticPr fontId="4" type="noConversion"/>
  </si>
  <si>
    <t>실제_x000D_
총기간</t>
    <phoneticPr fontId="4" type="noConversion"/>
  </si>
  <si>
    <t>가중치</t>
    <phoneticPr fontId="4" type="noConversion"/>
  </si>
  <si>
    <t>완료일*</t>
    <phoneticPr fontId="4" type="noConversion"/>
  </si>
  <si>
    <t>실제_x000D_
완료일</t>
    <phoneticPr fontId="4" type="noConversion"/>
  </si>
  <si>
    <t>task_group</t>
    <phoneticPr fontId="4" type="noConversion"/>
  </si>
  <si>
    <t>wbs_level</t>
    <phoneticPr fontId="4" type="noConversion"/>
  </si>
  <si>
    <t>WBS</t>
    <phoneticPr fontId="4" type="noConversion"/>
  </si>
  <si>
    <t>작업*</t>
    <phoneticPr fontId="4" type="noConversion"/>
  </si>
  <si>
    <t>비고</t>
    <phoneticPr fontId="4" type="noConversion"/>
  </si>
  <si>
    <t>Calendar</t>
    <phoneticPr fontId="4" type="noConversion"/>
  </si>
  <si>
    <t>실제_x000D_
총작업량</t>
    <phoneticPr fontId="4" type="noConversion"/>
  </si>
  <si>
    <t>담당</t>
    <phoneticPr fontId="4" type="noConversion"/>
  </si>
  <si>
    <t>산출물</t>
    <phoneticPr fontId="4" type="noConversion"/>
  </si>
  <si>
    <t>계획</t>
    <phoneticPr fontId="4" type="noConversion"/>
  </si>
  <si>
    <t>실적*</t>
    <phoneticPr fontId="4" type="noConversion"/>
  </si>
  <si>
    <t>프로젝트 진척율 - 일정변경 관리하지 않을때</t>
    <phoneticPr fontId="4" type="noConversion"/>
  </si>
  <si>
    <t>실적기성</t>
    <phoneticPr fontId="4" type="noConversion"/>
  </si>
  <si>
    <t>실적기성(총기간 x 총실적진행율)</t>
    <phoneticPr fontId="4" type="noConversion"/>
  </si>
  <si>
    <t>reserved</t>
    <phoneticPr fontId="4" type="noConversion"/>
  </si>
  <si>
    <t>2022
W5</t>
  </si>
  <si>
    <t>W9</t>
  </si>
  <si>
    <t>이재유 / 권성빈</t>
  </si>
  <si>
    <t>이재유 및 팀원</t>
  </si>
  <si>
    <t>인게임 관련 기획</t>
  </si>
  <si>
    <t>1.2.1.1.1.1</t>
  </si>
  <si>
    <t>1.2.1.1.1.2</t>
  </si>
  <si>
    <t>1.2.1.1.1.3</t>
  </si>
  <si>
    <t>1.2.1.1.2.1</t>
  </si>
  <si>
    <t>1.2.1.1.2.1.1</t>
  </si>
  <si>
    <t>1.2.1.1.2.1.2</t>
  </si>
  <si>
    <t>1.2.1.1.3.1</t>
  </si>
  <si>
    <t>1.2.1.1.3.1.1</t>
  </si>
  <si>
    <t>1.2.1.1.3.1.2</t>
  </si>
  <si>
    <t>1.2.1.1.3.1.3</t>
  </si>
  <si>
    <t>1.2.1.1.3.1.4</t>
  </si>
  <si>
    <t>1.2.1.1.3.2</t>
  </si>
  <si>
    <t>1.2.1.1.3.2.1</t>
  </si>
  <si>
    <t>1.2.1.1.3.2.2</t>
  </si>
  <si>
    <t>1.2.1.1.3.2.3</t>
  </si>
  <si>
    <t>1.2.1.1.3.2.4</t>
  </si>
  <si>
    <t>1.2.1.1.4</t>
  </si>
  <si>
    <t>1.2.1.1.4.1</t>
  </si>
  <si>
    <t>기획서 작성</t>
  </si>
  <si>
    <t>전체 게임의 기획서 작성</t>
  </si>
  <si>
    <t>게임 플레이로 이동 전에 로딩화면에 진입 후 이동</t>
  </si>
  <si>
    <t>1.1.2.1.2</t>
  </si>
  <si>
    <t>로딩화면 메시지 띄우는 기능 완성</t>
  </si>
  <si>
    <t>1.1.2.1.3</t>
  </si>
  <si>
    <t>인게임 중 대사 ( 로그 시스템 추가 )</t>
  </si>
  <si>
    <t>1.1.2.2.2</t>
  </si>
  <si>
    <t>인벤토리 새로운 기획에 맞춰 구현</t>
  </si>
  <si>
    <t>1.1.1.2.4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</si>
</sst>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76" formatCode="0_);[Red]\(0\)"/>
    <numFmt numFmtId="177" formatCode="0.0"/>
    <numFmt numFmtId="178" formatCode="0.0_);[Red]\(0.0\)"/>
    <numFmt numFmtId="179" formatCode="0.00_);[Red]\(0.00\)"/>
  </numFmts>
  <fonts count="55">
    <font>
      <sz val="11"/>
      <color theme="1"/>
      <name val="맑은 고딕"/>
      <family val="2"/>
      <scheme val="minor"/>
    </font>
    <font>
      <sz val="10"/>
      <color theme="0"/>
      <name val="맑은 고딕"/>
      <family val="2"/>
      <charset val="129"/>
    </font>
    <font>
      <sz val="8"/>
      <name val="맑은 고딕"/>
      <family val="3"/>
      <charset val="129"/>
      <scheme val="minor"/>
    </font>
    <font>
      <u/>
      <sz val="11"/>
      <color theme="10"/>
      <name val="돋움"/>
      <family val="3"/>
      <charset val="129"/>
    </font>
    <font>
      <sz val="8"/>
      <name val="돋움"/>
      <family val="3"/>
      <charset val="129"/>
    </font>
    <font>
      <sz val="11"/>
      <name val="돋움"/>
      <family val="3"/>
      <charset val="129"/>
    </font>
    <font>
      <sz val="9"/>
      <color rgb="FF0070C0"/>
      <name val="Calibri"/>
      <family val="2"/>
    </font>
    <font>
      <b/>
      <sz val="16"/>
      <color rgb="FF0070C0"/>
      <name val="Calibri"/>
      <family val="2"/>
    </font>
    <font>
      <b/>
      <sz val="16"/>
      <color theme="0"/>
      <name val="Calibri"/>
      <family val="2"/>
    </font>
    <font>
      <sz val="11"/>
      <name val="Calibri"/>
      <family val="2"/>
    </font>
    <font>
      <sz val="10"/>
      <name val="Calibri"/>
      <family val="2"/>
    </font>
    <font>
      <sz val="10"/>
      <color rgb="FF0070C0"/>
      <name val="Calibri"/>
      <family val="2"/>
    </font>
    <font>
      <b/>
      <sz val="10"/>
      <color rgb="FF0070C0"/>
      <name val="Calibri"/>
      <family val="2"/>
    </font>
    <font>
      <b/>
      <sz val="10"/>
      <name val="Calibri"/>
      <family val="2"/>
    </font>
    <font>
      <sz val="14"/>
      <name val="Calibri"/>
      <family val="2"/>
    </font>
    <font>
      <sz val="11"/>
      <color theme="0"/>
      <name val="Calibri"/>
      <family val="2"/>
    </font>
    <font>
      <sz val="11"/>
      <color theme="1"/>
      <name val="맑은 고딕"/>
      <family val="3"/>
      <charset val="129"/>
      <scheme val="minor"/>
    </font>
    <font>
      <sz val="10"/>
      <color theme="1"/>
      <name val="Calibri"/>
      <family val="2"/>
    </font>
    <font>
      <sz val="8"/>
      <name val="Arial"/>
      <family val="2"/>
    </font>
    <font>
      <sz val="11"/>
      <name val="맑은 고딕"/>
      <family val="3"/>
      <charset val="129"/>
      <scheme val="minor"/>
    </font>
    <font>
      <sz val="9"/>
      <color theme="0"/>
      <name val="맑은 고딕"/>
      <family val="3"/>
      <charset val="129"/>
      <scheme val="minor"/>
    </font>
    <font>
      <sz val="9"/>
      <color theme="1"/>
      <name val="맑은 고딕"/>
      <family val="3"/>
      <charset val="129"/>
      <scheme val="minor"/>
    </font>
    <font>
      <sz val="9"/>
      <color rgb="FFFF0000"/>
      <name val="맑은 고딕"/>
      <family val="3"/>
      <charset val="129"/>
      <scheme val="minor"/>
    </font>
    <font>
      <sz val="9"/>
      <name val="맑은 고딕"/>
      <family val="3"/>
      <charset val="129"/>
      <scheme val="minor"/>
    </font>
    <font>
      <b/>
      <sz val="14"/>
      <color rgb="FFFF8800"/>
      <name val="Calibri"/>
      <family val="2"/>
    </font>
    <font>
      <sz val="12"/>
      <color rgb="FF222222"/>
      <name val="맑은 고딕"/>
      <family val="3"/>
      <charset val="129"/>
      <scheme val="minor"/>
    </font>
    <font>
      <sz val="10"/>
      <name val="Calibri"/>
      <family val="3"/>
      <charset val="129"/>
    </font>
    <font>
      <sz val="12"/>
      <name val="Calibri"/>
      <family val="2"/>
    </font>
    <font>
      <b/>
      <sz val="14"/>
      <color theme="1"/>
      <name val="Calibri"/>
      <family val="2"/>
    </font>
    <font>
      <b/>
      <sz val="11"/>
      <color theme="1"/>
      <name val="Calibri"/>
      <family val="2"/>
    </font>
    <font>
      <b/>
      <u/>
      <sz val="11"/>
      <color theme="0"/>
      <name val="Calibri"/>
      <family val="2"/>
    </font>
    <font>
      <b/>
      <sz val="11"/>
      <color theme="0"/>
      <name val="Calibri"/>
      <family val="2"/>
    </font>
    <font>
      <b/>
      <sz val="12"/>
      <color theme="1"/>
      <name val="Calibri"/>
      <family val="2"/>
    </font>
    <font>
      <sz val="11"/>
      <color rgb="FF333333"/>
      <name val="Calibri"/>
      <family val="2"/>
    </font>
    <font>
      <b/>
      <sz val="18"/>
      <name val="Calibri"/>
      <family val="2"/>
    </font>
    <font>
      <sz val="8"/>
      <color theme="0"/>
      <name val="Calibri"/>
      <family val="2"/>
    </font>
    <font>
      <sz val="9"/>
      <color rgb="FFFF8800"/>
      <name val="Calibri"/>
      <family val="2"/>
    </font>
    <font>
      <b/>
      <sz val="16"/>
      <color rgb="FF0070C0"/>
      <name val="맑은 고딕"/>
      <family val="3"/>
      <charset val="129"/>
      <scheme val="minor"/>
    </font>
    <font>
      <b/>
      <sz val="12"/>
      <color rgb="FF0070C0"/>
      <name val="맑은 고딕"/>
      <family val="3"/>
      <charset val="129"/>
      <scheme val="minor"/>
    </font>
    <font>
      <b/>
      <sz val="14"/>
      <color rgb="FF0070C0"/>
      <name val="맑은 고딕"/>
      <family val="3"/>
      <charset val="129"/>
      <scheme val="minor"/>
    </font>
    <font>
      <sz val="11"/>
      <color rgb="FF0070C0"/>
      <name val="맑은 고딕"/>
      <family val="3"/>
      <charset val="129"/>
      <scheme val="minor"/>
    </font>
    <font>
      <b/>
      <sz val="10"/>
      <color rgb="FF0070C0"/>
      <name val="맑은 고딕"/>
      <family val="3"/>
      <charset val="129"/>
      <scheme val="minor"/>
    </font>
    <font>
      <sz val="9"/>
      <color rgb="FF0070C0"/>
      <name val="맑은 고딕"/>
      <family val="3"/>
      <charset val="129"/>
      <scheme val="minor"/>
    </font>
    <font>
      <b/>
      <sz val="9"/>
      <color rgb="FF0070C0"/>
      <name val="맑은 고딕"/>
      <family val="3"/>
      <charset val="129"/>
      <scheme val="minor"/>
    </font>
    <font>
      <b/>
      <sz val="9"/>
      <color rgb="FFFF8800"/>
      <name val="Calibri"/>
      <family val="2"/>
    </font>
    <font>
      <b/>
      <sz val="13"/>
      <color rgb="FFFF8800"/>
      <name val="Calibri"/>
      <family val="2"/>
    </font>
    <font>
      <b/>
      <sz val="10"/>
      <color theme="10"/>
      <name val="Calibri"/>
      <family val="2"/>
    </font>
    <font>
      <sz val="8"/>
      <color rgb="FFFF8800"/>
      <name val="Calibri"/>
      <family val="2"/>
    </font>
    <font>
      <sz val="11"/>
      <color theme="1"/>
      <name val="맑은 고딕"/>
      <family val="2"/>
      <scheme val="minor"/>
    </font>
    <font>
      <b/>
      <sz val="10"/>
      <color theme="10"/>
      <name val="Malgun Gothic"/>
      <family val="3"/>
      <charset val="129"/>
    </font>
    <font>
      <b/>
      <sz val="9"/>
      <color rgb="FFFF8800"/>
      <name val="돋움"/>
      <family val="3"/>
      <charset val="129"/>
    </font>
    <font>
      <sz val="9"/>
      <color rgb="FFFF8800"/>
      <name val="맑은 고딕"/>
      <family val="3"/>
      <charset val="129"/>
      <scheme val="minor"/>
    </font>
    <font>
      <b/>
      <sz val="11"/>
      <name val="Calibri"/>
      <family val="2"/>
    </font>
    <font>
      <sz val="11"/>
      <color rgb="FFFF0000"/>
      <name val="Calibri"/>
      <family val="2"/>
    </font>
    <font>
      <b/>
      <sz val="9"/>
      <name val="맑은 고딕"/>
      <family val="3"/>
      <charset val="129"/>
      <scheme val="minor"/>
    </font>
  </fonts>
  <fills count="24">
    <fill>
      <patternFill patternType="none"/>
    </fill>
    <fill>
      <patternFill patternType="gray125"/>
    </fill>
    <fill>
      <patternFill patternType="solid">
        <fgColor theme="8"/>
      </patternFill>
    </fill>
    <fill>
      <patternFill patternType="solid">
        <fgColor theme="0"/>
        <bgColor indexed="64"/>
      </patternFill>
    </fill>
    <fill>
      <patternFill patternType="solid">
        <fgColor rgb="FF00B0F0"/>
        <bgColor indexed="64"/>
      </patternFill>
    </fill>
    <fill>
      <patternFill patternType="solid">
        <fgColor theme="0" tint="-0.14999847407452621"/>
        <bgColor indexed="64"/>
      </patternFill>
    </fill>
    <fill>
      <patternFill patternType="solid">
        <fgColor rgb="FFEAEAEA"/>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rgb="FF3399FF"/>
        <bgColor indexed="64"/>
      </patternFill>
    </fill>
    <fill>
      <patternFill patternType="solid">
        <fgColor theme="0" tint="-0.34998626667073579"/>
        <bgColor indexed="64"/>
      </patternFill>
    </fill>
    <fill>
      <patternFill patternType="solid">
        <fgColor rgb="FFFF6600"/>
        <bgColor indexed="64"/>
      </patternFill>
    </fill>
    <fill>
      <patternFill patternType="solid">
        <fgColor rgb="FF00A44A"/>
        <bgColor indexed="64"/>
      </patternFill>
    </fill>
    <fill>
      <patternFill patternType="solid">
        <fgColor rgb="FF198CFF"/>
        <bgColor indexed="64"/>
      </patternFill>
    </fill>
    <fill>
      <patternFill patternType="solid">
        <fgColor rgb="FFFFC000"/>
        <bgColor indexed="64"/>
      </patternFill>
    </fill>
    <fill>
      <patternFill patternType="solid">
        <fgColor theme="2"/>
        <bgColor indexed="64"/>
      </patternFill>
    </fill>
    <fill>
      <patternFill patternType="solid">
        <fgColor theme="1"/>
        <bgColor indexed="64"/>
      </patternFill>
    </fill>
    <fill>
      <patternFill patternType="solid">
        <fgColor rgb="FFFFFFFF"/>
        <bgColor indexed="64"/>
      </patternFill>
    </fill>
    <fill>
      <patternFill patternType="solid">
        <fgColor rgb="FF6600FF"/>
        <bgColor indexed="64"/>
      </patternFill>
    </fill>
    <fill>
      <patternFill patternType="solid">
        <fgColor rgb="FFFF8800"/>
        <bgColor indexed="64"/>
      </patternFill>
    </fill>
    <fill>
      <patternFill patternType="solid">
        <fgColor rgb="FFF8F8F8"/>
        <bgColor indexed="64"/>
      </patternFill>
    </fill>
    <fill>
      <patternFill patternType="solid">
        <fgColor theme="3" tint="0.79995117038483843"/>
        <bgColor indexed="64"/>
      </patternFill>
    </fill>
    <fill>
      <patternFill patternType="solid">
        <fgColor rgb="FF00CC00"/>
        <bgColor indexed="64"/>
      </patternFill>
    </fill>
    <fill>
      <patternFill patternType="solid">
        <fgColor rgb="FFFF0000"/>
        <bgColor indexed="64"/>
      </patternFill>
    </fill>
  </fills>
  <borders count="32">
    <border>
      <left/>
      <right/>
      <top/>
      <bottom/>
      <diagonal/>
    </border>
    <border>
      <left/>
      <right style="thin">
        <color theme="0"/>
      </right>
      <top/>
      <bottom/>
      <diagonal/>
    </border>
    <border>
      <left style="thin">
        <color theme="0"/>
      </left>
      <right style="thin">
        <color theme="0"/>
      </right>
      <top/>
      <bottom/>
      <diagonal/>
    </border>
    <border>
      <left style="thin">
        <color theme="0"/>
      </left>
      <right/>
      <top/>
      <bottom/>
      <diagonal/>
    </border>
    <border>
      <left/>
      <right/>
      <top style="thin">
        <color theme="0"/>
      </top>
      <bottom style="thin">
        <color theme="0"/>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int="-0.14993743705557422"/>
      </top>
      <bottom/>
      <diagonal/>
    </border>
    <border>
      <left style="thin">
        <color indexed="64"/>
      </left>
      <right style="thin">
        <color indexed="64"/>
      </right>
      <top style="thin">
        <color indexed="64"/>
      </top>
      <bottom style="thin">
        <color indexed="64"/>
      </bottom>
      <diagonal/>
    </border>
    <border>
      <left/>
      <right/>
      <top/>
      <bottom style="thin">
        <color theme="0" tint="-0.14996795556505021"/>
      </bottom>
      <diagonal/>
    </border>
    <border>
      <left/>
      <right/>
      <top style="thin">
        <color theme="0" tint="-0.14996795556505021"/>
      </top>
      <bottom/>
      <diagonal/>
    </border>
    <border>
      <left/>
      <right/>
      <top/>
      <bottom style="thin">
        <color theme="0" tint="-0.14993743705557422"/>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right/>
      <top/>
      <bottom style="thin">
        <color indexed="64"/>
      </bottom>
      <diagonal/>
    </border>
    <border>
      <left style="thin">
        <color indexed="64"/>
      </left>
      <right style="thin">
        <color indexed="64"/>
      </right>
      <top style="thin">
        <color indexed="64"/>
      </top>
      <bottom/>
      <diagonal/>
    </border>
    <border>
      <left/>
      <right/>
      <top/>
      <bottom style="thick">
        <color theme="0"/>
      </bottom>
      <diagonal/>
    </border>
    <border>
      <left/>
      <right/>
      <top style="thin">
        <color indexed="64"/>
      </top>
      <bottom style="thin">
        <color indexed="64"/>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thin">
        <color theme="0" tint="-0.1498764000366222"/>
      </left>
      <right style="thin">
        <color theme="0" tint="-0.1498764000366222"/>
      </right>
      <top/>
      <bottom style="thin">
        <color theme="0" tint="-0.1498764000366222"/>
      </bottom>
      <diagonal/>
    </border>
  </borders>
  <cellStyleXfs count="7">
    <xf numFmtId="0" fontId="0" fillId="0" borderId="0"/>
    <xf numFmtId="0" fontId="1" fillId="2" borderId="0" applyNumberFormat="0" applyBorder="0" applyAlignment="0" applyProtection="0">
      <alignment vertical="center"/>
    </xf>
    <xf numFmtId="0" fontId="3" fillId="0" borderId="0" applyNumberFormat="0" applyFill="0" applyBorder="0" applyAlignment="0" applyProtection="0"/>
    <xf numFmtId="9" fontId="5" fillId="0" borderId="0" applyFont="0" applyFill="0" applyBorder="0" applyAlignment="0" applyProtection="0">
      <alignment vertical="center"/>
    </xf>
    <xf numFmtId="0" fontId="5" fillId="0" borderId="0"/>
    <xf numFmtId="0" fontId="16" fillId="0" borderId="0"/>
    <xf numFmtId="9" fontId="48" fillId="0" borderId="0" applyFont="0" applyFill="0" applyBorder="0" applyAlignment="0" applyProtection="0">
      <alignment vertical="center"/>
    </xf>
  </cellStyleXfs>
  <cellXfs count="312">
    <xf numFmtId="0" fontId="0" fillId="0" borderId="0" xfId="0"/>
    <xf numFmtId="0" fontId="7" fillId="0" borderId="0" xfId="1" applyFont="1" applyFill="1" applyBorder="1" applyAlignment="1">
      <alignment vertical="center"/>
    </xf>
    <xf numFmtId="0" fontId="6" fillId="0" borderId="0" xfId="1" applyFont="1" applyFill="1" applyBorder="1" applyAlignment="1">
      <alignment vertical="center"/>
    </xf>
    <xf numFmtId="14" fontId="8" fillId="0" borderId="0" xfId="4" applyNumberFormat="1" applyFont="1" applyFill="1" applyBorder="1" applyAlignment="1" applyProtection="1">
      <alignment vertical="center"/>
    </xf>
    <xf numFmtId="14" fontId="9" fillId="0" borderId="0" xfId="4" applyNumberFormat="1" applyFont="1" applyFill="1" applyBorder="1" applyAlignment="1" applyProtection="1">
      <alignment vertical="center"/>
    </xf>
    <xf numFmtId="14" fontId="10" fillId="3" borderId="0" xfId="4" quotePrefix="1" applyNumberFormat="1" applyFont="1" applyFill="1" applyBorder="1" applyProtection="1"/>
    <xf numFmtId="14" fontId="10" fillId="3" borderId="0" xfId="4" applyNumberFormat="1" applyFont="1" applyFill="1" applyBorder="1" applyAlignment="1" applyProtection="1">
      <alignment vertical="center"/>
    </xf>
    <xf numFmtId="0" fontId="10" fillId="3" borderId="0" xfId="4" applyFont="1" applyFill="1" applyBorder="1" applyProtection="1"/>
    <xf numFmtId="176" fontId="12" fillId="3" borderId="0" xfId="4" applyNumberFormat="1" applyFont="1" applyFill="1" applyBorder="1" applyAlignment="1" applyProtection="1">
      <alignment vertical="center"/>
      <protection locked="0"/>
    </xf>
    <xf numFmtId="14" fontId="11" fillId="3" borderId="0" xfId="4" applyNumberFormat="1" applyFont="1" applyFill="1" applyBorder="1" applyAlignment="1" applyProtection="1">
      <alignment vertical="center"/>
    </xf>
    <xf numFmtId="14" fontId="10" fillId="0" borderId="6" xfId="4" applyNumberFormat="1" applyFont="1" applyFill="1" applyBorder="1" applyAlignment="1" applyProtection="1">
      <alignment vertical="top"/>
      <protection locked="0"/>
    </xf>
    <xf numFmtId="14" fontId="10" fillId="0" borderId="6" xfId="4" applyNumberFormat="1" applyFont="1" applyFill="1" applyBorder="1" applyAlignment="1" applyProtection="1">
      <alignment vertical="center"/>
      <protection locked="0"/>
    </xf>
    <xf numFmtId="0" fontId="10" fillId="0" borderId="6" xfId="4" applyFont="1" applyFill="1" applyBorder="1" applyAlignment="1" applyProtection="1">
      <alignment vertical="top"/>
      <protection locked="0"/>
    </xf>
    <xf numFmtId="0" fontId="10" fillId="0" borderId="6" xfId="4" applyFont="1" applyFill="1" applyBorder="1" applyAlignment="1" applyProtection="1">
      <alignment vertical="center" wrapText="1"/>
      <protection locked="0"/>
    </xf>
    <xf numFmtId="0" fontId="10" fillId="0" borderId="6" xfId="4" applyFont="1" applyFill="1" applyBorder="1" applyAlignment="1" applyProtection="1">
      <alignment vertical="center"/>
      <protection locked="0"/>
    </xf>
    <xf numFmtId="0" fontId="10" fillId="0" borderId="0" xfId="4" applyFont="1" applyFill="1" applyBorder="1" applyAlignment="1" applyProtection="1">
      <alignment vertical="top"/>
      <protection locked="0"/>
    </xf>
    <xf numFmtId="14" fontId="13" fillId="0" borderId="0" xfId="4" applyNumberFormat="1" applyFont="1" applyFill="1" applyBorder="1" applyAlignment="1" applyProtection="1">
      <alignment horizontal="right" vertical="top"/>
      <protection locked="0"/>
    </xf>
    <xf numFmtId="179" fontId="10" fillId="5" borderId="7" xfId="4" applyNumberFormat="1" applyFont="1" applyFill="1" applyBorder="1" applyAlignment="1" applyProtection="1">
      <alignment vertical="center"/>
      <protection locked="0"/>
    </xf>
    <xf numFmtId="14" fontId="13" fillId="0" borderId="8" xfId="4" applyNumberFormat="1" applyFont="1" applyFill="1" applyBorder="1" applyAlignment="1" applyProtection="1">
      <alignment horizontal="right" vertical="top"/>
      <protection locked="0"/>
    </xf>
    <xf numFmtId="14" fontId="10" fillId="0" borderId="8" xfId="4" applyNumberFormat="1" applyFont="1" applyFill="1" applyBorder="1" applyAlignment="1" applyProtection="1">
      <alignment vertical="center"/>
      <protection locked="0"/>
    </xf>
    <xf numFmtId="0" fontId="10" fillId="0" borderId="8" xfId="4" applyFont="1" applyFill="1" applyBorder="1" applyAlignment="1" applyProtection="1">
      <alignment vertical="top"/>
      <protection locked="0"/>
    </xf>
    <xf numFmtId="0" fontId="10" fillId="0" borderId="8" xfId="4" applyFont="1" applyFill="1" applyBorder="1" applyAlignment="1" applyProtection="1">
      <alignment vertical="center"/>
      <protection locked="0"/>
    </xf>
    <xf numFmtId="14" fontId="13" fillId="0" borderId="0" xfId="4" applyNumberFormat="1" applyFont="1" applyFill="1" applyBorder="1" applyAlignment="1" applyProtection="1">
      <alignment vertical="top"/>
      <protection locked="0"/>
    </xf>
    <xf numFmtId="14" fontId="10" fillId="0" borderId="0" xfId="4" applyNumberFormat="1" applyFont="1" applyFill="1" applyBorder="1" applyAlignment="1" applyProtection="1">
      <alignment vertical="center"/>
      <protection locked="0"/>
    </xf>
    <xf numFmtId="0" fontId="10" fillId="0" borderId="9" xfId="4" applyFont="1" applyFill="1" applyBorder="1" applyAlignment="1" applyProtection="1">
      <alignment vertical="center" wrapText="1"/>
      <protection locked="0"/>
    </xf>
    <xf numFmtId="14" fontId="10" fillId="0" borderId="0" xfId="4" applyNumberFormat="1" applyFont="1" applyFill="1" applyBorder="1" applyAlignment="1" applyProtection="1">
      <alignment vertical="top"/>
      <protection locked="0"/>
    </xf>
    <xf numFmtId="14" fontId="13" fillId="0" borderId="8" xfId="4" applyNumberFormat="1" applyFont="1" applyFill="1" applyBorder="1" applyAlignment="1" applyProtection="1">
      <alignment vertical="top"/>
      <protection locked="0"/>
    </xf>
    <xf numFmtId="0" fontId="10" fillId="0" borderId="8" xfId="4" applyFont="1" applyFill="1" applyBorder="1" applyAlignment="1" applyProtection="1">
      <alignment vertical="center" wrapText="1"/>
      <protection locked="0"/>
    </xf>
    <xf numFmtId="14" fontId="13" fillId="0" borderId="9" xfId="4" applyNumberFormat="1" applyFont="1" applyFill="1" applyBorder="1" applyAlignment="1" applyProtection="1">
      <alignment vertical="center" wrapText="1"/>
      <protection locked="0"/>
    </xf>
    <xf numFmtId="14" fontId="13" fillId="0" borderId="0" xfId="4" applyNumberFormat="1" applyFont="1" applyFill="1" applyBorder="1" applyAlignment="1" applyProtection="1">
      <alignment horizontal="right" vertical="center" wrapText="1"/>
      <protection locked="0"/>
    </xf>
    <xf numFmtId="14" fontId="13" fillId="0" borderId="8" xfId="4" applyNumberFormat="1" applyFont="1" applyFill="1" applyBorder="1" applyAlignment="1" applyProtection="1">
      <alignment vertical="center" wrapText="1"/>
      <protection locked="0"/>
    </xf>
    <xf numFmtId="0" fontId="10" fillId="0" borderId="8" xfId="4" applyFont="1" applyFill="1" applyBorder="1" applyProtection="1">
      <protection locked="0"/>
    </xf>
    <xf numFmtId="0" fontId="10" fillId="0" borderId="0" xfId="4" applyFont="1" applyFill="1" applyBorder="1" applyProtection="1">
      <protection locked="0"/>
    </xf>
    <xf numFmtId="14" fontId="10" fillId="0" borderId="0" xfId="4" applyNumberFormat="1" applyFont="1" applyFill="1" applyBorder="1" applyProtection="1">
      <protection locked="0"/>
    </xf>
    <xf numFmtId="14" fontId="10" fillId="0" borderId="9" xfId="4" applyNumberFormat="1" applyFont="1" applyFill="1" applyBorder="1" applyAlignment="1" applyProtection="1">
      <alignment vertical="center"/>
      <protection locked="0"/>
    </xf>
    <xf numFmtId="0" fontId="10" fillId="0" borderId="9" xfId="4" applyFont="1" applyFill="1" applyBorder="1" applyProtection="1">
      <protection locked="0"/>
    </xf>
    <xf numFmtId="14" fontId="10" fillId="0" borderId="10" xfId="4" applyNumberFormat="1" applyFont="1" applyFill="1" applyBorder="1" applyAlignment="1" applyProtection="1">
      <alignment vertical="center"/>
      <protection locked="0"/>
    </xf>
    <xf numFmtId="0" fontId="10" fillId="0" borderId="10" xfId="4" applyFont="1" applyFill="1" applyBorder="1" applyAlignment="1" applyProtection="1">
      <alignment vertical="top"/>
      <protection locked="0"/>
    </xf>
    <xf numFmtId="14" fontId="13" fillId="0" borderId="9" xfId="4" applyNumberFormat="1" applyFont="1" applyFill="1" applyBorder="1" applyProtection="1">
      <protection locked="0"/>
    </xf>
    <xf numFmtId="10" fontId="10" fillId="5" borderId="7" xfId="3" applyNumberFormat="1" applyFont="1" applyFill="1" applyBorder="1" applyAlignment="1" applyProtection="1">
      <alignment vertical="center"/>
      <protection locked="0"/>
    </xf>
    <xf numFmtId="14" fontId="13" fillId="0" borderId="10" xfId="4" applyNumberFormat="1" applyFont="1" applyFill="1" applyBorder="1" applyAlignment="1" applyProtection="1">
      <alignment horizontal="right" vertical="top"/>
      <protection locked="0"/>
    </xf>
    <xf numFmtId="14" fontId="13" fillId="0" borderId="6" xfId="4" applyNumberFormat="1" applyFont="1" applyFill="1" applyBorder="1" applyAlignment="1" applyProtection="1">
      <alignment horizontal="right" vertical="top"/>
      <protection locked="0"/>
    </xf>
    <xf numFmtId="14" fontId="13" fillId="0" borderId="11" xfId="4" applyNumberFormat="1" applyFont="1" applyFill="1" applyBorder="1" applyAlignment="1" applyProtection="1">
      <alignment horizontal="right" vertical="top"/>
      <protection locked="0"/>
    </xf>
    <xf numFmtId="14" fontId="10" fillId="0" borderId="11" xfId="4" applyNumberFormat="1" applyFont="1" applyFill="1" applyBorder="1" applyAlignment="1" applyProtection="1">
      <alignment vertical="center"/>
      <protection locked="0"/>
    </xf>
    <xf numFmtId="0" fontId="10" fillId="0" borderId="11" xfId="4" applyFont="1" applyFill="1" applyBorder="1" applyAlignment="1" applyProtection="1">
      <alignment vertical="top"/>
      <protection locked="0"/>
    </xf>
    <xf numFmtId="14" fontId="13" fillId="0" borderId="12" xfId="4" applyNumberFormat="1" applyFont="1" applyFill="1" applyBorder="1" applyAlignment="1" applyProtection="1">
      <alignment vertical="top"/>
      <protection locked="0"/>
    </xf>
    <xf numFmtId="14" fontId="10" fillId="0" borderId="12" xfId="4" applyNumberFormat="1" applyFont="1" applyFill="1" applyBorder="1" applyAlignment="1" applyProtection="1">
      <alignment vertical="center"/>
      <protection locked="0"/>
    </xf>
    <xf numFmtId="0" fontId="10" fillId="0" borderId="12" xfId="4" applyFont="1" applyFill="1" applyBorder="1" applyAlignment="1" applyProtection="1">
      <alignment vertical="top"/>
      <protection locked="0"/>
    </xf>
    <xf numFmtId="0" fontId="10" fillId="0" borderId="9" xfId="4" applyFont="1" applyFill="1" applyBorder="1" applyAlignment="1" applyProtection="1">
      <alignment vertical="center"/>
      <protection locked="0"/>
    </xf>
    <xf numFmtId="10" fontId="10" fillId="5" borderId="7" xfId="3" applyNumberFormat="1" applyFont="1" applyFill="1" applyBorder="1" applyAlignment="1" applyProtection="1">
      <alignment vertical="center"/>
    </xf>
    <xf numFmtId="14" fontId="10" fillId="0" borderId="13" xfId="4" applyNumberFormat="1" applyFont="1" applyFill="1" applyBorder="1" applyAlignment="1" applyProtection="1">
      <alignment horizontal="right" vertical="top"/>
      <protection locked="0"/>
    </xf>
    <xf numFmtId="14" fontId="10" fillId="0" borderId="13" xfId="4" applyNumberFormat="1" applyFont="1" applyFill="1" applyBorder="1" applyAlignment="1" applyProtection="1">
      <alignment vertical="center"/>
      <protection locked="0"/>
    </xf>
    <xf numFmtId="0" fontId="10" fillId="0" borderId="13" xfId="4" applyFont="1" applyFill="1" applyBorder="1" applyAlignment="1" applyProtection="1">
      <alignment vertical="top"/>
      <protection locked="0"/>
    </xf>
    <xf numFmtId="0" fontId="10" fillId="0" borderId="13" xfId="4" applyFont="1" applyFill="1" applyBorder="1" applyAlignment="1" applyProtection="1">
      <alignment vertical="center"/>
      <protection locked="0"/>
    </xf>
    <xf numFmtId="14" fontId="9" fillId="0" borderId="0" xfId="4" applyNumberFormat="1" applyFont="1" applyFill="1" applyBorder="1" applyAlignment="1" applyProtection="1">
      <alignment vertical="top"/>
      <protection locked="0"/>
    </xf>
    <xf numFmtId="14" fontId="9" fillId="0" borderId="0" xfId="4" applyNumberFormat="1" applyFont="1" applyFill="1" applyBorder="1" applyAlignment="1" applyProtection="1">
      <alignment vertical="center"/>
      <protection locked="0"/>
    </xf>
    <xf numFmtId="0" fontId="9" fillId="0" borderId="0" xfId="4" applyFont="1" applyFill="1" applyBorder="1" applyAlignment="1" applyProtection="1">
      <alignment vertical="top"/>
      <protection locked="0"/>
    </xf>
    <xf numFmtId="14" fontId="9" fillId="0" borderId="0" xfId="4" applyNumberFormat="1" applyFont="1" applyFill="1" applyBorder="1" applyProtection="1">
      <protection locked="0"/>
    </xf>
    <xf numFmtId="179" fontId="9" fillId="0" borderId="0" xfId="3" applyNumberFormat="1" applyFont="1" applyFill="1" applyBorder="1" applyAlignment="1" applyProtection="1">
      <alignment vertical="center"/>
      <protection locked="0"/>
    </xf>
    <xf numFmtId="0" fontId="9" fillId="0" borderId="0" xfId="4" applyFont="1" applyFill="1" applyBorder="1" applyProtection="1">
      <protection locked="0"/>
    </xf>
    <xf numFmtId="1" fontId="9" fillId="0" borderId="0" xfId="4" applyNumberFormat="1" applyFont="1" applyFill="1" applyBorder="1" applyAlignment="1" applyProtection="1">
      <alignment vertical="center"/>
      <protection locked="0"/>
    </xf>
    <xf numFmtId="176" fontId="9" fillId="0" borderId="0" xfId="4" applyNumberFormat="1" applyFont="1" applyFill="1" applyBorder="1" applyAlignment="1" applyProtection="1">
      <alignment vertical="center"/>
      <protection locked="0"/>
    </xf>
    <xf numFmtId="0" fontId="7" fillId="0" borderId="0" xfId="4" applyFont="1" applyFill="1" applyBorder="1" applyAlignment="1">
      <alignment vertical="center"/>
    </xf>
    <xf numFmtId="0" fontId="9" fillId="6" borderId="1" xfId="4" applyFont="1" applyFill="1" applyBorder="1" applyAlignment="1">
      <alignment horizontal="left" wrapText="1"/>
    </xf>
    <xf numFmtId="14" fontId="9" fillId="0" borderId="0" xfId="4" applyNumberFormat="1" applyFont="1" applyFill="1" applyProtection="1"/>
    <xf numFmtId="14" fontId="9" fillId="3" borderId="0" xfId="4" applyNumberFormat="1" applyFont="1" applyFill="1" applyAlignment="1" applyProtection="1">
      <alignment vertical="top"/>
    </xf>
    <xf numFmtId="14" fontId="15" fillId="4" borderId="14" xfId="4" applyNumberFormat="1" applyFont="1" applyFill="1" applyBorder="1" applyAlignment="1" applyProtection="1">
      <alignment horizontal="center" vertical="center"/>
    </xf>
    <xf numFmtId="14" fontId="9" fillId="0" borderId="0" xfId="4" applyNumberFormat="1" applyFont="1" applyAlignment="1" applyProtection="1">
      <alignment horizontal="center" vertical="center"/>
    </xf>
    <xf numFmtId="14" fontId="9" fillId="0" borderId="0" xfId="4" applyNumberFormat="1" applyFont="1" applyProtection="1"/>
    <xf numFmtId="0" fontId="10" fillId="8" borderId="15" xfId="4" applyFont="1" applyFill="1" applyBorder="1" applyAlignment="1">
      <alignment horizontal="left" vertical="top"/>
    </xf>
    <xf numFmtId="0" fontId="10" fillId="0" borderId="0" xfId="4" applyFont="1" applyFill="1" applyAlignment="1">
      <alignment horizontal="left" vertical="top"/>
    </xf>
    <xf numFmtId="0" fontId="10" fillId="0" borderId="0" xfId="4" applyFont="1" applyFill="1" applyBorder="1" applyAlignment="1">
      <alignment vertical="top"/>
    </xf>
    <xf numFmtId="0" fontId="10" fillId="0" borderId="0" xfId="4" applyFont="1" applyFill="1" applyBorder="1" applyAlignment="1">
      <alignment horizontal="left" vertical="top"/>
    </xf>
    <xf numFmtId="0" fontId="10" fillId="0" borderId="0" xfId="4" applyFont="1" applyFill="1" applyAlignment="1">
      <alignment vertical="top"/>
    </xf>
    <xf numFmtId="0" fontId="10" fillId="0" borderId="0" xfId="4" quotePrefix="1" applyFont="1" applyFill="1" applyBorder="1" applyAlignment="1">
      <alignment horizontal="left" vertical="top"/>
    </xf>
    <xf numFmtId="14" fontId="10" fillId="0" borderId="0" xfId="4" applyNumberFormat="1" applyFont="1" applyFill="1" applyBorder="1" applyAlignment="1">
      <alignment horizontal="left" vertical="top"/>
    </xf>
    <xf numFmtId="0" fontId="10" fillId="0" borderId="15" xfId="4" applyFont="1" applyFill="1" applyBorder="1" applyAlignment="1">
      <alignment vertical="top"/>
    </xf>
    <xf numFmtId="0" fontId="10" fillId="0" borderId="15" xfId="4" applyFont="1" applyFill="1" applyBorder="1" applyAlignment="1">
      <alignment horizontal="left" vertical="top"/>
    </xf>
    <xf numFmtId="14" fontId="10" fillId="0" borderId="0" xfId="4" applyNumberFormat="1" applyFont="1" applyFill="1" applyAlignment="1">
      <alignment horizontal="left" vertical="top"/>
    </xf>
    <xf numFmtId="1" fontId="10" fillId="0" borderId="0" xfId="4" applyNumberFormat="1" applyFont="1" applyFill="1" applyAlignment="1">
      <alignment horizontal="left" vertical="top"/>
    </xf>
    <xf numFmtId="22" fontId="10" fillId="0" borderId="0" xfId="4" applyNumberFormat="1" applyFont="1" applyFill="1" applyAlignment="1">
      <alignment horizontal="left" vertical="top"/>
    </xf>
    <xf numFmtId="14" fontId="10" fillId="0" borderId="0" xfId="4" applyNumberFormat="1" applyFont="1" applyFill="1" applyAlignment="1">
      <alignment vertical="top"/>
    </xf>
    <xf numFmtId="0" fontId="17" fillId="0" borderId="0" xfId="0" applyFont="1" applyAlignment="1"/>
    <xf numFmtId="14" fontId="0" fillId="0" borderId="0" xfId="0" applyNumberFormat="1"/>
    <xf numFmtId="9" fontId="0" fillId="0" borderId="0" xfId="0" applyNumberFormat="1"/>
    <xf numFmtId="0" fontId="20" fillId="4" borderId="1" xfId="4" applyFont="1" applyFill="1" applyBorder="1" applyAlignment="1">
      <alignment horizontal="center" vertical="center"/>
    </xf>
    <xf numFmtId="0" fontId="20" fillId="4" borderId="1" xfId="4" applyFont="1" applyFill="1" applyBorder="1" applyAlignment="1">
      <alignment horizontal="center" vertical="center" wrapText="1"/>
    </xf>
    <xf numFmtId="0" fontId="21" fillId="0" borderId="0" xfId="0" applyFont="1" applyAlignment="1">
      <alignment vertical="top"/>
    </xf>
    <xf numFmtId="0" fontId="21" fillId="0" borderId="0" xfId="0" applyFont="1" applyAlignment="1">
      <alignment horizontal="center" vertical="top"/>
    </xf>
    <xf numFmtId="0" fontId="22" fillId="0" borderId="0" xfId="0" applyFont="1" applyAlignment="1">
      <alignment vertical="top"/>
    </xf>
    <xf numFmtId="0" fontId="21" fillId="0" borderId="0" xfId="0" applyFont="1" applyAlignment="1">
      <alignment vertical="top" wrapText="1"/>
    </xf>
    <xf numFmtId="0" fontId="9" fillId="6" borderId="2" xfId="4" applyFont="1" applyFill="1" applyBorder="1" applyAlignment="1">
      <alignment horizontal="left" wrapText="1"/>
    </xf>
    <xf numFmtId="0" fontId="9" fillId="0" borderId="0" xfId="4" applyNumberFormat="1" applyFont="1" applyBorder="1"/>
    <xf numFmtId="10" fontId="0" fillId="0" borderId="0" xfId="0" applyNumberFormat="1"/>
    <xf numFmtId="0" fontId="0" fillId="8" borderId="0" xfId="0" applyFill="1"/>
    <xf numFmtId="14" fontId="19" fillId="7" borderId="14" xfId="0" applyNumberFormat="1" applyFont="1" applyFill="1" applyBorder="1" applyProtection="1">
      <protection locked="0"/>
    </xf>
    <xf numFmtId="14" fontId="19" fillId="0" borderId="14" xfId="0" applyNumberFormat="1" applyFont="1" applyBorder="1" applyProtection="1">
      <protection locked="0"/>
    </xf>
    <xf numFmtId="14" fontId="19" fillId="0" borderId="0" xfId="4" applyNumberFormat="1" applyFont="1" applyProtection="1"/>
    <xf numFmtId="14" fontId="19" fillId="7" borderId="14" xfId="4" applyNumberFormat="1" applyFont="1" applyFill="1" applyBorder="1" applyProtection="1">
      <protection locked="0"/>
    </xf>
    <xf numFmtId="14" fontId="19" fillId="0" borderId="14" xfId="4" applyNumberFormat="1" applyFont="1" applyBorder="1" applyProtection="1">
      <protection locked="0"/>
    </xf>
    <xf numFmtId="0" fontId="25" fillId="0" borderId="0" xfId="4" applyFont="1"/>
    <xf numFmtId="14" fontId="19" fillId="0" borderId="14" xfId="0" applyNumberFormat="1" applyFont="1" applyFill="1" applyBorder="1" applyProtection="1">
      <protection locked="0"/>
    </xf>
    <xf numFmtId="14" fontId="19" fillId="0" borderId="14" xfId="4" applyNumberFormat="1" applyFont="1" applyBorder="1" applyProtection="1"/>
    <xf numFmtId="0" fontId="27" fillId="0" borderId="0" xfId="0" applyFont="1"/>
    <xf numFmtId="0" fontId="10" fillId="0" borderId="0" xfId="0" applyFont="1" applyProtection="1">
      <protection locked="0"/>
    </xf>
    <xf numFmtId="0" fontId="10" fillId="0" borderId="0" xfId="0" applyFont="1" applyAlignment="1" applyProtection="1">
      <alignment horizontal="center"/>
      <protection locked="0"/>
    </xf>
    <xf numFmtId="0" fontId="28" fillId="0" borderId="0" xfId="0" applyFont="1" applyAlignment="1" applyProtection="1">
      <alignment horizontal="center"/>
      <protection locked="0"/>
    </xf>
    <xf numFmtId="0" fontId="29" fillId="0" borderId="0" xfId="0" applyFont="1" applyProtection="1">
      <protection locked="0"/>
    </xf>
    <xf numFmtId="0" fontId="10" fillId="0" borderId="0" xfId="0" applyFont="1" applyAlignment="1" applyProtection="1">
      <alignment vertical="center"/>
      <protection locked="0"/>
    </xf>
    <xf numFmtId="0" fontId="30" fillId="12" borderId="17" xfId="2" applyFont="1" applyFill="1" applyBorder="1" applyAlignment="1" applyProtection="1">
      <alignment horizontal="center" vertical="center" wrapText="1"/>
      <protection locked="0"/>
    </xf>
    <xf numFmtId="0" fontId="30" fillId="11" borderId="17" xfId="2" applyFont="1" applyFill="1" applyBorder="1" applyAlignment="1" applyProtection="1">
      <alignment horizontal="center" vertical="center" wrapText="1"/>
      <protection locked="0"/>
    </xf>
    <xf numFmtId="0" fontId="30" fillId="13" borderId="17" xfId="2" applyFont="1" applyFill="1" applyBorder="1" applyAlignment="1" applyProtection="1">
      <alignment horizontal="center" vertical="center" wrapText="1"/>
      <protection locked="0"/>
    </xf>
    <xf numFmtId="0" fontId="30" fillId="14" borderId="17" xfId="2" applyFont="1" applyFill="1" applyBorder="1" applyAlignment="1" applyProtection="1">
      <alignment horizontal="center" vertical="center" wrapText="1"/>
      <protection locked="0"/>
    </xf>
    <xf numFmtId="0" fontId="30" fillId="10" borderId="17" xfId="2" applyFont="1" applyFill="1" applyBorder="1" applyAlignment="1" applyProtection="1">
      <alignment horizontal="center" vertical="center" wrapText="1"/>
      <protection locked="0"/>
    </xf>
    <xf numFmtId="0" fontId="31" fillId="10" borderId="17" xfId="2" applyFont="1" applyFill="1" applyBorder="1" applyAlignment="1" applyProtection="1">
      <alignment horizontal="center" vertical="center" wrapText="1"/>
      <protection locked="0"/>
    </xf>
    <xf numFmtId="0" fontId="27" fillId="0" borderId="0" xfId="0" applyFont="1" applyAlignment="1">
      <alignment vertical="center"/>
    </xf>
    <xf numFmtId="0" fontId="27" fillId="0" borderId="0" xfId="0" applyFont="1" applyAlignment="1">
      <alignment horizontal="center" vertical="center"/>
    </xf>
    <xf numFmtId="0" fontId="9" fillId="0" borderId="0" xfId="0" applyFont="1" applyAlignment="1">
      <alignment vertical="center"/>
    </xf>
    <xf numFmtId="0" fontId="32" fillId="0" borderId="0" xfId="0" applyFont="1" applyAlignment="1" applyProtection="1">
      <alignment horizontal="center"/>
      <protection locked="0"/>
    </xf>
    <xf numFmtId="0" fontId="31" fillId="9" borderId="17" xfId="2" applyFont="1" applyFill="1" applyBorder="1" applyAlignment="1" applyProtection="1">
      <alignment horizontal="center" vertical="center" wrapText="1"/>
      <protection locked="0"/>
    </xf>
    <xf numFmtId="0" fontId="29" fillId="0" borderId="0" xfId="0" applyFont="1" applyAlignment="1" applyProtection="1">
      <alignment horizontal="center"/>
      <protection locked="0"/>
    </xf>
    <xf numFmtId="0" fontId="32" fillId="15" borderId="0" xfId="0" applyFont="1" applyFill="1" applyAlignment="1" applyProtection="1">
      <alignment horizontal="left"/>
      <protection locked="0"/>
    </xf>
    <xf numFmtId="0" fontId="10" fillId="15" borderId="0" xfId="0" applyFont="1" applyFill="1" applyProtection="1">
      <protection locked="0"/>
    </xf>
    <xf numFmtId="0" fontId="29" fillId="15" borderId="0" xfId="0" applyFont="1" applyFill="1" applyProtection="1">
      <protection locked="0"/>
    </xf>
    <xf numFmtId="0" fontId="10" fillId="15" borderId="0" xfId="0" applyFont="1" applyFill="1" applyAlignment="1" applyProtection="1">
      <alignment vertical="center"/>
      <protection locked="0"/>
    </xf>
    <xf numFmtId="0" fontId="27" fillId="0" borderId="0" xfId="0" applyFont="1" applyAlignment="1">
      <alignment horizontal="center"/>
    </xf>
    <xf numFmtId="0" fontId="3" fillId="0" borderId="18" xfId="2" applyFill="1" applyBorder="1" applyAlignment="1" applyProtection="1">
      <alignment horizontal="center" vertical="center" wrapText="1"/>
      <protection locked="0"/>
    </xf>
    <xf numFmtId="14" fontId="9" fillId="0" borderId="0" xfId="4"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left"/>
      <protection locked="0"/>
    </xf>
    <xf numFmtId="0" fontId="9" fillId="0" borderId="0" xfId="4" applyFont="1" applyFill="1" applyBorder="1" applyAlignment="1" applyProtection="1">
      <alignment horizontal="left"/>
      <protection locked="0"/>
    </xf>
    <xf numFmtId="10" fontId="9" fillId="0" borderId="0" xfId="4" applyNumberFormat="1" applyFont="1" applyFill="1" applyBorder="1" applyAlignment="1" applyProtection="1">
      <alignment horizontal="left"/>
      <protection locked="0"/>
    </xf>
    <xf numFmtId="0" fontId="9" fillId="0" borderId="0" xfId="4" quotePrefix="1" applyNumberFormat="1" applyFont="1" applyFill="1" applyBorder="1" applyAlignment="1" applyProtection="1">
      <alignment horizontal="left"/>
      <protection locked="0"/>
    </xf>
    <xf numFmtId="0" fontId="9" fillId="0" borderId="0" xfId="4" applyNumberFormat="1" applyFont="1" applyFill="1" applyBorder="1" applyAlignment="1" applyProtection="1">
      <alignment horizontal="center"/>
      <protection locked="0"/>
    </xf>
    <xf numFmtId="0" fontId="9" fillId="0" borderId="0" xfId="4" applyFont="1" applyFill="1" applyBorder="1" applyAlignment="1" applyProtection="1">
      <alignment horizontal="center"/>
      <protection locked="0"/>
    </xf>
    <xf numFmtId="10" fontId="9" fillId="0" borderId="0" xfId="4" applyNumberFormat="1" applyFont="1" applyFill="1" applyBorder="1" applyAlignment="1" applyProtection="1">
      <alignment horizontal="center"/>
      <protection locked="0"/>
    </xf>
    <xf numFmtId="3" fontId="10" fillId="0" borderId="0" xfId="4" applyNumberFormat="1" applyFont="1" applyFill="1" applyAlignment="1">
      <alignment vertical="top"/>
    </xf>
    <xf numFmtId="0" fontId="9" fillId="0" borderId="0" xfId="4" applyFont="1" applyBorder="1"/>
    <xf numFmtId="14" fontId="0" fillId="8" borderId="0" xfId="0" applyNumberFormat="1" applyFill="1"/>
    <xf numFmtId="0" fontId="3" fillId="17" borderId="0" xfId="2" applyFill="1" applyBorder="1" applyAlignment="1">
      <alignment horizontal="left" vertical="center"/>
    </xf>
    <xf numFmtId="0" fontId="23" fillId="17" borderId="0" xfId="1" applyFont="1" applyFill="1" applyBorder="1" applyAlignment="1">
      <alignment horizontal="left" vertical="center"/>
    </xf>
    <xf numFmtId="0" fontId="23" fillId="0" borderId="0" xfId="1" applyFont="1" applyFill="1" applyBorder="1" applyAlignment="1">
      <alignment horizontal="left" vertical="center"/>
    </xf>
    <xf numFmtId="0" fontId="23" fillId="0" borderId="0" xfId="4" applyFont="1" applyFill="1" applyBorder="1" applyAlignment="1" applyProtection="1">
      <alignment horizontal="left" vertical="center"/>
    </xf>
    <xf numFmtId="0" fontId="23" fillId="0" borderId="4" xfId="4" applyFont="1" applyFill="1" applyBorder="1" applyAlignment="1" applyProtection="1">
      <alignment horizontal="left" vertical="center"/>
      <protection locked="0"/>
    </xf>
    <xf numFmtId="0" fontId="23" fillId="0" borderId="5" xfId="4" applyFont="1" applyFill="1" applyBorder="1" applyAlignment="1" applyProtection="1">
      <alignment vertical="top"/>
      <protection locked="0"/>
    </xf>
    <xf numFmtId="0" fontId="23" fillId="0" borderId="5" xfId="4" applyFont="1" applyFill="1" applyBorder="1" applyAlignment="1" applyProtection="1">
      <alignment horizontal="left" vertical="top"/>
      <protection locked="0"/>
    </xf>
    <xf numFmtId="14" fontId="23" fillId="0" borderId="5" xfId="4" applyNumberFormat="1" applyFont="1" applyFill="1" applyBorder="1" applyAlignment="1" applyProtection="1">
      <alignment horizontal="center" vertical="top"/>
      <protection locked="0"/>
    </xf>
    <xf numFmtId="0" fontId="23" fillId="0" borderId="5" xfId="4" applyNumberFormat="1" applyFont="1" applyFill="1" applyBorder="1" applyAlignment="1" applyProtection="1">
      <alignment horizontal="left" vertical="top"/>
      <protection locked="0"/>
    </xf>
    <xf numFmtId="178" fontId="23" fillId="0" borderId="5" xfId="4" applyNumberFormat="1" applyFont="1" applyFill="1" applyBorder="1" applyAlignment="1" applyProtection="1">
      <alignment horizontal="center" vertical="top"/>
      <protection locked="0"/>
    </xf>
    <xf numFmtId="177" fontId="23" fillId="0" borderId="5" xfId="4" applyNumberFormat="1" applyFont="1" applyFill="1" applyBorder="1" applyAlignment="1" applyProtection="1">
      <alignment horizontal="center" vertical="top"/>
      <protection locked="0"/>
    </xf>
    <xf numFmtId="1" fontId="23" fillId="0" borderId="5" xfId="4" applyNumberFormat="1" applyFont="1" applyFill="1" applyBorder="1" applyAlignment="1" applyProtection="1">
      <alignment horizontal="center" vertical="top"/>
      <protection locked="0"/>
    </xf>
    <xf numFmtId="14" fontId="23" fillId="0" borderId="5" xfId="4" applyNumberFormat="1" applyFont="1" applyFill="1" applyBorder="1" applyAlignment="1" applyProtection="1">
      <alignment horizontal="left" vertical="top"/>
      <protection locked="0"/>
    </xf>
    <xf numFmtId="10" fontId="23" fillId="0" borderId="5" xfId="3" applyNumberFormat="1" applyFont="1" applyFill="1" applyBorder="1" applyAlignment="1" applyProtection="1">
      <alignment horizontal="right" vertical="top" wrapText="1"/>
      <protection locked="0"/>
    </xf>
    <xf numFmtId="10" fontId="23" fillId="0" borderId="5" xfId="3" applyNumberFormat="1" applyFont="1" applyFill="1" applyBorder="1" applyAlignment="1" applyProtection="1">
      <alignment horizontal="right" vertical="top"/>
      <protection locked="0"/>
    </xf>
    <xf numFmtId="0" fontId="37" fillId="17" borderId="0" xfId="1" applyFont="1" applyFill="1" applyBorder="1" applyAlignment="1">
      <alignment horizontal="left" vertical="top"/>
    </xf>
    <xf numFmtId="0" fontId="37" fillId="17" borderId="0" xfId="1" applyFont="1" applyFill="1" applyBorder="1" applyAlignment="1">
      <alignment horizontal="left" vertical="center"/>
    </xf>
    <xf numFmtId="0" fontId="38" fillId="17" borderId="0" xfId="1" applyFont="1" applyFill="1" applyBorder="1" applyAlignment="1">
      <alignment horizontal="left" vertical="top"/>
    </xf>
    <xf numFmtId="0" fontId="39" fillId="17" borderId="0" xfId="1" applyFont="1" applyFill="1" applyBorder="1" applyAlignment="1">
      <alignment vertical="center"/>
    </xf>
    <xf numFmtId="14" fontId="39" fillId="17" borderId="0" xfId="1" applyNumberFormat="1" applyFont="1" applyFill="1" applyBorder="1" applyAlignment="1">
      <alignment vertical="top"/>
    </xf>
    <xf numFmtId="14" fontId="40" fillId="17" borderId="0" xfId="1" applyNumberFormat="1" applyFont="1" applyFill="1" applyBorder="1" applyAlignment="1">
      <alignment horizontal="left" vertical="top" wrapText="1"/>
    </xf>
    <xf numFmtId="178" fontId="41" fillId="17" borderId="0" xfId="1" applyNumberFormat="1" applyFont="1" applyFill="1" applyBorder="1" applyAlignment="1">
      <alignment horizontal="center" vertical="top"/>
    </xf>
    <xf numFmtId="178" fontId="37" fillId="17" borderId="0" xfId="1" applyNumberFormat="1" applyFont="1" applyFill="1" applyBorder="1" applyAlignment="1">
      <alignment horizontal="center" vertical="top"/>
    </xf>
    <xf numFmtId="178" fontId="39" fillId="17" borderId="0" xfId="1" applyNumberFormat="1" applyFont="1" applyFill="1" applyBorder="1" applyAlignment="1">
      <alignment horizontal="center" vertical="top"/>
    </xf>
    <xf numFmtId="14" fontId="39" fillId="17" borderId="0" xfId="1" applyNumberFormat="1" applyFont="1" applyFill="1" applyBorder="1" applyAlignment="1">
      <alignment horizontal="center" vertical="top"/>
    </xf>
    <xf numFmtId="1" fontId="39" fillId="17" borderId="0" xfId="1" applyNumberFormat="1" applyFont="1" applyFill="1" applyBorder="1" applyAlignment="1">
      <alignment horizontal="center" vertical="top"/>
    </xf>
    <xf numFmtId="0" fontId="41" fillId="17" borderId="0" xfId="2" applyFont="1" applyFill="1" applyBorder="1" applyAlignment="1">
      <alignment vertical="top" wrapText="1"/>
    </xf>
    <xf numFmtId="0" fontId="41" fillId="17" borderId="0" xfId="2" applyNumberFormat="1" applyFont="1" applyFill="1" applyBorder="1" applyAlignment="1">
      <alignment vertical="top"/>
    </xf>
    <xf numFmtId="0" fontId="41" fillId="17" borderId="0" xfId="2" applyFont="1" applyFill="1" applyBorder="1" applyAlignment="1">
      <alignment vertical="top"/>
    </xf>
    <xf numFmtId="0" fontId="38" fillId="17" borderId="0" xfId="2" applyFont="1" applyFill="1" applyBorder="1" applyAlignment="1">
      <alignment horizontal="right" vertical="top"/>
    </xf>
    <xf numFmtId="0" fontId="38" fillId="17" borderId="0" xfId="2" applyFont="1" applyFill="1" applyBorder="1" applyAlignment="1">
      <alignment horizontal="right" vertical="center"/>
    </xf>
    <xf numFmtId="0" fontId="42" fillId="17" borderId="0" xfId="2" applyNumberFormat="1" applyFont="1" applyFill="1" applyBorder="1" applyAlignment="1">
      <alignment horizontal="right" vertical="center"/>
    </xf>
    <xf numFmtId="10" fontId="42" fillId="17" borderId="0" xfId="3" applyNumberFormat="1" applyFont="1" applyFill="1" applyBorder="1" applyAlignment="1">
      <alignment horizontal="right" vertical="center"/>
    </xf>
    <xf numFmtId="178" fontId="42" fillId="17" borderId="0" xfId="2" applyNumberFormat="1" applyFont="1" applyFill="1" applyBorder="1" applyAlignment="1">
      <alignment horizontal="right" vertical="center"/>
    </xf>
    <xf numFmtId="0" fontId="43" fillId="17" borderId="0" xfId="2" applyNumberFormat="1" applyFont="1" applyFill="1" applyBorder="1" applyAlignment="1">
      <alignment vertical="top"/>
    </xf>
    <xf numFmtId="0" fontId="43" fillId="17" borderId="0" xfId="2" applyNumberFormat="1" applyFont="1" applyFill="1" applyBorder="1" applyAlignment="1">
      <alignment horizontal="right" vertical="top"/>
    </xf>
    <xf numFmtId="0" fontId="45" fillId="17" borderId="0" xfId="2" applyFont="1" applyFill="1" applyBorder="1" applyAlignment="1">
      <alignment horizontal="left" vertical="center"/>
    </xf>
    <xf numFmtId="0" fontId="21" fillId="0" borderId="0" xfId="5" applyFont="1" applyAlignment="1">
      <alignment horizontal="left" vertical="top" wrapText="1"/>
    </xf>
    <xf numFmtId="0" fontId="21" fillId="0" borderId="0" xfId="5" applyFont="1" applyAlignment="1">
      <alignment horizontal="left" vertical="top"/>
    </xf>
    <xf numFmtId="0" fontId="22" fillId="0" borderId="0" xfId="5" applyFont="1" applyAlignment="1">
      <alignment horizontal="left" vertical="top"/>
    </xf>
    <xf numFmtId="14" fontId="21" fillId="0" borderId="0" xfId="5" applyNumberFormat="1" applyFont="1" applyAlignment="1">
      <alignment horizontal="left" vertical="top" wrapText="1"/>
    </xf>
    <xf numFmtId="0" fontId="21" fillId="0" borderId="0" xfId="0" applyFont="1"/>
    <xf numFmtId="0" fontId="23" fillId="0" borderId="0" xfId="5" applyFont="1" applyAlignment="1">
      <alignment horizontal="left" vertical="top"/>
    </xf>
    <xf numFmtId="0" fontId="22" fillId="0" borderId="0" xfId="5" applyFont="1" applyAlignment="1">
      <alignment horizontal="left" vertical="top" wrapText="1"/>
    </xf>
    <xf numFmtId="0" fontId="27" fillId="20" borderId="23" xfId="0" applyFont="1" applyFill="1" applyBorder="1" applyAlignment="1">
      <alignment vertical="center"/>
    </xf>
    <xf numFmtId="0" fontId="27" fillId="0" borderId="0" xfId="0" applyFont="1" applyBorder="1"/>
    <xf numFmtId="0" fontId="10" fillId="0" borderId="0" xfId="0" applyFont="1" applyBorder="1" applyProtection="1">
      <protection locked="0"/>
    </xf>
    <xf numFmtId="0" fontId="23" fillId="0" borderId="5" xfId="4" applyFont="1" applyFill="1" applyBorder="1" applyAlignment="1" applyProtection="1">
      <alignment horizontal="center" vertical="top"/>
      <protection locked="0"/>
    </xf>
    <xf numFmtId="0" fontId="39" fillId="17" borderId="0" xfId="1" applyFont="1" applyFill="1" applyBorder="1" applyAlignment="1">
      <alignment horizontal="left" vertical="center"/>
    </xf>
    <xf numFmtId="14" fontId="47" fillId="19" borderId="19" xfId="4" applyNumberFormat="1" applyFont="1" applyFill="1" applyBorder="1" applyAlignment="1" applyProtection="1">
      <alignment horizontal="center" vertical="center"/>
    </xf>
    <xf numFmtId="14" fontId="47" fillId="19" borderId="20" xfId="4" applyNumberFormat="1" applyFont="1" applyFill="1" applyBorder="1" applyAlignment="1" applyProtection="1">
      <alignment horizontal="center" vertical="center"/>
    </xf>
    <xf numFmtId="0" fontId="23" fillId="0" borderId="26" xfId="4" applyFont="1" applyFill="1" applyBorder="1" applyAlignment="1" applyProtection="1">
      <alignment horizontal="left" vertical="center"/>
      <protection locked="0"/>
    </xf>
    <xf numFmtId="0" fontId="23" fillId="0" borderId="27" xfId="4" applyFont="1" applyFill="1" applyBorder="1" applyAlignment="1" applyProtection="1">
      <alignment horizontal="left" vertical="center"/>
      <protection locked="0"/>
    </xf>
    <xf numFmtId="0" fontId="23" fillId="0" borderId="28" xfId="4" applyFont="1" applyFill="1" applyBorder="1" applyAlignment="1" applyProtection="1">
      <alignment horizontal="left" vertical="center"/>
      <protection locked="0"/>
    </xf>
    <xf numFmtId="0" fontId="23" fillId="0" borderId="29" xfId="4" applyFont="1" applyFill="1" applyBorder="1" applyAlignment="1" applyProtection="1">
      <alignment vertical="top"/>
      <protection locked="0"/>
    </xf>
    <xf numFmtId="0" fontId="23" fillId="0" borderId="29" xfId="4" applyFont="1" applyFill="1" applyBorder="1" applyAlignment="1" applyProtection="1">
      <alignment horizontal="center" vertical="top"/>
      <protection locked="0"/>
    </xf>
    <xf numFmtId="0" fontId="23" fillId="0" borderId="29" xfId="4" applyFont="1" applyFill="1" applyBorder="1" applyAlignment="1" applyProtection="1">
      <alignment horizontal="left" vertical="top"/>
      <protection locked="0"/>
    </xf>
    <xf numFmtId="14" fontId="23" fillId="0" borderId="29" xfId="4" applyNumberFormat="1" applyFont="1" applyFill="1" applyBorder="1" applyAlignment="1" applyProtection="1">
      <alignment horizontal="center" vertical="top"/>
      <protection locked="0"/>
    </xf>
    <xf numFmtId="0" fontId="23" fillId="0" borderId="29" xfId="4" applyNumberFormat="1" applyFont="1" applyFill="1" applyBorder="1" applyAlignment="1" applyProtection="1">
      <alignment horizontal="left" vertical="top"/>
      <protection locked="0"/>
    </xf>
    <xf numFmtId="178" fontId="23" fillId="0" borderId="29" xfId="4" applyNumberFormat="1" applyFont="1" applyFill="1" applyBorder="1" applyAlignment="1" applyProtection="1">
      <alignment horizontal="center" vertical="top"/>
      <protection locked="0"/>
    </xf>
    <xf numFmtId="177" fontId="23" fillId="0" borderId="29" xfId="4" applyNumberFormat="1" applyFont="1" applyFill="1" applyBorder="1" applyAlignment="1" applyProtection="1">
      <alignment horizontal="center" vertical="top"/>
      <protection locked="0"/>
    </xf>
    <xf numFmtId="1" fontId="23" fillId="0" borderId="29" xfId="4" applyNumberFormat="1" applyFont="1" applyFill="1" applyBorder="1" applyAlignment="1" applyProtection="1">
      <alignment horizontal="center" vertical="top"/>
      <protection locked="0"/>
    </xf>
    <xf numFmtId="14" fontId="23" fillId="0" borderId="29" xfId="4" applyNumberFormat="1" applyFont="1" applyFill="1" applyBorder="1" applyAlignment="1" applyProtection="1">
      <alignment horizontal="left" vertical="top"/>
      <protection locked="0"/>
    </xf>
    <xf numFmtId="10" fontId="23" fillId="0" borderId="29" xfId="3" applyNumberFormat="1" applyFont="1" applyFill="1" applyBorder="1" applyAlignment="1" applyProtection="1">
      <alignment horizontal="right" vertical="top" wrapText="1"/>
      <protection locked="0"/>
    </xf>
    <xf numFmtId="10" fontId="23" fillId="0" borderId="29" xfId="3" applyNumberFormat="1" applyFont="1" applyFill="1" applyBorder="1" applyAlignment="1" applyProtection="1">
      <alignment horizontal="right" vertical="top"/>
      <protection locked="0"/>
    </xf>
    <xf numFmtId="0" fontId="23" fillId="0" borderId="30" xfId="4" applyFont="1" applyFill="1" applyBorder="1" applyAlignment="1" applyProtection="1">
      <alignment vertical="top"/>
      <protection locked="0"/>
    </xf>
    <xf numFmtId="0" fontId="23" fillId="0" borderId="30" xfId="4" applyFont="1" applyFill="1" applyBorder="1" applyAlignment="1" applyProtection="1">
      <alignment horizontal="left" vertical="top"/>
      <protection locked="0"/>
    </xf>
    <xf numFmtId="14" fontId="23" fillId="0" borderId="30" xfId="4" applyNumberFormat="1" applyFont="1" applyFill="1" applyBorder="1" applyAlignment="1" applyProtection="1">
      <alignment horizontal="center" vertical="top"/>
      <protection locked="0"/>
    </xf>
    <xf numFmtId="0" fontId="23" fillId="0" borderId="30" xfId="4" applyNumberFormat="1" applyFont="1" applyFill="1" applyBorder="1" applyAlignment="1" applyProtection="1">
      <alignment horizontal="left" vertical="top"/>
      <protection locked="0"/>
    </xf>
    <xf numFmtId="178" fontId="23" fillId="0" borderId="30" xfId="4" applyNumberFormat="1" applyFont="1" applyFill="1" applyBorder="1" applyAlignment="1" applyProtection="1">
      <alignment horizontal="center" vertical="top"/>
      <protection locked="0"/>
    </xf>
    <xf numFmtId="177" fontId="23" fillId="0" borderId="30" xfId="4" applyNumberFormat="1" applyFont="1" applyFill="1" applyBorder="1" applyAlignment="1" applyProtection="1">
      <alignment horizontal="center" vertical="top"/>
      <protection locked="0"/>
    </xf>
    <xf numFmtId="1" fontId="23" fillId="0" borderId="30" xfId="4" applyNumberFormat="1" applyFont="1" applyFill="1" applyBorder="1" applyAlignment="1" applyProtection="1">
      <alignment horizontal="center" vertical="top"/>
      <protection locked="0"/>
    </xf>
    <xf numFmtId="14" fontId="23" fillId="0" borderId="30" xfId="4" applyNumberFormat="1" applyFont="1" applyFill="1" applyBorder="1" applyAlignment="1" applyProtection="1">
      <alignment horizontal="left" vertical="top"/>
      <protection locked="0"/>
    </xf>
    <xf numFmtId="10" fontId="23" fillId="0" borderId="30" xfId="6" applyNumberFormat="1" applyFont="1" applyFill="1" applyBorder="1" applyAlignment="1" applyProtection="1">
      <alignment horizontal="right" vertical="top" wrapText="1"/>
      <protection locked="0"/>
    </xf>
    <xf numFmtId="0" fontId="0" fillId="0" borderId="0" xfId="0" applyAlignment="1">
      <alignment wrapText="1"/>
    </xf>
    <xf numFmtId="10" fontId="23" fillId="17" borderId="30" xfId="6" applyNumberFormat="1" applyFont="1" applyFill="1" applyBorder="1" applyAlignment="1" applyProtection="1">
      <alignment horizontal="right" vertical="top"/>
      <protection locked="0"/>
    </xf>
    <xf numFmtId="0" fontId="23" fillId="0" borderId="30" xfId="4" quotePrefix="1" applyFont="1" applyFill="1" applyBorder="1" applyAlignment="1" applyProtection="1">
      <alignment horizontal="left" vertical="top"/>
      <protection locked="0"/>
    </xf>
    <xf numFmtId="0" fontId="3" fillId="0" borderId="0" xfId="2" applyFill="1" applyBorder="1" applyAlignment="1">
      <alignment horizontal="left" vertical="top"/>
    </xf>
    <xf numFmtId="10" fontId="23" fillId="0" borderId="30" xfId="6" applyNumberFormat="1" applyFont="1" applyFill="1" applyBorder="1" applyAlignment="1" applyProtection="1">
      <alignment horizontal="right" vertical="top"/>
      <protection locked="0"/>
    </xf>
    <xf numFmtId="0" fontId="51" fillId="0" borderId="0" xfId="4" applyFont="1" applyFill="1" applyBorder="1" applyAlignment="1" applyProtection="1">
      <alignment horizontal="left" vertical="center"/>
    </xf>
    <xf numFmtId="10" fontId="9" fillId="0" borderId="0" xfId="4" applyNumberFormat="1" applyFont="1" applyBorder="1"/>
    <xf numFmtId="10" fontId="9" fillId="6" borderId="2" xfId="4" applyNumberFormat="1" applyFont="1" applyFill="1" applyBorder="1" applyAlignment="1">
      <alignment horizontal="left" wrapText="1"/>
    </xf>
    <xf numFmtId="0" fontId="9" fillId="6" borderId="2" xfId="4" applyNumberFormat="1" applyFont="1" applyFill="1" applyBorder="1" applyAlignment="1">
      <alignment horizontal="left" wrapText="1"/>
    </xf>
    <xf numFmtId="0" fontId="9" fillId="6" borderId="3" xfId="4" applyNumberFormat="1" applyFont="1" applyFill="1" applyBorder="1" applyAlignment="1">
      <alignment horizontal="left" wrapText="1"/>
    </xf>
    <xf numFmtId="0" fontId="9" fillId="0" borderId="0" xfId="4" quotePrefix="1" applyFont="1" applyBorder="1"/>
    <xf numFmtId="0" fontId="3" fillId="0" borderId="0" xfId="2" quotePrefix="1" applyBorder="1"/>
    <xf numFmtId="14" fontId="9" fillId="0" borderId="0" xfId="4" applyNumberFormat="1" applyFont="1" applyBorder="1"/>
    <xf numFmtId="0" fontId="52" fillId="21" borderId="0" xfId="4" quotePrefix="1" applyFont="1" applyFill="1" applyBorder="1"/>
    <xf numFmtId="0" fontId="3" fillId="21" borderId="0" xfId="2" quotePrefix="1" applyFill="1" applyBorder="1"/>
    <xf numFmtId="0" fontId="9" fillId="21" borderId="0" xfId="4" quotePrefix="1" applyFont="1" applyFill="1" applyBorder="1"/>
    <xf numFmtId="14" fontId="9" fillId="21" borderId="0" xfId="4" applyNumberFormat="1" applyFont="1" applyFill="1" applyBorder="1"/>
    <xf numFmtId="10" fontId="9" fillId="21" borderId="0" xfId="4" applyNumberFormat="1" applyFont="1" applyFill="1" applyBorder="1"/>
    <xf numFmtId="0" fontId="9" fillId="21" borderId="0" xfId="4" applyNumberFormat="1" applyFont="1" applyFill="1" applyBorder="1"/>
    <xf numFmtId="0" fontId="52" fillId="21" borderId="0" xfId="4" applyFont="1" applyFill="1" applyBorder="1"/>
    <xf numFmtId="0" fontId="9" fillId="21" borderId="0" xfId="4" applyFont="1" applyFill="1" applyBorder="1"/>
    <xf numFmtId="10" fontId="53" fillId="0" borderId="0" xfId="4" applyNumberFormat="1" applyFont="1" applyBorder="1"/>
    <xf numFmtId="10" fontId="53" fillId="21" borderId="0" xfId="4" applyNumberFormat="1" applyFont="1" applyFill="1" applyBorder="1"/>
    <xf numFmtId="0" fontId="23" fillId="0" borderId="30" xfId="4" applyFont="1" applyFill="1" applyBorder="1" applyAlignment="1" applyProtection="1">
      <alignment horizontal="left" vertical="center"/>
      <protection locked="0"/>
    </xf>
    <xf numFmtId="0" fontId="23" fillId="0" borderId="31" xfId="4" applyFont="1" applyFill="1" applyBorder="1" applyAlignment="1" applyProtection="1">
      <alignment vertical="top"/>
      <protection locked="0"/>
    </xf>
    <xf numFmtId="0" fontId="23" fillId="0" borderId="31" xfId="4" quotePrefix="1" applyFont="1" applyFill="1" applyBorder="1" applyAlignment="1" applyProtection="1">
      <alignment horizontal="left" vertical="top"/>
      <protection locked="0"/>
    </xf>
    <xf numFmtId="0" fontId="23" fillId="0" borderId="31" xfId="4" applyFont="1" applyFill="1" applyBorder="1" applyAlignment="1" applyProtection="1">
      <alignment horizontal="left" vertical="top"/>
      <protection locked="0"/>
    </xf>
    <xf numFmtId="14" fontId="23" fillId="0" borderId="31" xfId="4" applyNumberFormat="1" applyFont="1" applyFill="1" applyBorder="1" applyAlignment="1" applyProtection="1">
      <alignment horizontal="center" vertical="top"/>
      <protection locked="0"/>
    </xf>
    <xf numFmtId="0" fontId="23" fillId="0" borderId="31" xfId="4" applyNumberFormat="1" applyFont="1" applyFill="1" applyBorder="1" applyAlignment="1" applyProtection="1">
      <alignment horizontal="left" vertical="top"/>
      <protection locked="0"/>
    </xf>
    <xf numFmtId="178" fontId="23" fillId="0" borderId="31" xfId="4" applyNumberFormat="1" applyFont="1" applyFill="1" applyBorder="1" applyAlignment="1" applyProtection="1">
      <alignment horizontal="center" vertical="top"/>
      <protection locked="0"/>
    </xf>
    <xf numFmtId="177" fontId="23" fillId="0" borderId="31" xfId="4" applyNumberFormat="1" applyFont="1" applyFill="1" applyBorder="1" applyAlignment="1" applyProtection="1">
      <alignment horizontal="center" vertical="top"/>
      <protection locked="0"/>
    </xf>
    <xf numFmtId="1" fontId="23" fillId="0" borderId="31" xfId="4" applyNumberFormat="1" applyFont="1" applyFill="1" applyBorder="1" applyAlignment="1" applyProtection="1">
      <alignment horizontal="center" vertical="top"/>
      <protection locked="0"/>
    </xf>
    <xf numFmtId="14" fontId="23" fillId="0" borderId="31" xfId="4" applyNumberFormat="1" applyFont="1" applyFill="1" applyBorder="1" applyAlignment="1" applyProtection="1">
      <alignment horizontal="left" vertical="top"/>
      <protection locked="0"/>
    </xf>
    <xf numFmtId="10" fontId="23" fillId="0" borderId="31" xfId="6" applyNumberFormat="1" applyFont="1" applyFill="1" applyBorder="1" applyAlignment="1" applyProtection="1">
      <alignment horizontal="right" vertical="top" wrapText="1"/>
      <protection locked="0"/>
    </xf>
    <xf numFmtId="10" fontId="23" fillId="0" borderId="31" xfId="6" applyNumberFormat="1" applyFont="1" applyFill="1" applyBorder="1" applyAlignment="1" applyProtection="1">
      <alignment horizontal="right" vertical="top"/>
      <protection locked="0"/>
    </xf>
    <xf numFmtId="10" fontId="54" fillId="17" borderId="30" xfId="6" applyNumberFormat="1" applyFont="1" applyFill="1" applyBorder="1" applyAlignment="1" applyProtection="1">
      <alignment horizontal="right" vertical="top"/>
      <protection locked="0"/>
    </xf>
    <xf numFmtId="10" fontId="23" fillId="22" borderId="30" xfId="6" applyNumberFormat="1" applyFont="1" applyFill="1" applyBorder="1" applyAlignment="1" applyProtection="1">
      <alignment horizontal="right" vertical="top"/>
      <protection locked="0"/>
    </xf>
    <xf numFmtId="10" fontId="54" fillId="22" borderId="30" xfId="6" applyNumberFormat="1" applyFont="1" applyFill="1" applyBorder="1" applyAlignment="1" applyProtection="1">
      <alignment horizontal="right" vertical="top"/>
      <protection locked="0"/>
    </xf>
    <xf numFmtId="10" fontId="23" fillId="23" borderId="30" xfId="6" applyNumberFormat="1" applyFont="1" applyFill="1" applyBorder="1" applyAlignment="1" applyProtection="1">
      <alignment horizontal="right" vertical="top"/>
      <protection locked="0"/>
    </xf>
    <xf numFmtId="10" fontId="54" fillId="23" borderId="30" xfId="6" applyNumberFormat="1" applyFont="1" applyFill="1" applyBorder="1" applyAlignment="1" applyProtection="1">
      <alignment horizontal="right" vertical="top"/>
      <protection locked="0"/>
    </xf>
    <xf numFmtId="0" fontId="47" fillId="19" borderId="20" xfId="4" applyFont="1" applyFill="1" applyBorder="1" applyAlignment="1" applyProtection="1">
      <alignment horizontal="left" vertical="center"/>
    </xf>
    <xf numFmtId="0" fontId="47" fillId="19" borderId="21" xfId="4" applyFont="1" applyFill="1" applyBorder="1" applyAlignment="1" applyProtection="1">
      <alignment horizontal="left" vertical="center"/>
    </xf>
    <xf numFmtId="0" fontId="36" fillId="17" borderId="0" xfId="1" applyFont="1" applyFill="1" applyBorder="1" applyAlignment="1">
      <alignment horizontal="left" vertical="center"/>
    </xf>
    <xf numFmtId="0" fontId="34" fillId="20" borderId="22" xfId="0" applyFont="1" applyFill="1" applyBorder="1" applyAlignment="1">
      <alignment horizontal="center" vertical="center"/>
    </xf>
    <xf numFmtId="0" fontId="34" fillId="20" borderId="23" xfId="0" applyFont="1" applyFill="1" applyBorder="1" applyAlignment="1">
      <alignment horizontal="center" vertical="center"/>
    </xf>
    <xf numFmtId="0" fontId="34" fillId="20" borderId="24" xfId="0" applyFont="1" applyFill="1" applyBorder="1" applyAlignment="1">
      <alignment horizontal="center" vertical="center"/>
    </xf>
    <xf numFmtId="0" fontId="34" fillId="20" borderId="25" xfId="0" applyFont="1" applyFill="1" applyBorder="1" applyAlignment="1">
      <alignment horizontal="center" vertical="center"/>
    </xf>
    <xf numFmtId="0" fontId="9" fillId="0" borderId="18" xfId="0" applyFont="1" applyFill="1" applyBorder="1" applyAlignment="1" applyProtection="1">
      <alignment horizontal="left" vertical="top" wrapText="1"/>
      <protection locked="0"/>
    </xf>
    <xf numFmtId="0" fontId="9" fillId="0" borderId="18" xfId="0" applyFont="1" applyFill="1" applyBorder="1" applyAlignment="1" applyProtection="1">
      <alignment horizontal="left" vertical="center" wrapText="1"/>
      <protection locked="0"/>
    </xf>
    <xf numFmtId="0" fontId="33" fillId="15" borderId="0" xfId="0" applyFont="1" applyFill="1" applyAlignment="1">
      <alignment horizontal="left" vertical="top" wrapText="1"/>
    </xf>
    <xf numFmtId="0" fontId="24" fillId="20" borderId="23" xfId="2" applyFont="1" applyFill="1" applyBorder="1" applyAlignment="1">
      <alignment horizontal="right"/>
    </xf>
    <xf numFmtId="0" fontId="0" fillId="20" borderId="23" xfId="0" applyFill="1" applyBorder="1" applyAlignment="1">
      <alignment horizontal="right"/>
    </xf>
    <xf numFmtId="0" fontId="27" fillId="0" borderId="0" xfId="0" applyFont="1" applyFill="1" applyAlignment="1">
      <alignment horizontal="left" vertical="top" wrapText="1"/>
    </xf>
    <xf numFmtId="0" fontId="9" fillId="0" borderId="15" xfId="0" applyFont="1" applyFill="1" applyBorder="1" applyAlignment="1" applyProtection="1">
      <alignment horizontal="left" vertical="center" wrapText="1"/>
      <protection locked="0"/>
    </xf>
    <xf numFmtId="0" fontId="46" fillId="20" borderId="25" xfId="2" applyFont="1" applyFill="1" applyBorder="1" applyAlignment="1">
      <alignment vertical="center"/>
    </xf>
    <xf numFmtId="0" fontId="0" fillId="20" borderId="25" xfId="0" applyFill="1" applyBorder="1" applyAlignment="1">
      <alignment vertical="center"/>
    </xf>
    <xf numFmtId="0" fontId="42" fillId="17" borderId="0" xfId="3" applyNumberFormat="1" applyFont="1" applyFill="1" applyBorder="1" applyAlignment="1">
      <alignment horizontal="center" vertical="center" wrapText="1"/>
    </xf>
    <xf numFmtId="14" fontId="20" fillId="9" borderId="2" xfId="4" applyNumberFormat="1" applyFont="1" applyFill="1" applyBorder="1" applyAlignment="1" applyProtection="1">
      <alignment horizontal="center" vertical="center"/>
    </xf>
    <xf numFmtId="14"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center" wrapText="1"/>
    </xf>
    <xf numFmtId="178" fontId="20" fillId="18" borderId="2" xfId="4" applyNumberFormat="1" applyFont="1" applyFill="1" applyBorder="1" applyAlignment="1" applyProtection="1">
      <alignment horizontal="center" vertical="center" wrapText="1"/>
    </xf>
    <xf numFmtId="14" fontId="20" fillId="9" borderId="2" xfId="4" applyNumberFormat="1" applyFont="1" applyFill="1" applyBorder="1" applyAlignment="1" applyProtection="1">
      <alignment horizontal="center" vertical="center" wrapText="1"/>
    </xf>
    <xf numFmtId="0" fontId="20" fillId="9" borderId="2" xfId="4" applyNumberFormat="1" applyFont="1" applyFill="1" applyBorder="1" applyAlignment="1" applyProtection="1">
      <alignment horizontal="center" vertical="center"/>
    </xf>
    <xf numFmtId="0" fontId="20" fillId="18" borderId="2" xfId="4" applyNumberFormat="1" applyFont="1" applyFill="1" applyBorder="1" applyAlignment="1" applyProtection="1">
      <alignment horizontal="center" vertical="center"/>
    </xf>
    <xf numFmtId="178" fontId="20" fillId="19" borderId="2" xfId="4" applyNumberFormat="1" applyFont="1" applyFill="1" applyBorder="1" applyAlignment="1" applyProtection="1">
      <alignment horizontal="center" vertical="top" wrapText="1"/>
    </xf>
    <xf numFmtId="178" fontId="20" fillId="18" borderId="2" xfId="4" applyNumberFormat="1" applyFont="1" applyFill="1" applyBorder="1" applyAlignment="1" applyProtection="1">
      <alignment horizontal="center" vertical="top" wrapText="1"/>
    </xf>
    <xf numFmtId="10" fontId="20" fillId="9" borderId="3" xfId="3" applyNumberFormat="1" applyFont="1" applyFill="1" applyBorder="1" applyAlignment="1" applyProtection="1">
      <alignment horizontal="center" vertical="center" wrapText="1"/>
    </xf>
    <xf numFmtId="10" fontId="20" fillId="18" borderId="3" xfId="3" applyNumberFormat="1" applyFont="1" applyFill="1" applyBorder="1" applyAlignment="1" applyProtection="1">
      <alignment horizontal="center" vertical="center" wrapText="1"/>
    </xf>
    <xf numFmtId="1" fontId="20" fillId="19" borderId="2" xfId="4" applyNumberFormat="1" applyFont="1" applyFill="1" applyBorder="1" applyAlignment="1" applyProtection="1">
      <alignment horizontal="center" vertical="center" wrapText="1"/>
    </xf>
    <xf numFmtId="1" fontId="20" fillId="18" borderId="2" xfId="4" applyNumberFormat="1" applyFont="1" applyFill="1" applyBorder="1" applyAlignment="1" applyProtection="1">
      <alignment horizontal="center" vertical="center" wrapText="1"/>
    </xf>
    <xf numFmtId="0" fontId="20" fillId="16" borderId="1" xfId="4" applyFont="1" applyFill="1" applyBorder="1" applyAlignment="1" applyProtection="1">
      <alignment horizontal="center" vertical="center" wrapText="1"/>
    </xf>
    <xf numFmtId="0" fontId="20" fillId="16" borderId="0" xfId="4" applyFont="1" applyFill="1" applyBorder="1" applyAlignment="1" applyProtection="1">
      <alignment horizontal="center" vertical="center" wrapText="1"/>
    </xf>
    <xf numFmtId="0" fontId="20" fillId="16" borderId="2" xfId="4" applyFont="1" applyFill="1" applyBorder="1" applyAlignment="1" applyProtection="1">
      <alignment horizontal="center" vertical="center"/>
    </xf>
    <xf numFmtId="0" fontId="20" fillId="16" borderId="16" xfId="4" applyFont="1" applyFill="1" applyBorder="1" applyAlignment="1" applyProtection="1">
      <alignment horizontal="center" vertical="center"/>
    </xf>
    <xf numFmtId="0" fontId="20" fillId="16" borderId="2" xfId="4" applyFont="1" applyFill="1" applyBorder="1" applyAlignment="1" applyProtection="1">
      <alignment horizontal="center" vertical="center" wrapText="1"/>
    </xf>
    <xf numFmtId="0" fontId="20" fillId="19" borderId="2" xfId="4" applyFont="1" applyFill="1" applyBorder="1" applyAlignment="1" applyProtection="1">
      <alignment horizontal="center" vertical="center"/>
    </xf>
    <xf numFmtId="0" fontId="20" fillId="18" borderId="2" xfId="4" applyFont="1" applyFill="1" applyBorder="1" applyAlignment="1" applyProtection="1">
      <alignment horizontal="center" vertical="center"/>
    </xf>
    <xf numFmtId="0" fontId="20" fillId="9" borderId="3" xfId="4" applyFont="1" applyFill="1" applyBorder="1" applyAlignment="1" applyProtection="1">
      <alignment horizontal="center" vertical="center"/>
    </xf>
    <xf numFmtId="0" fontId="20" fillId="18" borderId="0" xfId="4" applyFont="1" applyFill="1" applyBorder="1" applyAlignment="1" applyProtection="1">
      <alignment horizontal="center" vertical="center"/>
    </xf>
    <xf numFmtId="0" fontId="20" fillId="18" borderId="3" xfId="4" applyFont="1" applyFill="1" applyBorder="1" applyAlignment="1" applyProtection="1">
      <alignment horizontal="center" vertical="center"/>
    </xf>
    <xf numFmtId="177" fontId="20" fillId="19" borderId="2" xfId="4" applyNumberFormat="1" applyFont="1" applyFill="1" applyBorder="1" applyAlignment="1" applyProtection="1">
      <alignment horizontal="center" vertical="center" wrapText="1"/>
    </xf>
    <xf numFmtId="177" fontId="20" fillId="18" borderId="2" xfId="4" applyNumberFormat="1" applyFont="1" applyFill="1" applyBorder="1" applyAlignment="1" applyProtection="1">
      <alignment horizontal="center" vertical="center" wrapText="1"/>
    </xf>
    <xf numFmtId="10" fontId="20" fillId="19" borderId="2" xfId="3" applyNumberFormat="1" applyFont="1" applyFill="1" applyBorder="1" applyAlignment="1" applyProtection="1">
      <alignment horizontal="center" vertical="center" wrapText="1"/>
    </xf>
    <xf numFmtId="10" fontId="20" fillId="18" borderId="2" xfId="3" applyNumberFormat="1" applyFont="1" applyFill="1" applyBorder="1" applyAlignment="1" applyProtection="1">
      <alignment horizontal="center" vertical="center" wrapText="1"/>
    </xf>
    <xf numFmtId="176" fontId="20" fillId="9" borderId="2" xfId="4" applyNumberFormat="1" applyFont="1" applyFill="1" applyBorder="1" applyAlignment="1" applyProtection="1">
      <alignment horizontal="center" vertical="center"/>
    </xf>
    <xf numFmtId="176" fontId="20" fillId="18" borderId="2" xfId="4" applyNumberFormat="1" applyFont="1" applyFill="1" applyBorder="1" applyAlignment="1" applyProtection="1">
      <alignment horizontal="center" vertical="center"/>
    </xf>
    <xf numFmtId="0" fontId="20" fillId="9" borderId="2" xfId="4" applyFont="1" applyFill="1" applyBorder="1" applyAlignment="1" applyProtection="1">
      <alignment horizontal="center" vertical="center"/>
    </xf>
    <xf numFmtId="0" fontId="35" fillId="19" borderId="19" xfId="1" applyFont="1" applyFill="1" applyBorder="1" applyAlignment="1">
      <alignment horizontal="left" vertical="center" wrapText="1"/>
    </xf>
    <xf numFmtId="0" fontId="35" fillId="19" borderId="20" xfId="1" applyFont="1" applyFill="1" applyBorder="1" applyAlignment="1">
      <alignment horizontal="left" vertical="center"/>
    </xf>
    <xf numFmtId="0" fontId="36" fillId="17" borderId="0" xfId="1" applyFont="1" applyFill="1" applyBorder="1" applyAlignment="1">
      <alignment horizontal="left" vertical="center"/>
    </xf>
    <xf numFmtId="0" fontId="35" fillId="19" borderId="20" xfId="1" applyFont="1" applyFill="1" applyBorder="1" applyAlignment="1">
      <alignment horizontal="left" vertical="center" wrapText="1"/>
    </xf>
    <xf numFmtId="0" fontId="35" fillId="19" borderId="21" xfId="1" applyFont="1" applyFill="1" applyBorder="1" applyAlignment="1">
      <alignment horizontal="left" vertical="center"/>
    </xf>
    <xf numFmtId="0" fontId="10" fillId="0" borderId="0" xfId="4" applyFont="1" applyFill="1" applyBorder="1" applyAlignment="1" applyProtection="1">
      <alignment horizontal="left" vertical="center" wrapText="1"/>
      <protection locked="0"/>
    </xf>
    <xf numFmtId="0" fontId="10" fillId="0" borderId="0" xfId="4" applyFont="1" applyFill="1" applyBorder="1" applyAlignment="1" applyProtection="1">
      <alignment horizontal="left" vertical="center"/>
      <protection locked="0"/>
    </xf>
    <xf numFmtId="0" fontId="7" fillId="0" borderId="0" xfId="1" applyFont="1" applyFill="1" applyBorder="1" applyAlignment="1">
      <alignment horizontal="left" vertical="center"/>
    </xf>
    <xf numFmtId="0" fontId="6" fillId="0" borderId="0" xfId="1" applyFont="1" applyFill="1" applyBorder="1" applyAlignment="1">
      <alignment horizontal="left" vertical="center"/>
    </xf>
    <xf numFmtId="14" fontId="11" fillId="3" borderId="0" xfId="4" applyNumberFormat="1" applyFont="1" applyFill="1" applyBorder="1" applyAlignment="1" applyProtection="1">
      <alignment horizontal="right" vertical="center"/>
    </xf>
    <xf numFmtId="0" fontId="26" fillId="0" borderId="0" xfId="4" applyFont="1" applyFill="1" applyBorder="1" applyAlignment="1" applyProtection="1">
      <alignment horizontal="left" vertical="center" wrapText="1"/>
      <protection locked="0"/>
    </xf>
    <xf numFmtId="14" fontId="9" fillId="3" borderId="0" xfId="4" applyNumberFormat="1" applyFont="1" applyFill="1" applyBorder="1" applyAlignment="1" applyProtection="1">
      <alignment horizontal="left" vertical="top" wrapText="1"/>
    </xf>
    <xf numFmtId="14" fontId="14" fillId="7" borderId="14" xfId="4" applyNumberFormat="1" applyFont="1" applyFill="1" applyBorder="1" applyAlignment="1" applyProtection="1">
      <alignment horizontal="center" vertical="center"/>
      <protection locked="0"/>
    </xf>
  </cellXfs>
  <cellStyles count="7">
    <cellStyle name="강조색5 2" xfId="1" xr:uid="{00000000-0005-0000-0000-000000000000}"/>
    <cellStyle name="백분율" xfId="6" builtinId="5"/>
    <cellStyle name="백분율 2" xfId="3" xr:uid="{00000000-0005-0000-0000-000002000000}"/>
    <cellStyle name="표준" xfId="0" builtinId="0"/>
    <cellStyle name="표준 2" xfId="4" xr:uid="{00000000-0005-0000-0000-000004000000}"/>
    <cellStyle name="표준 2 2" xfId="5" xr:uid="{00000000-0005-0000-0000-000005000000}"/>
    <cellStyle name="하이퍼링크" xfId="2" builtinId="8"/>
  </cellStyles>
  <dxfs count="5">
    <dxf>
      <font>
        <color theme="0" tint="-0.34998626667073579"/>
      </font>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ont>
        <color theme="0" tint="-0.34998626667073579"/>
      </font>
    </dxf>
  </dxfs>
  <tableStyles count="1" defaultTableStyle="TableStyleMedium2" defaultPivotStyle="PivotStyleLight16">
    <tableStyle name="Invisible" pivot="0" table="0" count="0" xr9:uid="{00000000-0011-0000-FFFF-FFFF00000000}"/>
  </tableStyles>
  <colors>
    <mruColors>
      <color rgb="FFF8F8F8"/>
      <color rgb="FFFF6600"/>
      <color rgb="FFFF3300"/>
      <color rgb="FFFF0000"/>
      <color rgb="FFFF8800"/>
      <color rgb="FF009900"/>
      <color rgb="FF2592FF"/>
      <color rgb="FF6600FF"/>
      <color rgb="FF242424"/>
      <color rgb="FF00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drawings/drawing1.xml><?xml version="1.0" encoding="utf-8"?>
<xdr:wsDr xmlns:xdr="http://schemas.openxmlformats.org/drawingml/2006/spreadsheetDrawing" xmlns:a="http://schemas.openxmlformats.org/drawingml/2006/main">
  <xdr:twoCellAnchor>
    <xdr:from>
      <xdr:col>3</xdr:col>
      <xdr:colOff>12700</xdr:colOff>
      <xdr:row>0</xdr:row>
      <xdr:rowOff>12700</xdr:rowOff>
    </xdr:from>
    <xdr:to>
      <xdr:col>3</xdr:col>
      <xdr:colOff>12700</xdr:colOff>
      <xdr:row>0</xdr:row>
      <xdr:rowOff>12700</xdr:rowOff>
    </xdr:to>
    <xdr:cxnSp macro="">
      <xdr:nvCxnSpPr>
        <xdr:cNvPr id="3823" name="연결선: 꺾임 3822">
          <a:extLst>
            <a:ext uri="{FF2B5EF4-FFF2-40B4-BE49-F238E27FC236}">
              <a16:creationId xmlns:a16="http://schemas.microsoft.com/office/drawing/2014/main" id="{00000000-0008-0000-0200-0000EF0E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14008" name="연결선: 꺾임 14007">
          <a:extLst>
            <a:ext uri="{FF2B5EF4-FFF2-40B4-BE49-F238E27FC236}">
              <a16:creationId xmlns:a16="http://schemas.microsoft.com/office/drawing/2014/main" id="{00000000-0008-0000-0200-0000B836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3" name="연결선: 꺾임 23032">
          <a:extLst>
            <a:ext uri="{FF2B5EF4-FFF2-40B4-BE49-F238E27FC236}">
              <a16:creationId xmlns:a16="http://schemas.microsoft.com/office/drawing/2014/main" id="{00000000-0008-0000-0200-0000F9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12700</xdr:colOff>
      <xdr:row>0</xdr:row>
      <xdr:rowOff>12700</xdr:rowOff>
    </xdr:from>
    <xdr:to>
      <xdr:col>3</xdr:col>
      <xdr:colOff>12700</xdr:colOff>
      <xdr:row>0</xdr:row>
      <xdr:rowOff>12700</xdr:rowOff>
    </xdr:to>
    <xdr:cxnSp macro="">
      <xdr:nvCxnSpPr>
        <xdr:cNvPr id="23038" name="연결선: 꺾임 23037">
          <a:extLst>
            <a:ext uri="{FF2B5EF4-FFF2-40B4-BE49-F238E27FC236}">
              <a16:creationId xmlns:a16="http://schemas.microsoft.com/office/drawing/2014/main" id="{00000000-0008-0000-0200-0000FE590000}"/>
            </a:ext>
          </a:extLst>
        </xdr:cNvPr>
        <xdr:cNvCxnSpPr/>
      </xdr:nvCxnSpPr>
      <xdr:spPr>
        <a:xfrm>
          <a:off x="12700" y="12700"/>
          <a:ext cx="0" cy="0"/>
        </a:xfrm>
        <a:prstGeom prst="bentConnector3">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61232</xdr:colOff>
      <xdr:row>3</xdr:row>
      <xdr:rowOff>76073</xdr:rowOff>
    </xdr:from>
    <xdr:to>
      <xdr:col>38</xdr:col>
      <xdr:colOff>61232</xdr:colOff>
      <xdr:row>73</xdr:row>
      <xdr:rowOff>0</xdr:rowOff>
    </xdr:to>
    <xdr:cxnSp macro="">
      <xdr:nvCxnSpPr>
        <xdr:cNvPr id="2" name="직선 화살표 연결선 1">
          <a:extLst>
            <a:ext uri="{FF2B5EF4-FFF2-40B4-BE49-F238E27FC236}">
              <a16:creationId xmlns:a16="http://schemas.microsoft.com/office/drawing/2014/main" id="{9BDA70B1-533E-482A-8872-BC0D34EF7307}"/>
            </a:ext>
          </a:extLst>
        </xdr:cNvPr>
        <xdr:cNvCxnSpPr/>
      </xdr:nvCxnSpPr>
      <xdr:spPr>
        <a:xfrm>
          <a:off x="14196332" y="752348"/>
          <a:ext cx="0" cy="10515727"/>
        </a:xfrm>
        <a:prstGeom prst="straightConnector1">
          <a:avLst/>
        </a:prstGeom>
        <a:ln w="6350">
          <a:solidFill>
            <a:srgbClr val="FF0000"/>
          </a:solidFill>
          <a:headEnd type="none"/>
          <a:tailEnd type="non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20411</xdr:colOff>
      <xdr:row>72</xdr:row>
      <xdr:rowOff>19050</xdr:rowOff>
    </xdr:from>
    <xdr:to>
      <xdr:col>36</xdr:col>
      <xdr:colOff>123734</xdr:colOff>
      <xdr:row>72</xdr:row>
      <xdr:rowOff>133350</xdr:rowOff>
    </xdr:to>
    <xdr:sp macro="" textlink="">
      <xdr:nvSpPr>
        <xdr:cNvPr id="3" name="69">
          <a:extLst>
            <a:ext uri="{FF2B5EF4-FFF2-40B4-BE49-F238E27FC236}">
              <a16:creationId xmlns:a16="http://schemas.microsoft.com/office/drawing/2014/main" id="{98C822C7-FACA-4181-956C-CB85D92EED16}"/>
            </a:ext>
          </a:extLst>
        </xdr:cNvPr>
        <xdr:cNvSpPr/>
      </xdr:nvSpPr>
      <xdr:spPr>
        <a:xfrm>
          <a:off x="13869761" y="11134725"/>
          <a:ext cx="10332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72</xdr:row>
      <xdr:rowOff>76200</xdr:rowOff>
    </xdr:from>
    <xdr:to>
      <xdr:col>36</xdr:col>
      <xdr:colOff>122464</xdr:colOff>
      <xdr:row>72</xdr:row>
      <xdr:rowOff>76200</xdr:rowOff>
    </xdr:to>
    <xdr:cxnSp macro="">
      <xdr:nvCxnSpPr>
        <xdr:cNvPr id="4" name="직선 화살표 연결선 3">
          <a:extLst>
            <a:ext uri="{FF2B5EF4-FFF2-40B4-BE49-F238E27FC236}">
              <a16:creationId xmlns:a16="http://schemas.microsoft.com/office/drawing/2014/main" id="{84422485-F885-4A11-BC2F-1B7CF11D0C38}"/>
            </a:ext>
          </a:extLst>
        </xdr:cNvPr>
        <xdr:cNvCxnSpPr/>
      </xdr:nvCxnSpPr>
      <xdr:spPr>
        <a:xfrm>
          <a:off x="13869761" y="11191875"/>
          <a:ext cx="10205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61232</xdr:colOff>
      <xdr:row>71</xdr:row>
      <xdr:rowOff>19050</xdr:rowOff>
    </xdr:from>
    <xdr:to>
      <xdr:col>38</xdr:col>
      <xdr:colOff>103324</xdr:colOff>
      <xdr:row>71</xdr:row>
      <xdr:rowOff>133350</xdr:rowOff>
    </xdr:to>
    <xdr:sp macro="" textlink="">
      <xdr:nvSpPr>
        <xdr:cNvPr id="5" name="68">
          <a:extLst>
            <a:ext uri="{FF2B5EF4-FFF2-40B4-BE49-F238E27FC236}">
              <a16:creationId xmlns:a16="http://schemas.microsoft.com/office/drawing/2014/main" id="{7EBC56B9-BEA7-419C-BC29-5D70384C0F53}"/>
            </a:ext>
          </a:extLst>
        </xdr:cNvPr>
        <xdr:cNvSpPr/>
      </xdr:nvSpPr>
      <xdr:spPr>
        <a:xfrm>
          <a:off x="14053457" y="10982325"/>
          <a:ext cx="184967"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61232</xdr:colOff>
      <xdr:row>71</xdr:row>
      <xdr:rowOff>76200</xdr:rowOff>
    </xdr:from>
    <xdr:to>
      <xdr:col>37</xdr:col>
      <xdr:colOff>61232</xdr:colOff>
      <xdr:row>71</xdr:row>
      <xdr:rowOff>76200</xdr:rowOff>
    </xdr:to>
    <xdr:cxnSp macro="">
      <xdr:nvCxnSpPr>
        <xdr:cNvPr id="6" name="직선 화살표 연결선 5">
          <a:extLst>
            <a:ext uri="{FF2B5EF4-FFF2-40B4-BE49-F238E27FC236}">
              <a16:creationId xmlns:a16="http://schemas.microsoft.com/office/drawing/2014/main" id="{AB8642BE-BC4F-4A84-AA3D-36C8B7B31832}"/>
            </a:ext>
          </a:extLst>
        </xdr:cNvPr>
        <xdr:cNvCxnSpPr/>
      </xdr:nvCxnSpPr>
      <xdr:spPr>
        <a:xfrm>
          <a:off x="14053457" y="11039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70</xdr:row>
      <xdr:rowOff>19050</xdr:rowOff>
    </xdr:from>
    <xdr:to>
      <xdr:col>37</xdr:col>
      <xdr:colOff>103324</xdr:colOff>
      <xdr:row>70</xdr:row>
      <xdr:rowOff>133350</xdr:rowOff>
    </xdr:to>
    <xdr:sp macro="" textlink="">
      <xdr:nvSpPr>
        <xdr:cNvPr id="7" name="67">
          <a:extLst>
            <a:ext uri="{FF2B5EF4-FFF2-40B4-BE49-F238E27FC236}">
              <a16:creationId xmlns:a16="http://schemas.microsoft.com/office/drawing/2014/main" id="{2A151121-9795-4860-8570-5485A6CA4798}"/>
            </a:ext>
          </a:extLst>
        </xdr:cNvPr>
        <xdr:cNvSpPr/>
      </xdr:nvSpPr>
      <xdr:spPr>
        <a:xfrm>
          <a:off x="13828939" y="10829925"/>
          <a:ext cx="266610"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70</xdr:row>
      <xdr:rowOff>76200</xdr:rowOff>
    </xdr:from>
    <xdr:to>
      <xdr:col>37</xdr:col>
      <xdr:colOff>102054</xdr:colOff>
      <xdr:row>70</xdr:row>
      <xdr:rowOff>76200</xdr:rowOff>
    </xdr:to>
    <xdr:cxnSp macro="">
      <xdr:nvCxnSpPr>
        <xdr:cNvPr id="8" name="직선 화살표 연결선 7">
          <a:extLst>
            <a:ext uri="{FF2B5EF4-FFF2-40B4-BE49-F238E27FC236}">
              <a16:creationId xmlns:a16="http://schemas.microsoft.com/office/drawing/2014/main" id="{5B62A3D0-6DAD-4539-9590-86B7BF641FC9}"/>
            </a:ext>
          </a:extLst>
        </xdr:cNvPr>
        <xdr:cNvCxnSpPr/>
      </xdr:nvCxnSpPr>
      <xdr:spPr>
        <a:xfrm>
          <a:off x="13828939" y="10887075"/>
          <a:ext cx="26534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69</xdr:row>
      <xdr:rowOff>19050</xdr:rowOff>
    </xdr:from>
    <xdr:to>
      <xdr:col>39</xdr:col>
      <xdr:colOff>62502</xdr:colOff>
      <xdr:row>69</xdr:row>
      <xdr:rowOff>133350</xdr:rowOff>
    </xdr:to>
    <xdr:sp macro="" textlink="">
      <xdr:nvSpPr>
        <xdr:cNvPr id="9" name="66">
          <a:extLst>
            <a:ext uri="{FF2B5EF4-FFF2-40B4-BE49-F238E27FC236}">
              <a16:creationId xmlns:a16="http://schemas.microsoft.com/office/drawing/2014/main" id="{1900449E-56CF-4C63-9628-8585B543DD9C}"/>
            </a:ext>
          </a:extLst>
        </xdr:cNvPr>
        <xdr:cNvSpPr/>
      </xdr:nvSpPr>
      <xdr:spPr>
        <a:xfrm>
          <a:off x="14012636" y="10677525"/>
          <a:ext cx="32784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69</xdr:row>
      <xdr:rowOff>76200</xdr:rowOff>
    </xdr:from>
    <xdr:to>
      <xdr:col>38</xdr:col>
      <xdr:colOff>73479</xdr:colOff>
      <xdr:row>69</xdr:row>
      <xdr:rowOff>76200</xdr:rowOff>
    </xdr:to>
    <xdr:cxnSp macro="">
      <xdr:nvCxnSpPr>
        <xdr:cNvPr id="10" name="직선 화살표 연결선 9">
          <a:extLst>
            <a:ext uri="{FF2B5EF4-FFF2-40B4-BE49-F238E27FC236}">
              <a16:creationId xmlns:a16="http://schemas.microsoft.com/office/drawing/2014/main" id="{28D11AB5-8802-4427-9808-C0E665DB48C9}"/>
            </a:ext>
          </a:extLst>
        </xdr:cNvPr>
        <xdr:cNvCxnSpPr/>
      </xdr:nvCxnSpPr>
      <xdr:spPr>
        <a:xfrm>
          <a:off x="14012636" y="10734675"/>
          <a:ext cx="1959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68</xdr:row>
      <xdr:rowOff>19050</xdr:rowOff>
    </xdr:from>
    <xdr:to>
      <xdr:col>39</xdr:col>
      <xdr:colOff>62502</xdr:colOff>
      <xdr:row>68</xdr:row>
      <xdr:rowOff>133350</xdr:rowOff>
    </xdr:to>
    <xdr:sp macro="" textlink="">
      <xdr:nvSpPr>
        <xdr:cNvPr id="11" name="65">
          <a:extLst>
            <a:ext uri="{FF2B5EF4-FFF2-40B4-BE49-F238E27FC236}">
              <a16:creationId xmlns:a16="http://schemas.microsoft.com/office/drawing/2014/main" id="{28B235C0-5A15-42CF-9DD2-F02152D47154}"/>
            </a:ext>
          </a:extLst>
        </xdr:cNvPr>
        <xdr:cNvSpPr/>
      </xdr:nvSpPr>
      <xdr:spPr>
        <a:xfrm>
          <a:off x="13828939" y="105251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68</xdr:row>
      <xdr:rowOff>76200</xdr:rowOff>
    </xdr:from>
    <xdr:to>
      <xdr:col>38</xdr:col>
      <xdr:colOff>21647</xdr:colOff>
      <xdr:row>68</xdr:row>
      <xdr:rowOff>76200</xdr:rowOff>
    </xdr:to>
    <xdr:cxnSp macro="">
      <xdr:nvCxnSpPr>
        <xdr:cNvPr id="12" name="직선 화살표 연결선 11">
          <a:extLst>
            <a:ext uri="{FF2B5EF4-FFF2-40B4-BE49-F238E27FC236}">
              <a16:creationId xmlns:a16="http://schemas.microsoft.com/office/drawing/2014/main" id="{A01E53C0-262C-4E44-97E9-5CC46CDEC3CF}"/>
            </a:ext>
          </a:extLst>
        </xdr:cNvPr>
        <xdr:cNvCxnSpPr/>
      </xdr:nvCxnSpPr>
      <xdr:spPr>
        <a:xfrm>
          <a:off x="13828939" y="105822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67</xdr:row>
      <xdr:rowOff>19050</xdr:rowOff>
    </xdr:from>
    <xdr:to>
      <xdr:col>39</xdr:col>
      <xdr:colOff>62502</xdr:colOff>
      <xdr:row>67</xdr:row>
      <xdr:rowOff>133350</xdr:rowOff>
    </xdr:to>
    <xdr:sp macro="" textlink="">
      <xdr:nvSpPr>
        <xdr:cNvPr id="13" name="64">
          <a:extLst>
            <a:ext uri="{FF2B5EF4-FFF2-40B4-BE49-F238E27FC236}">
              <a16:creationId xmlns:a16="http://schemas.microsoft.com/office/drawing/2014/main" id="{11F2A606-D807-4E57-9302-70CF4D9642C2}"/>
            </a:ext>
          </a:extLst>
        </xdr:cNvPr>
        <xdr:cNvSpPr/>
      </xdr:nvSpPr>
      <xdr:spPr>
        <a:xfrm>
          <a:off x="13828939" y="10372725"/>
          <a:ext cx="51153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67</xdr:row>
      <xdr:rowOff>76200</xdr:rowOff>
    </xdr:from>
    <xdr:to>
      <xdr:col>38</xdr:col>
      <xdr:colOff>21647</xdr:colOff>
      <xdr:row>67</xdr:row>
      <xdr:rowOff>76200</xdr:rowOff>
    </xdr:to>
    <xdr:cxnSp macro="">
      <xdr:nvCxnSpPr>
        <xdr:cNvPr id="14" name="직선 화살표 연결선 13">
          <a:extLst>
            <a:ext uri="{FF2B5EF4-FFF2-40B4-BE49-F238E27FC236}">
              <a16:creationId xmlns:a16="http://schemas.microsoft.com/office/drawing/2014/main" id="{1391DED0-C841-479F-A8A8-14A4D47215BC}"/>
            </a:ext>
          </a:extLst>
        </xdr:cNvPr>
        <xdr:cNvCxnSpPr/>
      </xdr:nvCxnSpPr>
      <xdr:spPr>
        <a:xfrm>
          <a:off x="13828939" y="10429875"/>
          <a:ext cx="3278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66</xdr:row>
      <xdr:rowOff>19050</xdr:rowOff>
    </xdr:from>
    <xdr:to>
      <xdr:col>39</xdr:col>
      <xdr:colOff>42090</xdr:colOff>
      <xdr:row>66</xdr:row>
      <xdr:rowOff>133350</xdr:rowOff>
    </xdr:to>
    <xdr:sp macro="" textlink="">
      <xdr:nvSpPr>
        <xdr:cNvPr id="15" name="63">
          <a:extLst>
            <a:ext uri="{FF2B5EF4-FFF2-40B4-BE49-F238E27FC236}">
              <a16:creationId xmlns:a16="http://schemas.microsoft.com/office/drawing/2014/main" id="{C55F5F10-56E6-4B78-B9CB-5284A3764359}"/>
            </a:ext>
          </a:extLst>
        </xdr:cNvPr>
        <xdr:cNvSpPr/>
      </xdr:nvSpPr>
      <xdr:spPr>
        <a:xfrm>
          <a:off x="14216743" y="10220325"/>
          <a:ext cx="10332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66</xdr:row>
      <xdr:rowOff>76200</xdr:rowOff>
    </xdr:from>
    <xdr:to>
      <xdr:col>38</xdr:col>
      <xdr:colOff>81643</xdr:colOff>
      <xdr:row>66</xdr:row>
      <xdr:rowOff>76200</xdr:rowOff>
    </xdr:to>
    <xdr:cxnSp macro="">
      <xdr:nvCxnSpPr>
        <xdr:cNvPr id="16" name="직선 화살표 연결선 15">
          <a:extLst>
            <a:ext uri="{FF2B5EF4-FFF2-40B4-BE49-F238E27FC236}">
              <a16:creationId xmlns:a16="http://schemas.microsoft.com/office/drawing/2014/main" id="{EE15BA36-A6DB-4674-B66A-CC6014184CF3}"/>
            </a:ext>
          </a:extLst>
        </xdr:cNvPr>
        <xdr:cNvCxnSpPr/>
      </xdr:nvCxnSpPr>
      <xdr:spPr>
        <a:xfrm>
          <a:off x="14216743" y="10277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65</xdr:row>
      <xdr:rowOff>19050</xdr:rowOff>
    </xdr:from>
    <xdr:to>
      <xdr:col>38</xdr:col>
      <xdr:colOff>103324</xdr:colOff>
      <xdr:row>65</xdr:row>
      <xdr:rowOff>133350</xdr:rowOff>
    </xdr:to>
    <xdr:sp macro="" textlink="">
      <xdr:nvSpPr>
        <xdr:cNvPr id="17" name="0">
          <a:extLst>
            <a:ext uri="{FF2B5EF4-FFF2-40B4-BE49-F238E27FC236}">
              <a16:creationId xmlns:a16="http://schemas.microsoft.com/office/drawing/2014/main" id="{7E4DDC55-B437-4751-9E92-05334924BB29}"/>
            </a:ext>
          </a:extLst>
        </xdr:cNvPr>
        <xdr:cNvSpPr/>
      </xdr:nvSpPr>
      <xdr:spPr>
        <a:xfrm>
          <a:off x="14155511" y="100679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65</xdr:row>
      <xdr:rowOff>76200</xdr:rowOff>
    </xdr:from>
    <xdr:to>
      <xdr:col>38</xdr:col>
      <xdr:colOff>20411</xdr:colOff>
      <xdr:row>65</xdr:row>
      <xdr:rowOff>76200</xdr:rowOff>
    </xdr:to>
    <xdr:cxnSp macro="">
      <xdr:nvCxnSpPr>
        <xdr:cNvPr id="18" name="직선 화살표 연결선 17">
          <a:extLst>
            <a:ext uri="{FF2B5EF4-FFF2-40B4-BE49-F238E27FC236}">
              <a16:creationId xmlns:a16="http://schemas.microsoft.com/office/drawing/2014/main" id="{F8944E4F-CA5F-46A8-B81A-2AA842D1C56D}"/>
            </a:ext>
          </a:extLst>
        </xdr:cNvPr>
        <xdr:cNvCxnSpPr/>
      </xdr:nvCxnSpPr>
      <xdr:spPr>
        <a:xfrm>
          <a:off x="14155511" y="10125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64</xdr:row>
      <xdr:rowOff>19050</xdr:rowOff>
    </xdr:from>
    <xdr:to>
      <xdr:col>38</xdr:col>
      <xdr:colOff>103324</xdr:colOff>
      <xdr:row>64</xdr:row>
      <xdr:rowOff>133350</xdr:rowOff>
    </xdr:to>
    <xdr:sp macro="" textlink="">
      <xdr:nvSpPr>
        <xdr:cNvPr id="19" name="61">
          <a:extLst>
            <a:ext uri="{FF2B5EF4-FFF2-40B4-BE49-F238E27FC236}">
              <a16:creationId xmlns:a16="http://schemas.microsoft.com/office/drawing/2014/main" id="{4C044A4F-39CF-40E0-8051-6F0C62183A3E}"/>
            </a:ext>
          </a:extLst>
        </xdr:cNvPr>
        <xdr:cNvSpPr/>
      </xdr:nvSpPr>
      <xdr:spPr>
        <a:xfrm>
          <a:off x="13747296" y="9915525"/>
          <a:ext cx="491128"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64</xdr:row>
      <xdr:rowOff>76200</xdr:rowOff>
    </xdr:from>
    <xdr:to>
      <xdr:col>35</xdr:col>
      <xdr:colOff>89807</xdr:colOff>
      <xdr:row>64</xdr:row>
      <xdr:rowOff>76200</xdr:rowOff>
    </xdr:to>
    <xdr:cxnSp macro="">
      <xdr:nvCxnSpPr>
        <xdr:cNvPr id="20" name="직선 화살표 연결선 19">
          <a:extLst>
            <a:ext uri="{FF2B5EF4-FFF2-40B4-BE49-F238E27FC236}">
              <a16:creationId xmlns:a16="http://schemas.microsoft.com/office/drawing/2014/main" id="{B0C1630B-CA21-468E-87CF-EE8DACE1D73A}"/>
            </a:ext>
          </a:extLst>
        </xdr:cNvPr>
        <xdr:cNvCxnSpPr/>
      </xdr:nvCxnSpPr>
      <xdr:spPr>
        <a:xfrm>
          <a:off x="13747296" y="9972675"/>
          <a:ext cx="489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63</xdr:row>
      <xdr:rowOff>19050</xdr:rowOff>
    </xdr:from>
    <xdr:to>
      <xdr:col>38</xdr:col>
      <xdr:colOff>21681</xdr:colOff>
      <xdr:row>63</xdr:row>
      <xdr:rowOff>133350</xdr:rowOff>
    </xdr:to>
    <xdr:sp macro="" textlink="">
      <xdr:nvSpPr>
        <xdr:cNvPr id="21" name="60">
          <a:extLst>
            <a:ext uri="{FF2B5EF4-FFF2-40B4-BE49-F238E27FC236}">
              <a16:creationId xmlns:a16="http://schemas.microsoft.com/office/drawing/2014/main" id="{C94E6F7C-E0D8-4471-A01F-29E36B51ED4C}"/>
            </a:ext>
          </a:extLst>
        </xdr:cNvPr>
        <xdr:cNvSpPr/>
      </xdr:nvSpPr>
      <xdr:spPr>
        <a:xfrm>
          <a:off x="13747296" y="9763125"/>
          <a:ext cx="40948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63</xdr:row>
      <xdr:rowOff>76200</xdr:rowOff>
    </xdr:from>
    <xdr:to>
      <xdr:col>36</xdr:col>
      <xdr:colOff>32657</xdr:colOff>
      <xdr:row>63</xdr:row>
      <xdr:rowOff>76200</xdr:rowOff>
    </xdr:to>
    <xdr:cxnSp macro="">
      <xdr:nvCxnSpPr>
        <xdr:cNvPr id="22" name="직선 화살표 연결선 21">
          <a:extLst>
            <a:ext uri="{FF2B5EF4-FFF2-40B4-BE49-F238E27FC236}">
              <a16:creationId xmlns:a16="http://schemas.microsoft.com/office/drawing/2014/main" id="{EF42AD91-7CEA-475B-9A8A-E974A8311A8D}"/>
            </a:ext>
          </a:extLst>
        </xdr:cNvPr>
        <xdr:cNvCxnSpPr/>
      </xdr:nvCxnSpPr>
      <xdr:spPr>
        <a:xfrm>
          <a:off x="13747296" y="9820275"/>
          <a:ext cx="1347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62</xdr:row>
      <xdr:rowOff>19050</xdr:rowOff>
    </xdr:from>
    <xdr:to>
      <xdr:col>38</xdr:col>
      <xdr:colOff>103324</xdr:colOff>
      <xdr:row>62</xdr:row>
      <xdr:rowOff>133350</xdr:rowOff>
    </xdr:to>
    <xdr:sp macro="" textlink="">
      <xdr:nvSpPr>
        <xdr:cNvPr id="23" name="59">
          <a:extLst>
            <a:ext uri="{FF2B5EF4-FFF2-40B4-BE49-F238E27FC236}">
              <a16:creationId xmlns:a16="http://schemas.microsoft.com/office/drawing/2014/main" id="{69074A31-3389-4450-8426-30F535D4D19E}"/>
            </a:ext>
          </a:extLst>
        </xdr:cNvPr>
        <xdr:cNvSpPr/>
      </xdr:nvSpPr>
      <xdr:spPr>
        <a:xfrm>
          <a:off x="13747296" y="96107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62</xdr:row>
      <xdr:rowOff>76200</xdr:rowOff>
    </xdr:from>
    <xdr:to>
      <xdr:col>35</xdr:col>
      <xdr:colOff>139098</xdr:colOff>
      <xdr:row>62</xdr:row>
      <xdr:rowOff>76200</xdr:rowOff>
    </xdr:to>
    <xdr:cxnSp macro="">
      <xdr:nvCxnSpPr>
        <xdr:cNvPr id="24" name="직선 화살표 연결선 23">
          <a:extLst>
            <a:ext uri="{FF2B5EF4-FFF2-40B4-BE49-F238E27FC236}">
              <a16:creationId xmlns:a16="http://schemas.microsoft.com/office/drawing/2014/main" id="{B345CACB-87CA-45B7-B796-EB55190133F9}"/>
            </a:ext>
          </a:extLst>
        </xdr:cNvPr>
        <xdr:cNvCxnSpPr/>
      </xdr:nvCxnSpPr>
      <xdr:spPr>
        <a:xfrm>
          <a:off x="13747296" y="9667875"/>
          <a:ext cx="98277"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61</xdr:row>
      <xdr:rowOff>19050</xdr:rowOff>
    </xdr:from>
    <xdr:to>
      <xdr:col>39</xdr:col>
      <xdr:colOff>42090</xdr:colOff>
      <xdr:row>61</xdr:row>
      <xdr:rowOff>133350</xdr:rowOff>
    </xdr:to>
    <xdr:sp macro="" textlink="">
      <xdr:nvSpPr>
        <xdr:cNvPr id="25" name="58">
          <a:extLst>
            <a:ext uri="{FF2B5EF4-FFF2-40B4-BE49-F238E27FC236}">
              <a16:creationId xmlns:a16="http://schemas.microsoft.com/office/drawing/2014/main" id="{17EE1657-7A99-47B3-855A-ED6F1432DCE5}"/>
            </a:ext>
          </a:extLst>
        </xdr:cNvPr>
        <xdr:cNvSpPr/>
      </xdr:nvSpPr>
      <xdr:spPr>
        <a:xfrm>
          <a:off x="13747296" y="94583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61</xdr:row>
      <xdr:rowOff>76200</xdr:rowOff>
    </xdr:from>
    <xdr:to>
      <xdr:col>35</xdr:col>
      <xdr:colOff>134899</xdr:colOff>
      <xdr:row>61</xdr:row>
      <xdr:rowOff>76200</xdr:rowOff>
    </xdr:to>
    <xdr:cxnSp macro="">
      <xdr:nvCxnSpPr>
        <xdr:cNvPr id="26" name="직선 화살표 연결선 25">
          <a:extLst>
            <a:ext uri="{FF2B5EF4-FFF2-40B4-BE49-F238E27FC236}">
              <a16:creationId xmlns:a16="http://schemas.microsoft.com/office/drawing/2014/main" id="{EDBAA890-BEBB-4A58-9EAA-B7FA1A20FF06}"/>
            </a:ext>
          </a:extLst>
        </xdr:cNvPr>
        <xdr:cNvCxnSpPr/>
      </xdr:nvCxnSpPr>
      <xdr:spPr>
        <a:xfrm>
          <a:off x="13747296" y="95154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60</xdr:row>
      <xdr:rowOff>19050</xdr:rowOff>
    </xdr:from>
    <xdr:to>
      <xdr:col>39</xdr:col>
      <xdr:colOff>42090</xdr:colOff>
      <xdr:row>60</xdr:row>
      <xdr:rowOff>133350</xdr:rowOff>
    </xdr:to>
    <xdr:sp macro="" textlink="">
      <xdr:nvSpPr>
        <xdr:cNvPr id="27" name="57">
          <a:extLst>
            <a:ext uri="{FF2B5EF4-FFF2-40B4-BE49-F238E27FC236}">
              <a16:creationId xmlns:a16="http://schemas.microsoft.com/office/drawing/2014/main" id="{EE867532-AC46-410B-93EA-4657322D7EF2}"/>
            </a:ext>
          </a:extLst>
        </xdr:cNvPr>
        <xdr:cNvSpPr/>
      </xdr:nvSpPr>
      <xdr:spPr>
        <a:xfrm>
          <a:off x="13747296" y="93059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60</xdr:row>
      <xdr:rowOff>76200</xdr:rowOff>
    </xdr:from>
    <xdr:to>
      <xdr:col>35</xdr:col>
      <xdr:colOff>134899</xdr:colOff>
      <xdr:row>60</xdr:row>
      <xdr:rowOff>76200</xdr:rowOff>
    </xdr:to>
    <xdr:cxnSp macro="">
      <xdr:nvCxnSpPr>
        <xdr:cNvPr id="28" name="직선 화살표 연결선 27">
          <a:extLst>
            <a:ext uri="{FF2B5EF4-FFF2-40B4-BE49-F238E27FC236}">
              <a16:creationId xmlns:a16="http://schemas.microsoft.com/office/drawing/2014/main" id="{D89AF69A-D08A-482F-A352-D7EC078189F9}"/>
            </a:ext>
          </a:extLst>
        </xdr:cNvPr>
        <xdr:cNvCxnSpPr/>
      </xdr:nvCxnSpPr>
      <xdr:spPr>
        <a:xfrm>
          <a:off x="13747296" y="93630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59</xdr:row>
      <xdr:rowOff>19050</xdr:rowOff>
    </xdr:from>
    <xdr:to>
      <xdr:col>39</xdr:col>
      <xdr:colOff>42090</xdr:colOff>
      <xdr:row>59</xdr:row>
      <xdr:rowOff>133350</xdr:rowOff>
    </xdr:to>
    <xdr:sp macro="" textlink="">
      <xdr:nvSpPr>
        <xdr:cNvPr id="29" name="56">
          <a:extLst>
            <a:ext uri="{FF2B5EF4-FFF2-40B4-BE49-F238E27FC236}">
              <a16:creationId xmlns:a16="http://schemas.microsoft.com/office/drawing/2014/main" id="{917CCB58-B10A-4CAF-8C4A-75D0616AB276}"/>
            </a:ext>
          </a:extLst>
        </xdr:cNvPr>
        <xdr:cNvSpPr/>
      </xdr:nvSpPr>
      <xdr:spPr>
        <a:xfrm>
          <a:off x="13747296" y="9153525"/>
          <a:ext cx="57276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59</xdr:row>
      <xdr:rowOff>76200</xdr:rowOff>
    </xdr:from>
    <xdr:to>
      <xdr:col>35</xdr:col>
      <xdr:colOff>134899</xdr:colOff>
      <xdr:row>59</xdr:row>
      <xdr:rowOff>76200</xdr:rowOff>
    </xdr:to>
    <xdr:cxnSp macro="">
      <xdr:nvCxnSpPr>
        <xdr:cNvPr id="30" name="직선 화살표 연결선 29">
          <a:extLst>
            <a:ext uri="{FF2B5EF4-FFF2-40B4-BE49-F238E27FC236}">
              <a16:creationId xmlns:a16="http://schemas.microsoft.com/office/drawing/2014/main" id="{28883993-560E-41BC-B374-463AFFDAC70C}"/>
            </a:ext>
          </a:extLst>
        </xdr:cNvPr>
        <xdr:cNvCxnSpPr/>
      </xdr:nvCxnSpPr>
      <xdr:spPr>
        <a:xfrm>
          <a:off x="13747296" y="9210675"/>
          <a:ext cx="9407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58</xdr:row>
      <xdr:rowOff>19050</xdr:rowOff>
    </xdr:from>
    <xdr:to>
      <xdr:col>39</xdr:col>
      <xdr:colOff>62502</xdr:colOff>
      <xdr:row>58</xdr:row>
      <xdr:rowOff>133350</xdr:rowOff>
    </xdr:to>
    <xdr:sp macro="" textlink="">
      <xdr:nvSpPr>
        <xdr:cNvPr id="31" name="55">
          <a:extLst>
            <a:ext uri="{FF2B5EF4-FFF2-40B4-BE49-F238E27FC236}">
              <a16:creationId xmlns:a16="http://schemas.microsoft.com/office/drawing/2014/main" id="{079B5B9E-EB0B-4EEB-98AB-7AACDC213BC9}"/>
            </a:ext>
          </a:extLst>
        </xdr:cNvPr>
        <xdr:cNvSpPr/>
      </xdr:nvSpPr>
      <xdr:spPr>
        <a:xfrm>
          <a:off x="13747296" y="9001125"/>
          <a:ext cx="5931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58</xdr:row>
      <xdr:rowOff>76200</xdr:rowOff>
    </xdr:from>
    <xdr:to>
      <xdr:col>36</xdr:col>
      <xdr:colOff>125009</xdr:colOff>
      <xdr:row>58</xdr:row>
      <xdr:rowOff>76200</xdr:rowOff>
    </xdr:to>
    <xdr:cxnSp macro="">
      <xdr:nvCxnSpPr>
        <xdr:cNvPr id="34302" name="직선 화살표 연결선 34301">
          <a:extLst>
            <a:ext uri="{FF2B5EF4-FFF2-40B4-BE49-F238E27FC236}">
              <a16:creationId xmlns:a16="http://schemas.microsoft.com/office/drawing/2014/main" id="{2587C637-7FB6-4400-9D48-50BC84129F51}"/>
            </a:ext>
          </a:extLst>
        </xdr:cNvPr>
        <xdr:cNvCxnSpPr/>
      </xdr:nvCxnSpPr>
      <xdr:spPr>
        <a:xfrm>
          <a:off x="13747296" y="9058275"/>
          <a:ext cx="22706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57</xdr:row>
      <xdr:rowOff>19050</xdr:rowOff>
    </xdr:from>
    <xdr:to>
      <xdr:col>37</xdr:col>
      <xdr:colOff>42090</xdr:colOff>
      <xdr:row>57</xdr:row>
      <xdr:rowOff>133350</xdr:rowOff>
    </xdr:to>
    <xdr:sp macro="" textlink="">
      <xdr:nvSpPr>
        <xdr:cNvPr id="34303" name="54">
          <a:extLst>
            <a:ext uri="{FF2B5EF4-FFF2-40B4-BE49-F238E27FC236}">
              <a16:creationId xmlns:a16="http://schemas.microsoft.com/office/drawing/2014/main" id="{E1E04D14-519C-4909-AD99-41D337098C51}"/>
            </a:ext>
          </a:extLst>
        </xdr:cNvPr>
        <xdr:cNvSpPr/>
      </xdr:nvSpPr>
      <xdr:spPr>
        <a:xfrm>
          <a:off x="13951404" y="8848725"/>
          <a:ext cx="8291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57</xdr:row>
      <xdr:rowOff>76200</xdr:rowOff>
    </xdr:from>
    <xdr:to>
      <xdr:col>37</xdr:col>
      <xdr:colOff>36739</xdr:colOff>
      <xdr:row>57</xdr:row>
      <xdr:rowOff>76200</xdr:rowOff>
    </xdr:to>
    <xdr:cxnSp macro="">
      <xdr:nvCxnSpPr>
        <xdr:cNvPr id="3808" name="직선 화살표 연결선 3807">
          <a:extLst>
            <a:ext uri="{FF2B5EF4-FFF2-40B4-BE49-F238E27FC236}">
              <a16:creationId xmlns:a16="http://schemas.microsoft.com/office/drawing/2014/main" id="{A88C41D8-0C27-4C6E-BE87-83B25EA0A76E}"/>
            </a:ext>
          </a:extLst>
        </xdr:cNvPr>
        <xdr:cNvCxnSpPr/>
      </xdr:nvCxnSpPr>
      <xdr:spPr>
        <a:xfrm>
          <a:off x="13951404" y="89058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102054</xdr:colOff>
      <xdr:row>56</xdr:row>
      <xdr:rowOff>19050</xdr:rowOff>
    </xdr:from>
    <xdr:to>
      <xdr:col>37</xdr:col>
      <xdr:colOff>42090</xdr:colOff>
      <xdr:row>56</xdr:row>
      <xdr:rowOff>133350</xdr:rowOff>
    </xdr:to>
    <xdr:sp macro="" textlink="">
      <xdr:nvSpPr>
        <xdr:cNvPr id="3809" name="53">
          <a:extLst>
            <a:ext uri="{FF2B5EF4-FFF2-40B4-BE49-F238E27FC236}">
              <a16:creationId xmlns:a16="http://schemas.microsoft.com/office/drawing/2014/main" id="{F7986B87-BEC8-4D55-92C3-B7D52100E1EE}"/>
            </a:ext>
          </a:extLst>
        </xdr:cNvPr>
        <xdr:cNvSpPr/>
      </xdr:nvSpPr>
      <xdr:spPr>
        <a:xfrm>
          <a:off x="13951404" y="8696325"/>
          <a:ext cx="8291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102054</xdr:colOff>
      <xdr:row>56</xdr:row>
      <xdr:rowOff>76200</xdr:rowOff>
    </xdr:from>
    <xdr:to>
      <xdr:col>37</xdr:col>
      <xdr:colOff>36739</xdr:colOff>
      <xdr:row>56</xdr:row>
      <xdr:rowOff>76200</xdr:rowOff>
    </xdr:to>
    <xdr:cxnSp macro="">
      <xdr:nvCxnSpPr>
        <xdr:cNvPr id="3810" name="직선 화살표 연결선 3809">
          <a:extLst>
            <a:ext uri="{FF2B5EF4-FFF2-40B4-BE49-F238E27FC236}">
              <a16:creationId xmlns:a16="http://schemas.microsoft.com/office/drawing/2014/main" id="{04180C94-D8D9-440F-B8AF-A907F6A3CA63}"/>
            </a:ext>
          </a:extLst>
        </xdr:cNvPr>
        <xdr:cNvCxnSpPr/>
      </xdr:nvCxnSpPr>
      <xdr:spPr>
        <a:xfrm>
          <a:off x="13951404" y="8753475"/>
          <a:ext cx="775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55</xdr:row>
      <xdr:rowOff>19050</xdr:rowOff>
    </xdr:from>
    <xdr:to>
      <xdr:col>37</xdr:col>
      <xdr:colOff>42090</xdr:colOff>
      <xdr:row>55</xdr:row>
      <xdr:rowOff>133350</xdr:rowOff>
    </xdr:to>
    <xdr:sp macro="" textlink="">
      <xdr:nvSpPr>
        <xdr:cNvPr id="3811" name="52">
          <a:extLst>
            <a:ext uri="{FF2B5EF4-FFF2-40B4-BE49-F238E27FC236}">
              <a16:creationId xmlns:a16="http://schemas.microsoft.com/office/drawing/2014/main" id="{87AB610F-0FE7-43A8-B756-B148B35C7A29}"/>
            </a:ext>
          </a:extLst>
        </xdr:cNvPr>
        <xdr:cNvSpPr/>
      </xdr:nvSpPr>
      <xdr:spPr>
        <a:xfrm>
          <a:off x="13624832" y="8543925"/>
          <a:ext cx="40948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55</xdr:row>
      <xdr:rowOff>76200</xdr:rowOff>
    </xdr:from>
    <xdr:to>
      <xdr:col>37</xdr:col>
      <xdr:colOff>40821</xdr:colOff>
      <xdr:row>55</xdr:row>
      <xdr:rowOff>76200</xdr:rowOff>
    </xdr:to>
    <xdr:cxnSp macro="">
      <xdr:nvCxnSpPr>
        <xdr:cNvPr id="3812" name="직선 화살표 연결선 3811">
          <a:extLst>
            <a:ext uri="{FF2B5EF4-FFF2-40B4-BE49-F238E27FC236}">
              <a16:creationId xmlns:a16="http://schemas.microsoft.com/office/drawing/2014/main" id="{178BA315-14E8-4A57-A5A1-A6AAED68F605}"/>
            </a:ext>
          </a:extLst>
        </xdr:cNvPr>
        <xdr:cNvCxnSpPr/>
      </xdr:nvCxnSpPr>
      <xdr:spPr>
        <a:xfrm>
          <a:off x="13624832" y="86010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54</xdr:row>
      <xdr:rowOff>19050</xdr:rowOff>
    </xdr:from>
    <xdr:to>
      <xdr:col>37</xdr:col>
      <xdr:colOff>42090</xdr:colOff>
      <xdr:row>54</xdr:row>
      <xdr:rowOff>133350</xdr:rowOff>
    </xdr:to>
    <xdr:sp macro="" textlink="">
      <xdr:nvSpPr>
        <xdr:cNvPr id="3813" name="51">
          <a:extLst>
            <a:ext uri="{FF2B5EF4-FFF2-40B4-BE49-F238E27FC236}">
              <a16:creationId xmlns:a16="http://schemas.microsoft.com/office/drawing/2014/main" id="{868709AE-0BC6-4FDE-ACF0-E91821072854}"/>
            </a:ext>
          </a:extLst>
        </xdr:cNvPr>
        <xdr:cNvSpPr/>
      </xdr:nvSpPr>
      <xdr:spPr>
        <a:xfrm>
          <a:off x="13624832" y="8391525"/>
          <a:ext cx="409483"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54</xdr:row>
      <xdr:rowOff>76200</xdr:rowOff>
    </xdr:from>
    <xdr:to>
      <xdr:col>37</xdr:col>
      <xdr:colOff>40821</xdr:colOff>
      <xdr:row>54</xdr:row>
      <xdr:rowOff>76200</xdr:rowOff>
    </xdr:to>
    <xdr:cxnSp macro="">
      <xdr:nvCxnSpPr>
        <xdr:cNvPr id="3814" name="직선 화살표 연결선 3813">
          <a:extLst>
            <a:ext uri="{FF2B5EF4-FFF2-40B4-BE49-F238E27FC236}">
              <a16:creationId xmlns:a16="http://schemas.microsoft.com/office/drawing/2014/main" id="{F602279D-FF18-4F04-B021-1B1783CA02D3}"/>
            </a:ext>
          </a:extLst>
        </xdr:cNvPr>
        <xdr:cNvCxnSpPr/>
      </xdr:nvCxnSpPr>
      <xdr:spPr>
        <a:xfrm>
          <a:off x="13624832" y="8448675"/>
          <a:ext cx="4082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20411</xdr:colOff>
      <xdr:row>48</xdr:row>
      <xdr:rowOff>19050</xdr:rowOff>
    </xdr:from>
    <xdr:to>
      <xdr:col>38</xdr:col>
      <xdr:colOff>103324</xdr:colOff>
      <xdr:row>48</xdr:row>
      <xdr:rowOff>133350</xdr:rowOff>
    </xdr:to>
    <xdr:sp macro="" textlink="">
      <xdr:nvSpPr>
        <xdr:cNvPr id="3815" name="45">
          <a:extLst>
            <a:ext uri="{FF2B5EF4-FFF2-40B4-BE49-F238E27FC236}">
              <a16:creationId xmlns:a16="http://schemas.microsoft.com/office/drawing/2014/main" id="{C5106766-FA59-42D9-AE7E-B2BCD0836B44}"/>
            </a:ext>
          </a:extLst>
        </xdr:cNvPr>
        <xdr:cNvSpPr/>
      </xdr:nvSpPr>
      <xdr:spPr>
        <a:xfrm>
          <a:off x="14155511" y="7477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20411</xdr:colOff>
      <xdr:row>48</xdr:row>
      <xdr:rowOff>76200</xdr:rowOff>
    </xdr:from>
    <xdr:to>
      <xdr:col>38</xdr:col>
      <xdr:colOff>20411</xdr:colOff>
      <xdr:row>48</xdr:row>
      <xdr:rowOff>76200</xdr:rowOff>
    </xdr:to>
    <xdr:cxnSp macro="">
      <xdr:nvCxnSpPr>
        <xdr:cNvPr id="3816" name="직선 화살표 연결선 3815">
          <a:extLst>
            <a:ext uri="{FF2B5EF4-FFF2-40B4-BE49-F238E27FC236}">
              <a16:creationId xmlns:a16="http://schemas.microsoft.com/office/drawing/2014/main" id="{E50DFD29-3AD8-4534-8E6F-6C5CD0F9EE2B}"/>
            </a:ext>
          </a:extLst>
        </xdr:cNvPr>
        <xdr:cNvCxnSpPr/>
      </xdr:nvCxnSpPr>
      <xdr:spPr>
        <a:xfrm>
          <a:off x="14155511" y="7534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47</xdr:row>
      <xdr:rowOff>19050</xdr:rowOff>
    </xdr:from>
    <xdr:to>
      <xdr:col>38</xdr:col>
      <xdr:colOff>42090</xdr:colOff>
      <xdr:row>47</xdr:row>
      <xdr:rowOff>133350</xdr:rowOff>
    </xdr:to>
    <xdr:sp macro="" textlink="">
      <xdr:nvSpPr>
        <xdr:cNvPr id="3817" name="44">
          <a:extLst>
            <a:ext uri="{FF2B5EF4-FFF2-40B4-BE49-F238E27FC236}">
              <a16:creationId xmlns:a16="http://schemas.microsoft.com/office/drawing/2014/main" id="{9AA9C7FD-3005-4E74-AFBA-F1AF4D057F82}"/>
            </a:ext>
          </a:extLst>
        </xdr:cNvPr>
        <xdr:cNvSpPr/>
      </xdr:nvSpPr>
      <xdr:spPr>
        <a:xfrm>
          <a:off x="14012636" y="7324725"/>
          <a:ext cx="16455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47</xdr:row>
      <xdr:rowOff>76200</xdr:rowOff>
    </xdr:from>
    <xdr:to>
      <xdr:col>38</xdr:col>
      <xdr:colOff>40821</xdr:colOff>
      <xdr:row>47</xdr:row>
      <xdr:rowOff>76200</xdr:rowOff>
    </xdr:to>
    <xdr:cxnSp macro="">
      <xdr:nvCxnSpPr>
        <xdr:cNvPr id="3818" name="직선 화살표 연결선 3817">
          <a:extLst>
            <a:ext uri="{FF2B5EF4-FFF2-40B4-BE49-F238E27FC236}">
              <a16:creationId xmlns:a16="http://schemas.microsoft.com/office/drawing/2014/main" id="{BAF2B1DF-0C69-4B96-AB65-0BA8C02ADB45}"/>
            </a:ext>
          </a:extLst>
        </xdr:cNvPr>
        <xdr:cNvCxnSpPr/>
      </xdr:nvCxnSpPr>
      <xdr:spPr>
        <a:xfrm>
          <a:off x="14012636" y="7381875"/>
          <a:ext cx="16328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46</xdr:row>
      <xdr:rowOff>19050</xdr:rowOff>
    </xdr:from>
    <xdr:to>
      <xdr:col>38</xdr:col>
      <xdr:colOff>21681</xdr:colOff>
      <xdr:row>46</xdr:row>
      <xdr:rowOff>133350</xdr:rowOff>
    </xdr:to>
    <xdr:sp macro="" textlink="">
      <xdr:nvSpPr>
        <xdr:cNvPr id="3819" name="43">
          <a:extLst>
            <a:ext uri="{FF2B5EF4-FFF2-40B4-BE49-F238E27FC236}">
              <a16:creationId xmlns:a16="http://schemas.microsoft.com/office/drawing/2014/main" id="{FF47473E-DEBD-4F77-9295-98F2FD8900EE}"/>
            </a:ext>
          </a:extLst>
        </xdr:cNvPr>
        <xdr:cNvSpPr/>
      </xdr:nvSpPr>
      <xdr:spPr>
        <a:xfrm>
          <a:off x="14012636" y="71723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46</xdr:row>
      <xdr:rowOff>76200</xdr:rowOff>
    </xdr:from>
    <xdr:to>
      <xdr:col>38</xdr:col>
      <xdr:colOff>20411</xdr:colOff>
      <xdr:row>46</xdr:row>
      <xdr:rowOff>76200</xdr:rowOff>
    </xdr:to>
    <xdr:cxnSp macro="">
      <xdr:nvCxnSpPr>
        <xdr:cNvPr id="3820" name="직선 화살표 연결선 3819">
          <a:extLst>
            <a:ext uri="{FF2B5EF4-FFF2-40B4-BE49-F238E27FC236}">
              <a16:creationId xmlns:a16="http://schemas.microsoft.com/office/drawing/2014/main" id="{544AA648-3BE1-4BA1-AD81-846E1C01F90B}"/>
            </a:ext>
          </a:extLst>
        </xdr:cNvPr>
        <xdr:cNvCxnSpPr/>
      </xdr:nvCxnSpPr>
      <xdr:spPr>
        <a:xfrm>
          <a:off x="14012636" y="72294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45</xdr:row>
      <xdr:rowOff>19050</xdr:rowOff>
    </xdr:from>
    <xdr:to>
      <xdr:col>38</xdr:col>
      <xdr:colOff>1270</xdr:colOff>
      <xdr:row>45</xdr:row>
      <xdr:rowOff>133350</xdr:rowOff>
    </xdr:to>
    <xdr:sp macro="" textlink="">
      <xdr:nvSpPr>
        <xdr:cNvPr id="3821" name="42">
          <a:extLst>
            <a:ext uri="{FF2B5EF4-FFF2-40B4-BE49-F238E27FC236}">
              <a16:creationId xmlns:a16="http://schemas.microsoft.com/office/drawing/2014/main" id="{AC4E4DD3-38A0-4061-83D5-AA15D6621AEF}"/>
            </a:ext>
          </a:extLst>
        </xdr:cNvPr>
        <xdr:cNvSpPr/>
      </xdr:nvSpPr>
      <xdr:spPr>
        <a:xfrm>
          <a:off x="14012636" y="70199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45</xdr:row>
      <xdr:rowOff>76200</xdr:rowOff>
    </xdr:from>
    <xdr:to>
      <xdr:col>38</xdr:col>
      <xdr:colOff>0</xdr:colOff>
      <xdr:row>45</xdr:row>
      <xdr:rowOff>76200</xdr:rowOff>
    </xdr:to>
    <xdr:cxnSp macro="">
      <xdr:nvCxnSpPr>
        <xdr:cNvPr id="3822" name="직선 화살표 연결선 3821">
          <a:extLst>
            <a:ext uri="{FF2B5EF4-FFF2-40B4-BE49-F238E27FC236}">
              <a16:creationId xmlns:a16="http://schemas.microsoft.com/office/drawing/2014/main" id="{20E54E7C-BB6A-40E1-993F-B4E401859668}"/>
            </a:ext>
          </a:extLst>
        </xdr:cNvPr>
        <xdr:cNvCxnSpPr/>
      </xdr:nvCxnSpPr>
      <xdr:spPr>
        <a:xfrm>
          <a:off x="14012636" y="7077075"/>
          <a:ext cx="12246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44</xdr:row>
      <xdr:rowOff>19050</xdr:rowOff>
    </xdr:from>
    <xdr:to>
      <xdr:col>38</xdr:col>
      <xdr:colOff>103324</xdr:colOff>
      <xdr:row>44</xdr:row>
      <xdr:rowOff>133350</xdr:rowOff>
    </xdr:to>
    <xdr:sp macro="" textlink="">
      <xdr:nvSpPr>
        <xdr:cNvPr id="3824" name="41">
          <a:extLst>
            <a:ext uri="{FF2B5EF4-FFF2-40B4-BE49-F238E27FC236}">
              <a16:creationId xmlns:a16="http://schemas.microsoft.com/office/drawing/2014/main" id="{BD1E7303-FD76-499A-B87A-9ADBFF1099B6}"/>
            </a:ext>
          </a:extLst>
        </xdr:cNvPr>
        <xdr:cNvSpPr/>
      </xdr:nvSpPr>
      <xdr:spPr>
        <a:xfrm>
          <a:off x="14012636" y="6867525"/>
          <a:ext cx="22578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44</xdr:row>
      <xdr:rowOff>76200</xdr:rowOff>
    </xdr:from>
    <xdr:to>
      <xdr:col>38</xdr:col>
      <xdr:colOff>57150</xdr:colOff>
      <xdr:row>44</xdr:row>
      <xdr:rowOff>76200</xdr:rowOff>
    </xdr:to>
    <xdr:cxnSp macro="">
      <xdr:nvCxnSpPr>
        <xdr:cNvPr id="3825" name="직선 화살표 연결선 3824">
          <a:extLst>
            <a:ext uri="{FF2B5EF4-FFF2-40B4-BE49-F238E27FC236}">
              <a16:creationId xmlns:a16="http://schemas.microsoft.com/office/drawing/2014/main" id="{D35D117D-E361-4641-95D1-DA8860221AB0}"/>
            </a:ext>
          </a:extLst>
        </xdr:cNvPr>
        <xdr:cNvCxnSpPr/>
      </xdr:nvCxnSpPr>
      <xdr:spPr>
        <a:xfrm>
          <a:off x="14012636" y="6924675"/>
          <a:ext cx="17961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43</xdr:row>
      <xdr:rowOff>19050</xdr:rowOff>
    </xdr:from>
    <xdr:to>
      <xdr:col>38</xdr:col>
      <xdr:colOff>4536</xdr:colOff>
      <xdr:row>43</xdr:row>
      <xdr:rowOff>146050</xdr:rowOff>
    </xdr:to>
    <xdr:sp macro="" textlink="">
      <xdr:nvSpPr>
        <xdr:cNvPr id="3826" name="다이아몬드 3825">
          <a:extLst>
            <a:ext uri="{FF2B5EF4-FFF2-40B4-BE49-F238E27FC236}">
              <a16:creationId xmlns:a16="http://schemas.microsoft.com/office/drawing/2014/main" id="{82FE0A03-3DB1-4FDC-BB62-FE03A207FBED}"/>
            </a:ext>
          </a:extLst>
        </xdr:cNvPr>
        <xdr:cNvSpPr/>
      </xdr:nvSpPr>
      <xdr:spPr>
        <a:xfrm>
          <a:off x="14012636" y="67151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19050</xdr:rowOff>
    </xdr:from>
    <xdr:to>
      <xdr:col>31</xdr:col>
      <xdr:colOff>103324</xdr:colOff>
      <xdr:row>38</xdr:row>
      <xdr:rowOff>133350</xdr:rowOff>
    </xdr:to>
    <xdr:sp macro="" textlink="">
      <xdr:nvSpPr>
        <xdr:cNvPr id="3827" name="35">
          <a:extLst>
            <a:ext uri="{FF2B5EF4-FFF2-40B4-BE49-F238E27FC236}">
              <a16:creationId xmlns:a16="http://schemas.microsoft.com/office/drawing/2014/main" id="{8048CCC5-E962-402D-8759-EFF105848166}"/>
            </a:ext>
          </a:extLst>
        </xdr:cNvPr>
        <xdr:cNvSpPr/>
      </xdr:nvSpPr>
      <xdr:spPr>
        <a:xfrm>
          <a:off x="13216618" y="59531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38</xdr:row>
      <xdr:rowOff>76200</xdr:rowOff>
    </xdr:from>
    <xdr:to>
      <xdr:col>31</xdr:col>
      <xdr:colOff>102054</xdr:colOff>
      <xdr:row>38</xdr:row>
      <xdr:rowOff>76200</xdr:rowOff>
    </xdr:to>
    <xdr:cxnSp macro="">
      <xdr:nvCxnSpPr>
        <xdr:cNvPr id="3828" name="직선 화살표 연결선 3827">
          <a:extLst>
            <a:ext uri="{FF2B5EF4-FFF2-40B4-BE49-F238E27FC236}">
              <a16:creationId xmlns:a16="http://schemas.microsoft.com/office/drawing/2014/main" id="{1845B05B-195D-40E2-A2A4-D71199B1E575}"/>
            </a:ext>
          </a:extLst>
        </xdr:cNvPr>
        <xdr:cNvCxnSpPr/>
      </xdr:nvCxnSpPr>
      <xdr:spPr>
        <a:xfrm>
          <a:off x="13216618" y="60102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37</xdr:row>
      <xdr:rowOff>19050</xdr:rowOff>
    </xdr:from>
    <xdr:to>
      <xdr:col>31</xdr:col>
      <xdr:colOff>103324</xdr:colOff>
      <xdr:row>37</xdr:row>
      <xdr:rowOff>133350</xdr:rowOff>
    </xdr:to>
    <xdr:sp macro="" textlink="">
      <xdr:nvSpPr>
        <xdr:cNvPr id="3829" name="0">
          <a:extLst>
            <a:ext uri="{FF2B5EF4-FFF2-40B4-BE49-F238E27FC236}">
              <a16:creationId xmlns:a16="http://schemas.microsoft.com/office/drawing/2014/main" id="{88667468-E492-4FA8-A545-A0EDBC0B38F2}"/>
            </a:ext>
          </a:extLst>
        </xdr:cNvPr>
        <xdr:cNvSpPr/>
      </xdr:nvSpPr>
      <xdr:spPr>
        <a:xfrm>
          <a:off x="13216618" y="58007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37</xdr:row>
      <xdr:rowOff>76200</xdr:rowOff>
    </xdr:from>
    <xdr:to>
      <xdr:col>31</xdr:col>
      <xdr:colOff>102054</xdr:colOff>
      <xdr:row>37</xdr:row>
      <xdr:rowOff>76200</xdr:rowOff>
    </xdr:to>
    <xdr:cxnSp macro="">
      <xdr:nvCxnSpPr>
        <xdr:cNvPr id="3830" name="직선 화살표 연결선 3829">
          <a:extLst>
            <a:ext uri="{FF2B5EF4-FFF2-40B4-BE49-F238E27FC236}">
              <a16:creationId xmlns:a16="http://schemas.microsoft.com/office/drawing/2014/main" id="{D59EE81A-D08B-44B4-B18C-24B9A1BA36D1}"/>
            </a:ext>
          </a:extLst>
        </xdr:cNvPr>
        <xdr:cNvCxnSpPr/>
      </xdr:nvCxnSpPr>
      <xdr:spPr>
        <a:xfrm>
          <a:off x="13216618" y="58578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36</xdr:row>
      <xdr:rowOff>19050</xdr:rowOff>
    </xdr:from>
    <xdr:to>
      <xdr:col>31</xdr:col>
      <xdr:colOff>103324</xdr:colOff>
      <xdr:row>36</xdr:row>
      <xdr:rowOff>133350</xdr:rowOff>
    </xdr:to>
    <xdr:sp macro="" textlink="">
      <xdr:nvSpPr>
        <xdr:cNvPr id="3831" name="33">
          <a:extLst>
            <a:ext uri="{FF2B5EF4-FFF2-40B4-BE49-F238E27FC236}">
              <a16:creationId xmlns:a16="http://schemas.microsoft.com/office/drawing/2014/main" id="{21D0AE4E-BF27-46C7-8D2A-30EADA7A769D}"/>
            </a:ext>
          </a:extLst>
        </xdr:cNvPr>
        <xdr:cNvSpPr/>
      </xdr:nvSpPr>
      <xdr:spPr>
        <a:xfrm>
          <a:off x="13216618" y="5648325"/>
          <a:ext cx="21681"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36</xdr:row>
      <xdr:rowOff>76200</xdr:rowOff>
    </xdr:from>
    <xdr:to>
      <xdr:col>31</xdr:col>
      <xdr:colOff>102054</xdr:colOff>
      <xdr:row>36</xdr:row>
      <xdr:rowOff>76200</xdr:rowOff>
    </xdr:to>
    <xdr:cxnSp macro="">
      <xdr:nvCxnSpPr>
        <xdr:cNvPr id="3832" name="직선 화살표 연결선 3831">
          <a:extLst>
            <a:ext uri="{FF2B5EF4-FFF2-40B4-BE49-F238E27FC236}">
              <a16:creationId xmlns:a16="http://schemas.microsoft.com/office/drawing/2014/main" id="{D1795F97-5CF8-4ED1-AD80-2E74B8B1890F}"/>
            </a:ext>
          </a:extLst>
        </xdr:cNvPr>
        <xdr:cNvCxnSpPr/>
      </xdr:nvCxnSpPr>
      <xdr:spPr>
        <a:xfrm>
          <a:off x="13216618" y="57054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35</xdr:row>
      <xdr:rowOff>19050</xdr:rowOff>
    </xdr:from>
    <xdr:to>
      <xdr:col>31</xdr:col>
      <xdr:colOff>103324</xdr:colOff>
      <xdr:row>35</xdr:row>
      <xdr:rowOff>133350</xdr:rowOff>
    </xdr:to>
    <xdr:sp macro="" textlink="">
      <xdr:nvSpPr>
        <xdr:cNvPr id="3833" name="32">
          <a:extLst>
            <a:ext uri="{FF2B5EF4-FFF2-40B4-BE49-F238E27FC236}">
              <a16:creationId xmlns:a16="http://schemas.microsoft.com/office/drawing/2014/main" id="{740114A3-E836-49EF-876F-97D815BC7F47}"/>
            </a:ext>
          </a:extLst>
        </xdr:cNvPr>
        <xdr:cNvSpPr/>
      </xdr:nvSpPr>
      <xdr:spPr>
        <a:xfrm>
          <a:off x="13216618" y="5495925"/>
          <a:ext cx="2168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35</xdr:row>
      <xdr:rowOff>76200</xdr:rowOff>
    </xdr:from>
    <xdr:to>
      <xdr:col>31</xdr:col>
      <xdr:colOff>102054</xdr:colOff>
      <xdr:row>35</xdr:row>
      <xdr:rowOff>76200</xdr:rowOff>
    </xdr:to>
    <xdr:cxnSp macro="">
      <xdr:nvCxnSpPr>
        <xdr:cNvPr id="3834" name="직선 화살표 연결선 3833">
          <a:extLst>
            <a:ext uri="{FF2B5EF4-FFF2-40B4-BE49-F238E27FC236}">
              <a16:creationId xmlns:a16="http://schemas.microsoft.com/office/drawing/2014/main" id="{AD3EA998-BD32-44CB-BD35-491C053422E6}"/>
            </a:ext>
          </a:extLst>
        </xdr:cNvPr>
        <xdr:cNvCxnSpPr/>
      </xdr:nvCxnSpPr>
      <xdr:spPr>
        <a:xfrm>
          <a:off x="13216618" y="5553075"/>
          <a:ext cx="2041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34</xdr:row>
      <xdr:rowOff>19050</xdr:rowOff>
    </xdr:from>
    <xdr:to>
      <xdr:col>38</xdr:col>
      <xdr:colOff>103324</xdr:colOff>
      <xdr:row>34</xdr:row>
      <xdr:rowOff>133350</xdr:rowOff>
    </xdr:to>
    <xdr:sp macro="" textlink="">
      <xdr:nvSpPr>
        <xdr:cNvPr id="3835" name="31">
          <a:extLst>
            <a:ext uri="{FF2B5EF4-FFF2-40B4-BE49-F238E27FC236}">
              <a16:creationId xmlns:a16="http://schemas.microsoft.com/office/drawing/2014/main" id="{C72C95E3-C3E7-4D07-A7AF-C639180CE542}"/>
            </a:ext>
          </a:extLst>
        </xdr:cNvPr>
        <xdr:cNvSpPr/>
      </xdr:nvSpPr>
      <xdr:spPr>
        <a:xfrm>
          <a:off x="13216618" y="53435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34</xdr:row>
      <xdr:rowOff>76200</xdr:rowOff>
    </xdr:from>
    <xdr:to>
      <xdr:col>37</xdr:col>
      <xdr:colOff>134601</xdr:colOff>
      <xdr:row>34</xdr:row>
      <xdr:rowOff>76200</xdr:rowOff>
    </xdr:to>
    <xdr:cxnSp macro="">
      <xdr:nvCxnSpPr>
        <xdr:cNvPr id="3836" name="직선 화살표 연결선 3835">
          <a:extLst>
            <a:ext uri="{FF2B5EF4-FFF2-40B4-BE49-F238E27FC236}">
              <a16:creationId xmlns:a16="http://schemas.microsoft.com/office/drawing/2014/main" id="{1E094438-0CC2-4197-86E6-1E4E64C1ABE1}"/>
            </a:ext>
          </a:extLst>
        </xdr:cNvPr>
        <xdr:cNvCxnSpPr/>
      </xdr:nvCxnSpPr>
      <xdr:spPr>
        <a:xfrm>
          <a:off x="13216618" y="5400675"/>
          <a:ext cx="9102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33</xdr:row>
      <xdr:rowOff>19050</xdr:rowOff>
    </xdr:from>
    <xdr:to>
      <xdr:col>38</xdr:col>
      <xdr:colOff>103324</xdr:colOff>
      <xdr:row>33</xdr:row>
      <xdr:rowOff>133350</xdr:rowOff>
    </xdr:to>
    <xdr:sp macro="" textlink="">
      <xdr:nvSpPr>
        <xdr:cNvPr id="3837" name="30">
          <a:extLst>
            <a:ext uri="{FF2B5EF4-FFF2-40B4-BE49-F238E27FC236}">
              <a16:creationId xmlns:a16="http://schemas.microsoft.com/office/drawing/2014/main" id="{CD1B03A8-2D53-41D1-88FB-6F34111354E0}"/>
            </a:ext>
          </a:extLst>
        </xdr:cNvPr>
        <xdr:cNvSpPr/>
      </xdr:nvSpPr>
      <xdr:spPr>
        <a:xfrm>
          <a:off x="13216618" y="51911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33</xdr:row>
      <xdr:rowOff>76200</xdr:rowOff>
    </xdr:from>
    <xdr:to>
      <xdr:col>37</xdr:col>
      <xdr:colOff>137643</xdr:colOff>
      <xdr:row>33</xdr:row>
      <xdr:rowOff>76200</xdr:rowOff>
    </xdr:to>
    <xdr:cxnSp macro="">
      <xdr:nvCxnSpPr>
        <xdr:cNvPr id="3838" name="직선 화살표 연결선 3837">
          <a:extLst>
            <a:ext uri="{FF2B5EF4-FFF2-40B4-BE49-F238E27FC236}">
              <a16:creationId xmlns:a16="http://schemas.microsoft.com/office/drawing/2014/main" id="{D43F33B0-4C82-4458-AC41-24F1B53FC172}"/>
            </a:ext>
          </a:extLst>
        </xdr:cNvPr>
        <xdr:cNvCxnSpPr/>
      </xdr:nvCxnSpPr>
      <xdr:spPr>
        <a:xfrm>
          <a:off x="13216618" y="52482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32</xdr:row>
      <xdr:rowOff>19050</xdr:rowOff>
    </xdr:from>
    <xdr:to>
      <xdr:col>38</xdr:col>
      <xdr:colOff>103324</xdr:colOff>
      <xdr:row>32</xdr:row>
      <xdr:rowOff>133350</xdr:rowOff>
    </xdr:to>
    <xdr:sp macro="" textlink="">
      <xdr:nvSpPr>
        <xdr:cNvPr id="3839" name="29">
          <a:extLst>
            <a:ext uri="{FF2B5EF4-FFF2-40B4-BE49-F238E27FC236}">
              <a16:creationId xmlns:a16="http://schemas.microsoft.com/office/drawing/2014/main" id="{3A30D4CE-F613-4E87-8714-DC6D51463AE8}"/>
            </a:ext>
          </a:extLst>
        </xdr:cNvPr>
        <xdr:cNvSpPr/>
      </xdr:nvSpPr>
      <xdr:spPr>
        <a:xfrm>
          <a:off x="13216618" y="5038725"/>
          <a:ext cx="102180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32</xdr:row>
      <xdr:rowOff>76200</xdr:rowOff>
    </xdr:from>
    <xdr:to>
      <xdr:col>37</xdr:col>
      <xdr:colOff>137643</xdr:colOff>
      <xdr:row>32</xdr:row>
      <xdr:rowOff>76200</xdr:rowOff>
    </xdr:to>
    <xdr:cxnSp macro="">
      <xdr:nvCxnSpPr>
        <xdr:cNvPr id="13984" name="직선 화살표 연결선 13983">
          <a:extLst>
            <a:ext uri="{FF2B5EF4-FFF2-40B4-BE49-F238E27FC236}">
              <a16:creationId xmlns:a16="http://schemas.microsoft.com/office/drawing/2014/main" id="{BBAC178B-C66F-418A-9626-6629D4DB9772}"/>
            </a:ext>
          </a:extLst>
        </xdr:cNvPr>
        <xdr:cNvCxnSpPr/>
      </xdr:nvCxnSpPr>
      <xdr:spPr>
        <a:xfrm>
          <a:off x="13216618" y="5095875"/>
          <a:ext cx="9132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31</xdr:row>
      <xdr:rowOff>19050</xdr:rowOff>
    </xdr:from>
    <xdr:to>
      <xdr:col>39</xdr:col>
      <xdr:colOff>62502</xdr:colOff>
      <xdr:row>31</xdr:row>
      <xdr:rowOff>133350</xdr:rowOff>
    </xdr:to>
    <xdr:sp macro="" textlink="">
      <xdr:nvSpPr>
        <xdr:cNvPr id="13985" name="28">
          <a:extLst>
            <a:ext uri="{FF2B5EF4-FFF2-40B4-BE49-F238E27FC236}">
              <a16:creationId xmlns:a16="http://schemas.microsoft.com/office/drawing/2014/main" id="{D548E3E0-A8B7-4F94-A2C3-DB1BCE5BF133}"/>
            </a:ext>
          </a:extLst>
        </xdr:cNvPr>
        <xdr:cNvSpPr/>
      </xdr:nvSpPr>
      <xdr:spPr>
        <a:xfrm>
          <a:off x="14216743" y="4886325"/>
          <a:ext cx="12373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31</xdr:row>
      <xdr:rowOff>76200</xdr:rowOff>
    </xdr:from>
    <xdr:to>
      <xdr:col>38</xdr:col>
      <xdr:colOff>81643</xdr:colOff>
      <xdr:row>31</xdr:row>
      <xdr:rowOff>76200</xdr:rowOff>
    </xdr:to>
    <xdr:cxnSp macro="">
      <xdr:nvCxnSpPr>
        <xdr:cNvPr id="13986" name="직선 화살표 연결선 13985">
          <a:extLst>
            <a:ext uri="{FF2B5EF4-FFF2-40B4-BE49-F238E27FC236}">
              <a16:creationId xmlns:a16="http://schemas.microsoft.com/office/drawing/2014/main" id="{A7DC9C3E-7069-449D-8CD0-F5953CB61382}"/>
            </a:ext>
          </a:extLst>
        </xdr:cNvPr>
        <xdr:cNvCxnSpPr/>
      </xdr:nvCxnSpPr>
      <xdr:spPr>
        <a:xfrm>
          <a:off x="14216743" y="49434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39</xdr:col>
      <xdr:colOff>20411</xdr:colOff>
      <xdr:row>30</xdr:row>
      <xdr:rowOff>19050</xdr:rowOff>
    </xdr:from>
    <xdr:to>
      <xdr:col>39</xdr:col>
      <xdr:colOff>82913</xdr:colOff>
      <xdr:row>30</xdr:row>
      <xdr:rowOff>133350</xdr:rowOff>
    </xdr:to>
    <xdr:sp macro="" textlink="">
      <xdr:nvSpPr>
        <xdr:cNvPr id="13987" name="27">
          <a:extLst>
            <a:ext uri="{FF2B5EF4-FFF2-40B4-BE49-F238E27FC236}">
              <a16:creationId xmlns:a16="http://schemas.microsoft.com/office/drawing/2014/main" id="{6AA554BA-340E-4BF2-9544-5CFF079BC500}"/>
            </a:ext>
          </a:extLst>
        </xdr:cNvPr>
        <xdr:cNvSpPr/>
      </xdr:nvSpPr>
      <xdr:spPr>
        <a:xfrm>
          <a:off x="14298386" y="4733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39</xdr:col>
      <xdr:colOff>20411</xdr:colOff>
      <xdr:row>30</xdr:row>
      <xdr:rowOff>76200</xdr:rowOff>
    </xdr:from>
    <xdr:to>
      <xdr:col>39</xdr:col>
      <xdr:colOff>81643</xdr:colOff>
      <xdr:row>30</xdr:row>
      <xdr:rowOff>76200</xdr:rowOff>
    </xdr:to>
    <xdr:cxnSp macro="">
      <xdr:nvCxnSpPr>
        <xdr:cNvPr id="13988" name="직선 화살표 연결선 13987">
          <a:extLst>
            <a:ext uri="{FF2B5EF4-FFF2-40B4-BE49-F238E27FC236}">
              <a16:creationId xmlns:a16="http://schemas.microsoft.com/office/drawing/2014/main" id="{4E48D5EE-5A9E-4B24-8643-5CD465FFEAA2}"/>
            </a:ext>
          </a:extLst>
        </xdr:cNvPr>
        <xdr:cNvCxnSpPr/>
      </xdr:nvCxnSpPr>
      <xdr:spPr>
        <a:xfrm>
          <a:off x="14298386" y="4791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38</xdr:col>
      <xdr:colOff>81643</xdr:colOff>
      <xdr:row>29</xdr:row>
      <xdr:rowOff>19050</xdr:rowOff>
    </xdr:from>
    <xdr:to>
      <xdr:col>39</xdr:col>
      <xdr:colOff>82913</xdr:colOff>
      <xdr:row>29</xdr:row>
      <xdr:rowOff>133350</xdr:rowOff>
    </xdr:to>
    <xdr:sp macro="" textlink="">
      <xdr:nvSpPr>
        <xdr:cNvPr id="13989" name="26">
          <a:extLst>
            <a:ext uri="{FF2B5EF4-FFF2-40B4-BE49-F238E27FC236}">
              <a16:creationId xmlns:a16="http://schemas.microsoft.com/office/drawing/2014/main" id="{07498916-DAEA-4DD1-8FC2-2A0623FBA54E}"/>
            </a:ext>
          </a:extLst>
        </xdr:cNvPr>
        <xdr:cNvSpPr/>
      </xdr:nvSpPr>
      <xdr:spPr>
        <a:xfrm>
          <a:off x="14216743" y="4581525"/>
          <a:ext cx="14414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38</xdr:col>
      <xdr:colOff>81643</xdr:colOff>
      <xdr:row>29</xdr:row>
      <xdr:rowOff>76200</xdr:rowOff>
    </xdr:from>
    <xdr:to>
      <xdr:col>39</xdr:col>
      <xdr:colOff>0</xdr:colOff>
      <xdr:row>29</xdr:row>
      <xdr:rowOff>76200</xdr:rowOff>
    </xdr:to>
    <xdr:cxnSp macro="">
      <xdr:nvCxnSpPr>
        <xdr:cNvPr id="13990" name="직선 화살표 연결선 13989">
          <a:extLst>
            <a:ext uri="{FF2B5EF4-FFF2-40B4-BE49-F238E27FC236}">
              <a16:creationId xmlns:a16="http://schemas.microsoft.com/office/drawing/2014/main" id="{225A7088-C71D-48A2-AC47-3C43545B23A2}"/>
            </a:ext>
          </a:extLst>
        </xdr:cNvPr>
        <xdr:cNvCxnSpPr/>
      </xdr:nvCxnSpPr>
      <xdr:spPr>
        <a:xfrm>
          <a:off x="14216743" y="4638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28</xdr:row>
      <xdr:rowOff>19050</xdr:rowOff>
    </xdr:from>
    <xdr:to>
      <xdr:col>38</xdr:col>
      <xdr:colOff>103324</xdr:colOff>
      <xdr:row>28</xdr:row>
      <xdr:rowOff>133350</xdr:rowOff>
    </xdr:to>
    <xdr:sp macro="" textlink="">
      <xdr:nvSpPr>
        <xdr:cNvPr id="13991" name="25">
          <a:extLst>
            <a:ext uri="{FF2B5EF4-FFF2-40B4-BE49-F238E27FC236}">
              <a16:creationId xmlns:a16="http://schemas.microsoft.com/office/drawing/2014/main" id="{B64A5F29-F23A-4B38-942B-0D4108C12E5E}"/>
            </a:ext>
          </a:extLst>
        </xdr:cNvPr>
        <xdr:cNvSpPr/>
      </xdr:nvSpPr>
      <xdr:spPr>
        <a:xfrm>
          <a:off x="14073868" y="4429125"/>
          <a:ext cx="164556"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28</xdr:row>
      <xdr:rowOff>76200</xdr:rowOff>
    </xdr:from>
    <xdr:to>
      <xdr:col>37</xdr:col>
      <xdr:colOff>81643</xdr:colOff>
      <xdr:row>28</xdr:row>
      <xdr:rowOff>76200</xdr:rowOff>
    </xdr:to>
    <xdr:cxnSp macro="">
      <xdr:nvCxnSpPr>
        <xdr:cNvPr id="13992" name="직선 화살표 연결선 13991">
          <a:extLst>
            <a:ext uri="{FF2B5EF4-FFF2-40B4-BE49-F238E27FC236}">
              <a16:creationId xmlns:a16="http://schemas.microsoft.com/office/drawing/2014/main" id="{6A33421A-A36C-4FE9-B77C-8E83734235A9}"/>
            </a:ext>
          </a:extLst>
        </xdr:cNvPr>
        <xdr:cNvCxnSpPr/>
      </xdr:nvCxnSpPr>
      <xdr:spPr>
        <a:xfrm>
          <a:off x="14073868" y="44862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27</xdr:row>
      <xdr:rowOff>19050</xdr:rowOff>
    </xdr:from>
    <xdr:to>
      <xdr:col>38</xdr:col>
      <xdr:colOff>62502</xdr:colOff>
      <xdr:row>27</xdr:row>
      <xdr:rowOff>133350</xdr:rowOff>
    </xdr:to>
    <xdr:sp macro="" textlink="">
      <xdr:nvSpPr>
        <xdr:cNvPr id="13993" name="24">
          <a:extLst>
            <a:ext uri="{FF2B5EF4-FFF2-40B4-BE49-F238E27FC236}">
              <a16:creationId xmlns:a16="http://schemas.microsoft.com/office/drawing/2014/main" id="{EE419844-B4D9-4EBA-AFD4-3D3202D6B795}"/>
            </a:ext>
          </a:extLst>
        </xdr:cNvPr>
        <xdr:cNvSpPr/>
      </xdr:nvSpPr>
      <xdr:spPr>
        <a:xfrm>
          <a:off x="13828939" y="4276725"/>
          <a:ext cx="36866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27</xdr:row>
      <xdr:rowOff>76200</xdr:rowOff>
    </xdr:from>
    <xdr:to>
      <xdr:col>37</xdr:col>
      <xdr:colOff>112258</xdr:colOff>
      <xdr:row>27</xdr:row>
      <xdr:rowOff>76200</xdr:rowOff>
    </xdr:to>
    <xdr:cxnSp macro="">
      <xdr:nvCxnSpPr>
        <xdr:cNvPr id="13994" name="직선 화살표 연결선 13993">
          <a:extLst>
            <a:ext uri="{FF2B5EF4-FFF2-40B4-BE49-F238E27FC236}">
              <a16:creationId xmlns:a16="http://schemas.microsoft.com/office/drawing/2014/main" id="{448FC0D0-DAF4-44E6-BA98-0CEEDF63899B}"/>
            </a:ext>
          </a:extLst>
        </xdr:cNvPr>
        <xdr:cNvCxnSpPr/>
      </xdr:nvCxnSpPr>
      <xdr:spPr>
        <a:xfrm>
          <a:off x="13828939" y="4333875"/>
          <a:ext cx="27554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122464</xdr:colOff>
      <xdr:row>26</xdr:row>
      <xdr:rowOff>19050</xdr:rowOff>
    </xdr:from>
    <xdr:to>
      <xdr:col>38</xdr:col>
      <xdr:colOff>103324</xdr:colOff>
      <xdr:row>26</xdr:row>
      <xdr:rowOff>133350</xdr:rowOff>
    </xdr:to>
    <xdr:sp macro="" textlink="">
      <xdr:nvSpPr>
        <xdr:cNvPr id="13995" name="23">
          <a:extLst>
            <a:ext uri="{FF2B5EF4-FFF2-40B4-BE49-F238E27FC236}">
              <a16:creationId xmlns:a16="http://schemas.microsoft.com/office/drawing/2014/main" id="{EFA6C9A0-D9BF-4254-AB42-A3267B15688B}"/>
            </a:ext>
          </a:extLst>
        </xdr:cNvPr>
        <xdr:cNvSpPr/>
      </xdr:nvSpPr>
      <xdr:spPr>
        <a:xfrm>
          <a:off x="13828939" y="4124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122464</xdr:colOff>
      <xdr:row>26</xdr:row>
      <xdr:rowOff>76200</xdr:rowOff>
    </xdr:from>
    <xdr:to>
      <xdr:col>37</xdr:col>
      <xdr:colOff>40822</xdr:colOff>
      <xdr:row>26</xdr:row>
      <xdr:rowOff>76200</xdr:rowOff>
    </xdr:to>
    <xdr:cxnSp macro="">
      <xdr:nvCxnSpPr>
        <xdr:cNvPr id="13996" name="직선 화살표 연결선 13995">
          <a:extLst>
            <a:ext uri="{FF2B5EF4-FFF2-40B4-BE49-F238E27FC236}">
              <a16:creationId xmlns:a16="http://schemas.microsoft.com/office/drawing/2014/main" id="{981782F5-F4AD-4775-B414-94586B8A3089}"/>
            </a:ext>
          </a:extLst>
        </xdr:cNvPr>
        <xdr:cNvCxnSpPr/>
      </xdr:nvCxnSpPr>
      <xdr:spPr>
        <a:xfrm>
          <a:off x="13828939" y="4181475"/>
          <a:ext cx="204108"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81643</xdr:colOff>
      <xdr:row>25</xdr:row>
      <xdr:rowOff>19050</xdr:rowOff>
    </xdr:from>
    <xdr:to>
      <xdr:col>38</xdr:col>
      <xdr:colOff>1270</xdr:colOff>
      <xdr:row>25</xdr:row>
      <xdr:rowOff>133350</xdr:rowOff>
    </xdr:to>
    <xdr:sp macro="" textlink="">
      <xdr:nvSpPr>
        <xdr:cNvPr id="13997" name="22">
          <a:extLst>
            <a:ext uri="{FF2B5EF4-FFF2-40B4-BE49-F238E27FC236}">
              <a16:creationId xmlns:a16="http://schemas.microsoft.com/office/drawing/2014/main" id="{9F212A98-7D99-4050-9D15-401EA3E601A7}"/>
            </a:ext>
          </a:extLst>
        </xdr:cNvPr>
        <xdr:cNvSpPr/>
      </xdr:nvSpPr>
      <xdr:spPr>
        <a:xfrm>
          <a:off x="14073868" y="39719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81643</xdr:colOff>
      <xdr:row>25</xdr:row>
      <xdr:rowOff>76200</xdr:rowOff>
    </xdr:from>
    <xdr:to>
      <xdr:col>38</xdr:col>
      <xdr:colOff>0</xdr:colOff>
      <xdr:row>25</xdr:row>
      <xdr:rowOff>76200</xdr:rowOff>
    </xdr:to>
    <xdr:cxnSp macro="">
      <xdr:nvCxnSpPr>
        <xdr:cNvPr id="13998" name="직선 화살표 연결선 13997">
          <a:extLst>
            <a:ext uri="{FF2B5EF4-FFF2-40B4-BE49-F238E27FC236}">
              <a16:creationId xmlns:a16="http://schemas.microsoft.com/office/drawing/2014/main" id="{D028DCEE-2FA0-4C60-A07C-53A4EF67AC51}"/>
            </a:ext>
          </a:extLst>
        </xdr:cNvPr>
        <xdr:cNvCxnSpPr/>
      </xdr:nvCxnSpPr>
      <xdr:spPr>
        <a:xfrm>
          <a:off x="14073868" y="40290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20411</xdr:colOff>
      <xdr:row>24</xdr:row>
      <xdr:rowOff>19050</xdr:rowOff>
    </xdr:from>
    <xdr:to>
      <xdr:col>37</xdr:col>
      <xdr:colOff>82913</xdr:colOff>
      <xdr:row>24</xdr:row>
      <xdr:rowOff>133350</xdr:rowOff>
    </xdr:to>
    <xdr:sp macro="" textlink="">
      <xdr:nvSpPr>
        <xdr:cNvPr id="13999" name="21">
          <a:extLst>
            <a:ext uri="{FF2B5EF4-FFF2-40B4-BE49-F238E27FC236}">
              <a16:creationId xmlns:a16="http://schemas.microsoft.com/office/drawing/2014/main" id="{ACC5561B-F4DA-4397-986D-14BB60C89089}"/>
            </a:ext>
          </a:extLst>
        </xdr:cNvPr>
        <xdr:cNvSpPr/>
      </xdr:nvSpPr>
      <xdr:spPr>
        <a:xfrm>
          <a:off x="14012636" y="3819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20411</xdr:colOff>
      <xdr:row>24</xdr:row>
      <xdr:rowOff>76200</xdr:rowOff>
    </xdr:from>
    <xdr:to>
      <xdr:col>37</xdr:col>
      <xdr:colOff>81643</xdr:colOff>
      <xdr:row>24</xdr:row>
      <xdr:rowOff>76200</xdr:rowOff>
    </xdr:to>
    <xdr:cxnSp macro="">
      <xdr:nvCxnSpPr>
        <xdr:cNvPr id="14000" name="직선 화살표 연결선 13999">
          <a:extLst>
            <a:ext uri="{FF2B5EF4-FFF2-40B4-BE49-F238E27FC236}">
              <a16:creationId xmlns:a16="http://schemas.microsoft.com/office/drawing/2014/main" id="{8C0F94FD-667D-4A94-AD06-E96880457614}"/>
            </a:ext>
          </a:extLst>
        </xdr:cNvPr>
        <xdr:cNvCxnSpPr/>
      </xdr:nvCxnSpPr>
      <xdr:spPr>
        <a:xfrm>
          <a:off x="14012636" y="3876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23</xdr:row>
      <xdr:rowOff>19050</xdr:rowOff>
    </xdr:from>
    <xdr:to>
      <xdr:col>37</xdr:col>
      <xdr:colOff>42090</xdr:colOff>
      <xdr:row>23</xdr:row>
      <xdr:rowOff>133350</xdr:rowOff>
    </xdr:to>
    <xdr:sp macro="" textlink="">
      <xdr:nvSpPr>
        <xdr:cNvPr id="14001" name="20">
          <a:extLst>
            <a:ext uri="{FF2B5EF4-FFF2-40B4-BE49-F238E27FC236}">
              <a16:creationId xmlns:a16="http://schemas.microsoft.com/office/drawing/2014/main" id="{55741EE7-20EE-474A-A34D-31344FBEC67C}"/>
            </a:ext>
          </a:extLst>
        </xdr:cNvPr>
        <xdr:cNvSpPr/>
      </xdr:nvSpPr>
      <xdr:spPr>
        <a:xfrm>
          <a:off x="13747296" y="3667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23</xdr:row>
      <xdr:rowOff>76200</xdr:rowOff>
    </xdr:from>
    <xdr:to>
      <xdr:col>37</xdr:col>
      <xdr:colOff>40821</xdr:colOff>
      <xdr:row>23</xdr:row>
      <xdr:rowOff>76200</xdr:rowOff>
    </xdr:to>
    <xdr:cxnSp macro="">
      <xdr:nvCxnSpPr>
        <xdr:cNvPr id="14002" name="직선 화살표 연결선 14001">
          <a:extLst>
            <a:ext uri="{FF2B5EF4-FFF2-40B4-BE49-F238E27FC236}">
              <a16:creationId xmlns:a16="http://schemas.microsoft.com/office/drawing/2014/main" id="{F5E5CB41-7F52-4E23-87FA-CFFB50808543}"/>
            </a:ext>
          </a:extLst>
        </xdr:cNvPr>
        <xdr:cNvCxnSpPr/>
      </xdr:nvCxnSpPr>
      <xdr:spPr>
        <a:xfrm>
          <a:off x="13747296" y="37242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22</xdr:row>
      <xdr:rowOff>19050</xdr:rowOff>
    </xdr:from>
    <xdr:to>
      <xdr:col>38</xdr:col>
      <xdr:colOff>1270</xdr:colOff>
      <xdr:row>22</xdr:row>
      <xdr:rowOff>133350</xdr:rowOff>
    </xdr:to>
    <xdr:sp macro="" textlink="">
      <xdr:nvSpPr>
        <xdr:cNvPr id="14003" name="19">
          <a:extLst>
            <a:ext uri="{FF2B5EF4-FFF2-40B4-BE49-F238E27FC236}">
              <a16:creationId xmlns:a16="http://schemas.microsoft.com/office/drawing/2014/main" id="{BC9F4A9B-8A0A-4B67-8CC3-ED1CE696B5F1}"/>
            </a:ext>
          </a:extLst>
        </xdr:cNvPr>
        <xdr:cNvSpPr/>
      </xdr:nvSpPr>
      <xdr:spPr>
        <a:xfrm>
          <a:off x="13747296" y="3514725"/>
          <a:ext cx="38907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22</xdr:row>
      <xdr:rowOff>76200</xdr:rowOff>
    </xdr:from>
    <xdr:to>
      <xdr:col>38</xdr:col>
      <xdr:colOff>0</xdr:colOff>
      <xdr:row>22</xdr:row>
      <xdr:rowOff>76200</xdr:rowOff>
    </xdr:to>
    <xdr:cxnSp macro="">
      <xdr:nvCxnSpPr>
        <xdr:cNvPr id="14004" name="직선 화살표 연결선 14003">
          <a:extLst>
            <a:ext uri="{FF2B5EF4-FFF2-40B4-BE49-F238E27FC236}">
              <a16:creationId xmlns:a16="http://schemas.microsoft.com/office/drawing/2014/main" id="{84CFAA74-D9DD-410A-B5D8-1073AB9801CF}"/>
            </a:ext>
          </a:extLst>
        </xdr:cNvPr>
        <xdr:cNvCxnSpPr/>
      </xdr:nvCxnSpPr>
      <xdr:spPr>
        <a:xfrm>
          <a:off x="13747296" y="3571875"/>
          <a:ext cx="38780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21</xdr:row>
      <xdr:rowOff>19050</xdr:rowOff>
    </xdr:from>
    <xdr:to>
      <xdr:col>38</xdr:col>
      <xdr:colOff>103324</xdr:colOff>
      <xdr:row>21</xdr:row>
      <xdr:rowOff>133350</xdr:rowOff>
    </xdr:to>
    <xdr:sp macro="" textlink="">
      <xdr:nvSpPr>
        <xdr:cNvPr id="14005" name="18">
          <a:extLst>
            <a:ext uri="{FF2B5EF4-FFF2-40B4-BE49-F238E27FC236}">
              <a16:creationId xmlns:a16="http://schemas.microsoft.com/office/drawing/2014/main" id="{5CD589B4-59D9-46F6-999D-F6DB3D065B65}"/>
            </a:ext>
          </a:extLst>
        </xdr:cNvPr>
        <xdr:cNvSpPr/>
      </xdr:nvSpPr>
      <xdr:spPr>
        <a:xfrm>
          <a:off x="13747296" y="3362325"/>
          <a:ext cx="491128"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21</xdr:row>
      <xdr:rowOff>76200</xdr:rowOff>
    </xdr:from>
    <xdr:to>
      <xdr:col>37</xdr:col>
      <xdr:colOff>111331</xdr:colOff>
      <xdr:row>21</xdr:row>
      <xdr:rowOff>76200</xdr:rowOff>
    </xdr:to>
    <xdr:cxnSp macro="">
      <xdr:nvCxnSpPr>
        <xdr:cNvPr id="14006" name="직선 화살표 연결선 14005">
          <a:extLst>
            <a:ext uri="{FF2B5EF4-FFF2-40B4-BE49-F238E27FC236}">
              <a16:creationId xmlns:a16="http://schemas.microsoft.com/office/drawing/2014/main" id="{0683B290-5A2B-4898-ACE4-9A37DCAB1311}"/>
            </a:ext>
          </a:extLst>
        </xdr:cNvPr>
        <xdr:cNvCxnSpPr/>
      </xdr:nvCxnSpPr>
      <xdr:spPr>
        <a:xfrm>
          <a:off x="13747296" y="3419475"/>
          <a:ext cx="35626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37</xdr:col>
      <xdr:colOff>122464</xdr:colOff>
      <xdr:row>20</xdr:row>
      <xdr:rowOff>19050</xdr:rowOff>
    </xdr:from>
    <xdr:to>
      <xdr:col>38</xdr:col>
      <xdr:colOff>21681</xdr:colOff>
      <xdr:row>20</xdr:row>
      <xdr:rowOff>133350</xdr:rowOff>
    </xdr:to>
    <xdr:sp macro="" textlink="">
      <xdr:nvSpPr>
        <xdr:cNvPr id="14007" name="17">
          <a:extLst>
            <a:ext uri="{FF2B5EF4-FFF2-40B4-BE49-F238E27FC236}">
              <a16:creationId xmlns:a16="http://schemas.microsoft.com/office/drawing/2014/main" id="{F7FEC660-6287-4F0D-B775-0348AE6EBD26}"/>
            </a:ext>
          </a:extLst>
        </xdr:cNvPr>
        <xdr:cNvSpPr/>
      </xdr:nvSpPr>
      <xdr:spPr>
        <a:xfrm>
          <a:off x="14114689" y="3209925"/>
          <a:ext cx="4209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37</xdr:col>
      <xdr:colOff>122464</xdr:colOff>
      <xdr:row>20</xdr:row>
      <xdr:rowOff>76200</xdr:rowOff>
    </xdr:from>
    <xdr:to>
      <xdr:col>37</xdr:col>
      <xdr:colOff>122464</xdr:colOff>
      <xdr:row>20</xdr:row>
      <xdr:rowOff>76200</xdr:rowOff>
    </xdr:to>
    <xdr:cxnSp macro="">
      <xdr:nvCxnSpPr>
        <xdr:cNvPr id="14009" name="직선 화살표 연결선 14008">
          <a:extLst>
            <a:ext uri="{FF2B5EF4-FFF2-40B4-BE49-F238E27FC236}">
              <a16:creationId xmlns:a16="http://schemas.microsoft.com/office/drawing/2014/main" id="{22E34C59-763D-41BA-AEB6-7EF5BB668265}"/>
            </a:ext>
          </a:extLst>
        </xdr:cNvPr>
        <xdr:cNvCxnSpPr/>
      </xdr:nvCxnSpPr>
      <xdr:spPr>
        <a:xfrm>
          <a:off x="14114689" y="3267075"/>
          <a:ext cx="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19</xdr:row>
      <xdr:rowOff>19050</xdr:rowOff>
    </xdr:from>
    <xdr:to>
      <xdr:col>36</xdr:col>
      <xdr:colOff>42090</xdr:colOff>
      <xdr:row>19</xdr:row>
      <xdr:rowOff>133350</xdr:rowOff>
    </xdr:to>
    <xdr:sp macro="" textlink="">
      <xdr:nvSpPr>
        <xdr:cNvPr id="14010" name="16">
          <a:extLst>
            <a:ext uri="{FF2B5EF4-FFF2-40B4-BE49-F238E27FC236}">
              <a16:creationId xmlns:a16="http://schemas.microsoft.com/office/drawing/2014/main" id="{B0E46EC7-52B8-4345-A483-82600BA2AEF9}"/>
            </a:ext>
          </a:extLst>
        </xdr:cNvPr>
        <xdr:cNvSpPr/>
      </xdr:nvSpPr>
      <xdr:spPr>
        <a:xfrm>
          <a:off x="13747296" y="3057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19</xdr:row>
      <xdr:rowOff>76200</xdr:rowOff>
    </xdr:from>
    <xdr:to>
      <xdr:col>36</xdr:col>
      <xdr:colOff>40821</xdr:colOff>
      <xdr:row>19</xdr:row>
      <xdr:rowOff>76200</xdr:rowOff>
    </xdr:to>
    <xdr:cxnSp macro="">
      <xdr:nvCxnSpPr>
        <xdr:cNvPr id="14011" name="직선 화살표 연결선 14010">
          <a:extLst>
            <a:ext uri="{FF2B5EF4-FFF2-40B4-BE49-F238E27FC236}">
              <a16:creationId xmlns:a16="http://schemas.microsoft.com/office/drawing/2014/main" id="{D4387ADE-C32A-4E56-8B6D-565F4DE398FD}"/>
            </a:ext>
          </a:extLst>
        </xdr:cNvPr>
        <xdr:cNvCxnSpPr/>
      </xdr:nvCxnSpPr>
      <xdr:spPr>
        <a:xfrm>
          <a:off x="13747296" y="3114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18</xdr:row>
      <xdr:rowOff>19050</xdr:rowOff>
    </xdr:from>
    <xdr:to>
      <xdr:col>37</xdr:col>
      <xdr:colOff>42090</xdr:colOff>
      <xdr:row>18</xdr:row>
      <xdr:rowOff>133350</xdr:rowOff>
    </xdr:to>
    <xdr:sp macro="" textlink="">
      <xdr:nvSpPr>
        <xdr:cNvPr id="14012" name="15">
          <a:extLst>
            <a:ext uri="{FF2B5EF4-FFF2-40B4-BE49-F238E27FC236}">
              <a16:creationId xmlns:a16="http://schemas.microsoft.com/office/drawing/2014/main" id="{455DF286-8902-4728-A381-DDD373102C56}"/>
            </a:ext>
          </a:extLst>
        </xdr:cNvPr>
        <xdr:cNvSpPr/>
      </xdr:nvSpPr>
      <xdr:spPr>
        <a:xfrm>
          <a:off x="13747296" y="2905125"/>
          <a:ext cx="287019"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18</xdr:row>
      <xdr:rowOff>76200</xdr:rowOff>
    </xdr:from>
    <xdr:to>
      <xdr:col>37</xdr:col>
      <xdr:colOff>40821</xdr:colOff>
      <xdr:row>18</xdr:row>
      <xdr:rowOff>76200</xdr:rowOff>
    </xdr:to>
    <xdr:cxnSp macro="">
      <xdr:nvCxnSpPr>
        <xdr:cNvPr id="14013" name="직선 화살표 연결선 14012">
          <a:extLst>
            <a:ext uri="{FF2B5EF4-FFF2-40B4-BE49-F238E27FC236}">
              <a16:creationId xmlns:a16="http://schemas.microsoft.com/office/drawing/2014/main" id="{C950D2A7-48EF-400A-A445-47AFFFE9B1E4}"/>
            </a:ext>
          </a:extLst>
        </xdr:cNvPr>
        <xdr:cNvCxnSpPr/>
      </xdr:nvCxnSpPr>
      <xdr:spPr>
        <a:xfrm>
          <a:off x="13747296" y="2962275"/>
          <a:ext cx="285750"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17</xdr:row>
      <xdr:rowOff>19050</xdr:rowOff>
    </xdr:from>
    <xdr:to>
      <xdr:col>38</xdr:col>
      <xdr:colOff>21681</xdr:colOff>
      <xdr:row>17</xdr:row>
      <xdr:rowOff>133350</xdr:rowOff>
    </xdr:to>
    <xdr:sp macro="" textlink="">
      <xdr:nvSpPr>
        <xdr:cNvPr id="14014" name="14">
          <a:extLst>
            <a:ext uri="{FF2B5EF4-FFF2-40B4-BE49-F238E27FC236}">
              <a16:creationId xmlns:a16="http://schemas.microsoft.com/office/drawing/2014/main" id="{F4BDD94A-EA2D-47BC-979E-681432357C81}"/>
            </a:ext>
          </a:extLst>
        </xdr:cNvPr>
        <xdr:cNvSpPr/>
      </xdr:nvSpPr>
      <xdr:spPr>
        <a:xfrm>
          <a:off x="13747296" y="27527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17</xdr:row>
      <xdr:rowOff>76200</xdr:rowOff>
    </xdr:from>
    <xdr:to>
      <xdr:col>38</xdr:col>
      <xdr:colOff>20411</xdr:colOff>
      <xdr:row>17</xdr:row>
      <xdr:rowOff>76200</xdr:rowOff>
    </xdr:to>
    <xdr:cxnSp macro="">
      <xdr:nvCxnSpPr>
        <xdr:cNvPr id="14015" name="직선 화살표 연결선 14014">
          <a:extLst>
            <a:ext uri="{FF2B5EF4-FFF2-40B4-BE49-F238E27FC236}">
              <a16:creationId xmlns:a16="http://schemas.microsoft.com/office/drawing/2014/main" id="{D4D857AE-305D-44F0-BDE1-5118F9C37424}"/>
            </a:ext>
          </a:extLst>
        </xdr:cNvPr>
        <xdr:cNvCxnSpPr/>
      </xdr:nvCxnSpPr>
      <xdr:spPr>
        <a:xfrm>
          <a:off x="13747296" y="2809875"/>
          <a:ext cx="408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16</xdr:row>
      <xdr:rowOff>19050</xdr:rowOff>
    </xdr:from>
    <xdr:to>
      <xdr:col>38</xdr:col>
      <xdr:colOff>21681</xdr:colOff>
      <xdr:row>16</xdr:row>
      <xdr:rowOff>133350</xdr:rowOff>
    </xdr:to>
    <xdr:sp macro="" textlink="">
      <xdr:nvSpPr>
        <xdr:cNvPr id="34176" name="13">
          <a:extLst>
            <a:ext uri="{FF2B5EF4-FFF2-40B4-BE49-F238E27FC236}">
              <a16:creationId xmlns:a16="http://schemas.microsoft.com/office/drawing/2014/main" id="{BEDD7093-FF5E-4D0D-BBD4-B763F9868157}"/>
            </a:ext>
          </a:extLst>
        </xdr:cNvPr>
        <xdr:cNvSpPr/>
      </xdr:nvSpPr>
      <xdr:spPr>
        <a:xfrm>
          <a:off x="13747296" y="2600325"/>
          <a:ext cx="409485"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16</xdr:row>
      <xdr:rowOff>76200</xdr:rowOff>
    </xdr:from>
    <xdr:to>
      <xdr:col>38</xdr:col>
      <xdr:colOff>20411</xdr:colOff>
      <xdr:row>16</xdr:row>
      <xdr:rowOff>76200</xdr:rowOff>
    </xdr:to>
    <xdr:cxnSp macro="">
      <xdr:nvCxnSpPr>
        <xdr:cNvPr id="34177" name="직선 화살표 연결선 34176">
          <a:extLst>
            <a:ext uri="{FF2B5EF4-FFF2-40B4-BE49-F238E27FC236}">
              <a16:creationId xmlns:a16="http://schemas.microsoft.com/office/drawing/2014/main" id="{BBC43B7C-AB28-4CC6-86C5-32FD3F8A62A8}"/>
            </a:ext>
          </a:extLst>
        </xdr:cNvPr>
        <xdr:cNvCxnSpPr/>
      </xdr:nvCxnSpPr>
      <xdr:spPr>
        <a:xfrm>
          <a:off x="13747296" y="2657475"/>
          <a:ext cx="40821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81643</xdr:colOff>
      <xdr:row>15</xdr:row>
      <xdr:rowOff>19050</xdr:rowOff>
    </xdr:from>
    <xdr:to>
      <xdr:col>37</xdr:col>
      <xdr:colOff>82913</xdr:colOff>
      <xdr:row>15</xdr:row>
      <xdr:rowOff>133350</xdr:rowOff>
    </xdr:to>
    <xdr:sp macro="" textlink="">
      <xdr:nvSpPr>
        <xdr:cNvPr id="34178" name="12">
          <a:extLst>
            <a:ext uri="{FF2B5EF4-FFF2-40B4-BE49-F238E27FC236}">
              <a16:creationId xmlns:a16="http://schemas.microsoft.com/office/drawing/2014/main" id="{68C60DD1-C4CE-40AC-B645-D5F183531806}"/>
            </a:ext>
          </a:extLst>
        </xdr:cNvPr>
        <xdr:cNvSpPr/>
      </xdr:nvSpPr>
      <xdr:spPr>
        <a:xfrm>
          <a:off x="13930993" y="2447925"/>
          <a:ext cx="144145"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81643</xdr:colOff>
      <xdr:row>15</xdr:row>
      <xdr:rowOff>76200</xdr:rowOff>
    </xdr:from>
    <xdr:to>
      <xdr:col>37</xdr:col>
      <xdr:colOff>81643</xdr:colOff>
      <xdr:row>15</xdr:row>
      <xdr:rowOff>76200</xdr:rowOff>
    </xdr:to>
    <xdr:cxnSp macro="">
      <xdr:nvCxnSpPr>
        <xdr:cNvPr id="34179" name="직선 화살표 연결선 34178">
          <a:extLst>
            <a:ext uri="{FF2B5EF4-FFF2-40B4-BE49-F238E27FC236}">
              <a16:creationId xmlns:a16="http://schemas.microsoft.com/office/drawing/2014/main" id="{EB477206-92A4-4AD4-92E6-65F34335C6EF}"/>
            </a:ext>
          </a:extLst>
        </xdr:cNvPr>
        <xdr:cNvCxnSpPr/>
      </xdr:nvCxnSpPr>
      <xdr:spPr>
        <a:xfrm>
          <a:off x="13930993" y="25050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36</xdr:col>
      <xdr:colOff>40821</xdr:colOff>
      <xdr:row>14</xdr:row>
      <xdr:rowOff>19050</xdr:rowOff>
    </xdr:from>
    <xdr:to>
      <xdr:col>37</xdr:col>
      <xdr:colOff>42090</xdr:colOff>
      <xdr:row>14</xdr:row>
      <xdr:rowOff>133350</xdr:rowOff>
    </xdr:to>
    <xdr:sp macro="" textlink="">
      <xdr:nvSpPr>
        <xdr:cNvPr id="34180" name="11">
          <a:extLst>
            <a:ext uri="{FF2B5EF4-FFF2-40B4-BE49-F238E27FC236}">
              <a16:creationId xmlns:a16="http://schemas.microsoft.com/office/drawing/2014/main" id="{0AC093A5-39EA-4EA8-86FB-C41024347246}"/>
            </a:ext>
          </a:extLst>
        </xdr:cNvPr>
        <xdr:cNvSpPr/>
      </xdr:nvSpPr>
      <xdr:spPr>
        <a:xfrm>
          <a:off x="13890171" y="22955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40821</xdr:colOff>
      <xdr:row>14</xdr:row>
      <xdr:rowOff>76200</xdr:rowOff>
    </xdr:from>
    <xdr:to>
      <xdr:col>37</xdr:col>
      <xdr:colOff>40821</xdr:colOff>
      <xdr:row>14</xdr:row>
      <xdr:rowOff>76200</xdr:rowOff>
    </xdr:to>
    <xdr:cxnSp macro="">
      <xdr:nvCxnSpPr>
        <xdr:cNvPr id="34181" name="직선 화살표 연결선 34180">
          <a:extLst>
            <a:ext uri="{FF2B5EF4-FFF2-40B4-BE49-F238E27FC236}">
              <a16:creationId xmlns:a16="http://schemas.microsoft.com/office/drawing/2014/main" id="{3048E9F0-FD1F-4139-95FD-D6C1149B310F}"/>
            </a:ext>
          </a:extLst>
        </xdr:cNvPr>
        <xdr:cNvCxnSpPr/>
      </xdr:nvCxnSpPr>
      <xdr:spPr>
        <a:xfrm>
          <a:off x="13890171" y="23526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13</xdr:row>
      <xdr:rowOff>19050</xdr:rowOff>
    </xdr:from>
    <xdr:to>
      <xdr:col>36</xdr:col>
      <xdr:colOff>42090</xdr:colOff>
      <xdr:row>13</xdr:row>
      <xdr:rowOff>133350</xdr:rowOff>
    </xdr:to>
    <xdr:sp macro="" textlink="">
      <xdr:nvSpPr>
        <xdr:cNvPr id="34182" name="10">
          <a:extLst>
            <a:ext uri="{FF2B5EF4-FFF2-40B4-BE49-F238E27FC236}">
              <a16:creationId xmlns:a16="http://schemas.microsoft.com/office/drawing/2014/main" id="{CDB5CE52-A962-4AD1-9F50-D7B4291863E4}"/>
            </a:ext>
          </a:extLst>
        </xdr:cNvPr>
        <xdr:cNvSpPr/>
      </xdr:nvSpPr>
      <xdr:spPr>
        <a:xfrm>
          <a:off x="13747296" y="2143125"/>
          <a:ext cx="14414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13</xdr:row>
      <xdr:rowOff>76200</xdr:rowOff>
    </xdr:from>
    <xdr:to>
      <xdr:col>36</xdr:col>
      <xdr:colOff>40821</xdr:colOff>
      <xdr:row>13</xdr:row>
      <xdr:rowOff>76200</xdr:rowOff>
    </xdr:to>
    <xdr:cxnSp macro="">
      <xdr:nvCxnSpPr>
        <xdr:cNvPr id="23008" name="직선 화살표 연결선 23007">
          <a:extLst>
            <a:ext uri="{FF2B5EF4-FFF2-40B4-BE49-F238E27FC236}">
              <a16:creationId xmlns:a16="http://schemas.microsoft.com/office/drawing/2014/main" id="{A048CC8E-4589-44A9-948C-505CDB07A06F}"/>
            </a:ext>
          </a:extLst>
        </xdr:cNvPr>
        <xdr:cNvCxnSpPr/>
      </xdr:nvCxnSpPr>
      <xdr:spPr>
        <a:xfrm>
          <a:off x="13747296" y="2200275"/>
          <a:ext cx="142875"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12</xdr:row>
      <xdr:rowOff>19050</xdr:rowOff>
    </xdr:from>
    <xdr:to>
      <xdr:col>36</xdr:col>
      <xdr:colOff>1270</xdr:colOff>
      <xdr:row>12</xdr:row>
      <xdr:rowOff>133350</xdr:rowOff>
    </xdr:to>
    <xdr:sp macro="" textlink="">
      <xdr:nvSpPr>
        <xdr:cNvPr id="23009" name="9">
          <a:extLst>
            <a:ext uri="{FF2B5EF4-FFF2-40B4-BE49-F238E27FC236}">
              <a16:creationId xmlns:a16="http://schemas.microsoft.com/office/drawing/2014/main" id="{03044CDF-1595-48F9-AAB0-F8CA1603FC1A}"/>
            </a:ext>
          </a:extLst>
        </xdr:cNvPr>
        <xdr:cNvSpPr/>
      </xdr:nvSpPr>
      <xdr:spPr>
        <a:xfrm>
          <a:off x="13747296" y="1990725"/>
          <a:ext cx="103324"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12</xdr:row>
      <xdr:rowOff>76200</xdr:rowOff>
    </xdr:from>
    <xdr:to>
      <xdr:col>36</xdr:col>
      <xdr:colOff>0</xdr:colOff>
      <xdr:row>12</xdr:row>
      <xdr:rowOff>76200</xdr:rowOff>
    </xdr:to>
    <xdr:cxnSp macro="">
      <xdr:nvCxnSpPr>
        <xdr:cNvPr id="23010" name="직선 화살표 연결선 23009">
          <a:extLst>
            <a:ext uri="{FF2B5EF4-FFF2-40B4-BE49-F238E27FC236}">
              <a16:creationId xmlns:a16="http://schemas.microsoft.com/office/drawing/2014/main" id="{26588DF7-6CA0-442A-BD03-0E2B24B8D721}"/>
            </a:ext>
          </a:extLst>
        </xdr:cNvPr>
        <xdr:cNvCxnSpPr/>
      </xdr:nvCxnSpPr>
      <xdr:spPr>
        <a:xfrm>
          <a:off x="13747296" y="20478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11</xdr:row>
      <xdr:rowOff>19050</xdr:rowOff>
    </xdr:from>
    <xdr:to>
      <xdr:col>36</xdr:col>
      <xdr:colOff>1270</xdr:colOff>
      <xdr:row>11</xdr:row>
      <xdr:rowOff>133350</xdr:rowOff>
    </xdr:to>
    <xdr:sp macro="" textlink="">
      <xdr:nvSpPr>
        <xdr:cNvPr id="23011" name="8">
          <a:extLst>
            <a:ext uri="{FF2B5EF4-FFF2-40B4-BE49-F238E27FC236}">
              <a16:creationId xmlns:a16="http://schemas.microsoft.com/office/drawing/2014/main" id="{1942367B-BCE7-4871-AAD1-49D7114F55EC}"/>
            </a:ext>
          </a:extLst>
        </xdr:cNvPr>
        <xdr:cNvSpPr/>
      </xdr:nvSpPr>
      <xdr:spPr>
        <a:xfrm>
          <a:off x="13747296" y="1838325"/>
          <a:ext cx="103324"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35</xdr:col>
      <xdr:colOff>40821</xdr:colOff>
      <xdr:row>11</xdr:row>
      <xdr:rowOff>76200</xdr:rowOff>
    </xdr:from>
    <xdr:to>
      <xdr:col>36</xdr:col>
      <xdr:colOff>0</xdr:colOff>
      <xdr:row>11</xdr:row>
      <xdr:rowOff>76200</xdr:rowOff>
    </xdr:to>
    <xdr:cxnSp macro="">
      <xdr:nvCxnSpPr>
        <xdr:cNvPr id="23012" name="직선 화살표 연결선 23011">
          <a:extLst>
            <a:ext uri="{FF2B5EF4-FFF2-40B4-BE49-F238E27FC236}">
              <a16:creationId xmlns:a16="http://schemas.microsoft.com/office/drawing/2014/main" id="{E4598B18-2195-4E44-B74F-0EA69EC55C82}"/>
            </a:ext>
          </a:extLst>
        </xdr:cNvPr>
        <xdr:cNvCxnSpPr/>
      </xdr:nvCxnSpPr>
      <xdr:spPr>
        <a:xfrm>
          <a:off x="13747296" y="1895475"/>
          <a:ext cx="10205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40821</xdr:colOff>
      <xdr:row>10</xdr:row>
      <xdr:rowOff>19050</xdr:rowOff>
    </xdr:from>
    <xdr:to>
      <xdr:col>36</xdr:col>
      <xdr:colOff>24946</xdr:colOff>
      <xdr:row>10</xdr:row>
      <xdr:rowOff>146050</xdr:rowOff>
    </xdr:to>
    <xdr:sp macro="" textlink="">
      <xdr:nvSpPr>
        <xdr:cNvPr id="23013" name="다이아몬드 23012">
          <a:extLst>
            <a:ext uri="{FF2B5EF4-FFF2-40B4-BE49-F238E27FC236}">
              <a16:creationId xmlns:a16="http://schemas.microsoft.com/office/drawing/2014/main" id="{8505CA11-0FF4-4568-98B1-34F009128241}"/>
            </a:ext>
          </a:extLst>
        </xdr:cNvPr>
        <xdr:cNvSpPr/>
      </xdr:nvSpPr>
      <xdr:spPr>
        <a:xfrm>
          <a:off x="13747296" y="1685925"/>
          <a:ext cx="127000" cy="127000"/>
        </a:xfrm>
        <a:prstGeom prst="diamond">
          <a:avLst/>
        </a:prstGeom>
        <a:solidFill>
          <a:srgbClr val="0000FF">
            <a:alpha val="70000"/>
          </a:srgbClr>
        </a:solidFill>
        <a:ln w="6350">
          <a:solidFill>
            <a:srgbClr val="0000F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19050</xdr:rowOff>
    </xdr:from>
    <xdr:to>
      <xdr:col>36</xdr:col>
      <xdr:colOff>82913</xdr:colOff>
      <xdr:row>9</xdr:row>
      <xdr:rowOff>133350</xdr:rowOff>
    </xdr:to>
    <xdr:sp macro="" textlink="">
      <xdr:nvSpPr>
        <xdr:cNvPr id="23014" name="6">
          <a:extLst>
            <a:ext uri="{FF2B5EF4-FFF2-40B4-BE49-F238E27FC236}">
              <a16:creationId xmlns:a16="http://schemas.microsoft.com/office/drawing/2014/main" id="{177C9A7A-ECA6-40D7-9081-DE3401694ED9}"/>
            </a:ext>
          </a:extLst>
        </xdr:cNvPr>
        <xdr:cNvSpPr/>
      </xdr:nvSpPr>
      <xdr:spPr>
        <a:xfrm>
          <a:off x="13869761" y="1533525"/>
          <a:ext cx="62502"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36</xdr:col>
      <xdr:colOff>20411</xdr:colOff>
      <xdr:row>9</xdr:row>
      <xdr:rowOff>76200</xdr:rowOff>
    </xdr:from>
    <xdr:to>
      <xdr:col>36</xdr:col>
      <xdr:colOff>81643</xdr:colOff>
      <xdr:row>9</xdr:row>
      <xdr:rowOff>76200</xdr:rowOff>
    </xdr:to>
    <xdr:cxnSp macro="">
      <xdr:nvCxnSpPr>
        <xdr:cNvPr id="23015" name="직선 화살표 연결선 23014">
          <a:extLst>
            <a:ext uri="{FF2B5EF4-FFF2-40B4-BE49-F238E27FC236}">
              <a16:creationId xmlns:a16="http://schemas.microsoft.com/office/drawing/2014/main" id="{26E30982-C8BF-4029-BCFB-C8938E39BB9E}"/>
            </a:ext>
          </a:extLst>
        </xdr:cNvPr>
        <xdr:cNvCxnSpPr/>
      </xdr:nvCxnSpPr>
      <xdr:spPr>
        <a:xfrm>
          <a:off x="13869761" y="1590675"/>
          <a:ext cx="61232"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8</xdr:row>
      <xdr:rowOff>19050</xdr:rowOff>
    </xdr:from>
    <xdr:to>
      <xdr:col>35</xdr:col>
      <xdr:colOff>1270</xdr:colOff>
      <xdr:row>8</xdr:row>
      <xdr:rowOff>133350</xdr:rowOff>
    </xdr:to>
    <xdr:sp macro="" textlink="">
      <xdr:nvSpPr>
        <xdr:cNvPr id="23016" name="5">
          <a:extLst>
            <a:ext uri="{FF2B5EF4-FFF2-40B4-BE49-F238E27FC236}">
              <a16:creationId xmlns:a16="http://schemas.microsoft.com/office/drawing/2014/main" id="{C9DBC108-8714-4C49-8FD7-8F8F5F80E67D}"/>
            </a:ext>
          </a:extLst>
        </xdr:cNvPr>
        <xdr:cNvSpPr/>
      </xdr:nvSpPr>
      <xdr:spPr>
        <a:xfrm>
          <a:off x="13624832" y="1381125"/>
          <a:ext cx="82913" cy="114300"/>
        </a:xfrm>
        <a:prstGeom prst="rect">
          <a:avLst/>
        </a:prstGeom>
        <a:solidFill>
          <a:srgbClr val="2F83FF">
            <a:alpha val="30000"/>
          </a:srgbClr>
        </a:solidFill>
        <a:ln w="6350"/>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8</xdr:row>
      <xdr:rowOff>76200</xdr:rowOff>
    </xdr:from>
    <xdr:to>
      <xdr:col>35</xdr:col>
      <xdr:colOff>0</xdr:colOff>
      <xdr:row>8</xdr:row>
      <xdr:rowOff>76200</xdr:rowOff>
    </xdr:to>
    <xdr:cxnSp macro="">
      <xdr:nvCxnSpPr>
        <xdr:cNvPr id="23017" name="직선 화살표 연결선 23016">
          <a:extLst>
            <a:ext uri="{FF2B5EF4-FFF2-40B4-BE49-F238E27FC236}">
              <a16:creationId xmlns:a16="http://schemas.microsoft.com/office/drawing/2014/main" id="{4C97A10E-F4DE-4347-9F90-FD950D0BC991}"/>
            </a:ext>
          </a:extLst>
        </xdr:cNvPr>
        <xdr:cNvCxnSpPr/>
      </xdr:nvCxnSpPr>
      <xdr:spPr>
        <a:xfrm>
          <a:off x="13624832" y="1438275"/>
          <a:ext cx="81643"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7</xdr:row>
      <xdr:rowOff>19050</xdr:rowOff>
    </xdr:from>
    <xdr:to>
      <xdr:col>36</xdr:col>
      <xdr:colOff>82913</xdr:colOff>
      <xdr:row>7</xdr:row>
      <xdr:rowOff>133350</xdr:rowOff>
    </xdr:to>
    <xdr:sp macro="" textlink="">
      <xdr:nvSpPr>
        <xdr:cNvPr id="23018" name="4">
          <a:extLst>
            <a:ext uri="{FF2B5EF4-FFF2-40B4-BE49-F238E27FC236}">
              <a16:creationId xmlns:a16="http://schemas.microsoft.com/office/drawing/2014/main" id="{AD14818C-1047-45F4-B5BA-EB2C04BA334F}"/>
            </a:ext>
          </a:extLst>
        </xdr:cNvPr>
        <xdr:cNvSpPr/>
      </xdr:nvSpPr>
      <xdr:spPr>
        <a:xfrm>
          <a:off x="13624832" y="1228725"/>
          <a:ext cx="307431"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7</xdr:row>
      <xdr:rowOff>76200</xdr:rowOff>
    </xdr:from>
    <xdr:to>
      <xdr:col>36</xdr:col>
      <xdr:colOff>81643</xdr:colOff>
      <xdr:row>7</xdr:row>
      <xdr:rowOff>76200</xdr:rowOff>
    </xdr:to>
    <xdr:cxnSp macro="">
      <xdr:nvCxnSpPr>
        <xdr:cNvPr id="23019" name="직선 화살표 연결선 23018">
          <a:extLst>
            <a:ext uri="{FF2B5EF4-FFF2-40B4-BE49-F238E27FC236}">
              <a16:creationId xmlns:a16="http://schemas.microsoft.com/office/drawing/2014/main" id="{75719C0C-8BB5-433A-A6ED-BF8697A704F5}"/>
            </a:ext>
          </a:extLst>
        </xdr:cNvPr>
        <xdr:cNvCxnSpPr/>
      </xdr:nvCxnSpPr>
      <xdr:spPr>
        <a:xfrm>
          <a:off x="13624832" y="1285875"/>
          <a:ext cx="306161"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6</xdr:row>
      <xdr:rowOff>19050</xdr:rowOff>
    </xdr:from>
    <xdr:to>
      <xdr:col>38</xdr:col>
      <xdr:colOff>21681</xdr:colOff>
      <xdr:row>6</xdr:row>
      <xdr:rowOff>133350</xdr:rowOff>
    </xdr:to>
    <xdr:sp macro="" textlink="">
      <xdr:nvSpPr>
        <xdr:cNvPr id="23020" name="3">
          <a:extLst>
            <a:ext uri="{FF2B5EF4-FFF2-40B4-BE49-F238E27FC236}">
              <a16:creationId xmlns:a16="http://schemas.microsoft.com/office/drawing/2014/main" id="{37412139-354F-47F2-8B27-05C7F940806F}"/>
            </a:ext>
          </a:extLst>
        </xdr:cNvPr>
        <xdr:cNvSpPr/>
      </xdr:nvSpPr>
      <xdr:spPr>
        <a:xfrm>
          <a:off x="13624832" y="1076325"/>
          <a:ext cx="531949"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6</xdr:row>
      <xdr:rowOff>76200</xdr:rowOff>
    </xdr:from>
    <xdr:to>
      <xdr:col>38</xdr:col>
      <xdr:colOff>20411</xdr:colOff>
      <xdr:row>6</xdr:row>
      <xdr:rowOff>76200</xdr:rowOff>
    </xdr:to>
    <xdr:cxnSp macro="">
      <xdr:nvCxnSpPr>
        <xdr:cNvPr id="23021" name="직선 화살표 연결선 23020">
          <a:extLst>
            <a:ext uri="{FF2B5EF4-FFF2-40B4-BE49-F238E27FC236}">
              <a16:creationId xmlns:a16="http://schemas.microsoft.com/office/drawing/2014/main" id="{555CED02-51DF-4961-856E-7DCEDDD23493}"/>
            </a:ext>
          </a:extLst>
        </xdr:cNvPr>
        <xdr:cNvCxnSpPr/>
      </xdr:nvCxnSpPr>
      <xdr:spPr>
        <a:xfrm>
          <a:off x="13624832" y="1133475"/>
          <a:ext cx="530679"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34</xdr:col>
      <xdr:colOff>61232</xdr:colOff>
      <xdr:row>5</xdr:row>
      <xdr:rowOff>19050</xdr:rowOff>
    </xdr:from>
    <xdr:to>
      <xdr:col>39</xdr:col>
      <xdr:colOff>82913</xdr:colOff>
      <xdr:row>5</xdr:row>
      <xdr:rowOff>133350</xdr:rowOff>
    </xdr:to>
    <xdr:sp macro="" textlink="">
      <xdr:nvSpPr>
        <xdr:cNvPr id="23022" name="2">
          <a:extLst>
            <a:ext uri="{FF2B5EF4-FFF2-40B4-BE49-F238E27FC236}">
              <a16:creationId xmlns:a16="http://schemas.microsoft.com/office/drawing/2014/main" id="{C4757BAD-B79C-4CD0-A13B-FA79DE614629}"/>
            </a:ext>
          </a:extLst>
        </xdr:cNvPr>
        <xdr:cNvSpPr/>
      </xdr:nvSpPr>
      <xdr:spPr>
        <a:xfrm>
          <a:off x="13624832" y="923925"/>
          <a:ext cx="736056"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34</xdr:col>
      <xdr:colOff>61232</xdr:colOff>
      <xdr:row>5</xdr:row>
      <xdr:rowOff>76200</xdr:rowOff>
    </xdr:from>
    <xdr:to>
      <xdr:col>38</xdr:col>
      <xdr:colOff>105116</xdr:colOff>
      <xdr:row>5</xdr:row>
      <xdr:rowOff>76200</xdr:rowOff>
    </xdr:to>
    <xdr:cxnSp macro="">
      <xdr:nvCxnSpPr>
        <xdr:cNvPr id="23023" name="직선 화살표 연결선 23022">
          <a:extLst>
            <a:ext uri="{FF2B5EF4-FFF2-40B4-BE49-F238E27FC236}">
              <a16:creationId xmlns:a16="http://schemas.microsoft.com/office/drawing/2014/main" id="{4A4F1647-3656-4E07-80DD-9AE0EA49782B}"/>
            </a:ext>
          </a:extLst>
        </xdr:cNvPr>
        <xdr:cNvCxnSpPr/>
      </xdr:nvCxnSpPr>
      <xdr:spPr>
        <a:xfrm>
          <a:off x="13624832" y="981075"/>
          <a:ext cx="615384"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31</xdr:col>
      <xdr:colOff>81643</xdr:colOff>
      <xdr:row>4</xdr:row>
      <xdr:rowOff>19050</xdr:rowOff>
    </xdr:from>
    <xdr:to>
      <xdr:col>39</xdr:col>
      <xdr:colOff>82913</xdr:colOff>
      <xdr:row>4</xdr:row>
      <xdr:rowOff>133350</xdr:rowOff>
    </xdr:to>
    <xdr:sp macro="" textlink="">
      <xdr:nvSpPr>
        <xdr:cNvPr id="23024" name="1">
          <a:extLst>
            <a:ext uri="{FF2B5EF4-FFF2-40B4-BE49-F238E27FC236}">
              <a16:creationId xmlns:a16="http://schemas.microsoft.com/office/drawing/2014/main" id="{591C60A5-8B7C-4371-BC57-4EC03AA5CFA4}"/>
            </a:ext>
          </a:extLst>
        </xdr:cNvPr>
        <xdr:cNvSpPr/>
      </xdr:nvSpPr>
      <xdr:spPr>
        <a:xfrm>
          <a:off x="13216618" y="771525"/>
          <a:ext cx="1144270" cy="114300"/>
        </a:xfrm>
        <a:prstGeom prst="rect">
          <a:avLst/>
        </a:prstGeom>
        <a:solidFill>
          <a:srgbClr val="FFC000">
            <a:alpha val="30000"/>
          </a:srgbClr>
        </a:solidFill>
        <a:ln w="635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ko-KR" altLang="en-US" sz="1100"/>
        </a:p>
      </xdr:txBody>
    </xdr:sp>
    <xdr:clientData/>
  </xdr:twoCellAnchor>
  <xdr:twoCellAnchor>
    <xdr:from>
      <xdr:col>31</xdr:col>
      <xdr:colOff>81643</xdr:colOff>
      <xdr:row>4</xdr:row>
      <xdr:rowOff>76200</xdr:rowOff>
    </xdr:from>
    <xdr:to>
      <xdr:col>36</xdr:col>
      <xdr:colOff>142354</xdr:colOff>
      <xdr:row>4</xdr:row>
      <xdr:rowOff>76200</xdr:rowOff>
    </xdr:to>
    <xdr:cxnSp macro="">
      <xdr:nvCxnSpPr>
        <xdr:cNvPr id="23025" name="직선 화살표 연결선 23024">
          <a:extLst>
            <a:ext uri="{FF2B5EF4-FFF2-40B4-BE49-F238E27FC236}">
              <a16:creationId xmlns:a16="http://schemas.microsoft.com/office/drawing/2014/main" id="{C180E590-59AC-471E-807E-085B9DCF6024}"/>
            </a:ext>
          </a:extLst>
        </xdr:cNvPr>
        <xdr:cNvCxnSpPr/>
      </xdr:nvCxnSpPr>
      <xdr:spPr>
        <a:xfrm>
          <a:off x="13216618" y="828675"/>
          <a:ext cx="775086" cy="0"/>
        </a:xfrm>
        <a:prstGeom prst="straightConnector1">
          <a:avLst/>
        </a:prstGeom>
        <a:ln w="31750" cap="flat" cmpd="sng" algn="ctr">
          <a:solidFill>
            <a:srgbClr val="0066FF">
              <a:alpha val="80000"/>
            </a:srgbClr>
          </a:solidFill>
          <a:prstDash val="solid"/>
          <a:miter lim="800000"/>
          <a:headEnd type="none" w="med" len="med"/>
          <a:tailEnd type="none" w="med" len="med"/>
        </a:ln>
      </xdr:spPr>
      <xdr:style>
        <a:lnRef idx="1">
          <a:schemeClr val="accent1"/>
        </a:lnRef>
        <a:fillRef idx="0">
          <a:schemeClr val="accent1"/>
        </a:fillRef>
        <a:effectRef idx="0">
          <a:schemeClr val="accent1"/>
        </a:effectRef>
        <a:fontRef idx="minor">
          <a:schemeClr val="tx1"/>
        </a:fontRef>
      </xdr:style>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xlworks.net/en/xlgantt-project-scheduler/" TargetMode="External"/></Relationships>
</file>

<file path=xl/worksheets/_rels/sheet2.xml.rels><?xml version="1.0" encoding="UTF-8" standalone="yes"?>
<Relationships xmlns="http://schemas.openxmlformats.org/package/2006/relationships"><Relationship Id="rId8" Type="http://schemas.openxmlformats.org/officeDocument/2006/relationships/hyperlink" Target="https://xlworks.net/xlgantt-howto-09-multilingual-support/" TargetMode="External"/><Relationship Id="rId13" Type="http://schemas.openxmlformats.org/officeDocument/2006/relationships/hyperlink" Target="https://xlworks.net/xlgantt-howto-13-server-data/" TargetMode="External"/><Relationship Id="rId3" Type="http://schemas.openxmlformats.org/officeDocument/2006/relationships/hyperlink" Target="https://xlworks.net/xlgantt-howto-03-gantt-chart/" TargetMode="External"/><Relationship Id="rId7" Type="http://schemas.openxmlformats.org/officeDocument/2006/relationships/hyperlink" Target="https://xlworks.net/xlgantt-howto-08-add-tasks-to-outlook/" TargetMode="External"/><Relationship Id="rId12" Type="http://schemas.openxmlformats.org/officeDocument/2006/relationships/hyperlink" Target="https://xlworks.net/xlgantt-howto-04-project-progress/" TargetMode="External"/><Relationship Id="rId2" Type="http://schemas.openxmlformats.org/officeDocument/2006/relationships/hyperlink" Target="https://xlworks.net/xlgantt-howto-02-task/" TargetMode="External"/><Relationship Id="rId16" Type="http://schemas.openxmlformats.org/officeDocument/2006/relationships/printerSettings" Target="../printerSettings/printerSettings2.bin"/><Relationship Id="rId1" Type="http://schemas.openxmlformats.org/officeDocument/2006/relationships/hyperlink" Target="https://xlworks.net/xlgantt-easy-tip/" TargetMode="External"/><Relationship Id="rId6" Type="http://schemas.openxmlformats.org/officeDocument/2006/relationships/hyperlink" Target="https://xlworks.net/xlgantt-howto-07-deliverables/" TargetMode="External"/><Relationship Id="rId11" Type="http://schemas.openxmlformats.org/officeDocument/2006/relationships/hyperlink" Target="https://xlworks.net/xlgantt-howto-12-integration-with-excel/" TargetMode="External"/><Relationship Id="rId5" Type="http://schemas.openxmlformats.org/officeDocument/2006/relationships/hyperlink" Target="https://xlworks.net/xlgantt-howto-06-schedule-change-management/" TargetMode="External"/><Relationship Id="rId15" Type="http://schemas.openxmlformats.org/officeDocument/2006/relationships/hyperlink" Target="https://xlworks.net/xlgantt-project-scheduler/" TargetMode="External"/><Relationship Id="rId10" Type="http://schemas.openxmlformats.org/officeDocument/2006/relationships/hyperlink" Target="https://xlworks.net/xlgantt-howto-11-calendar/" TargetMode="External"/><Relationship Id="rId4" Type="http://schemas.openxmlformats.org/officeDocument/2006/relationships/hyperlink" Target="https://xlworks.net/xlgantt-howto-05-analysis-report/" TargetMode="External"/><Relationship Id="rId9" Type="http://schemas.openxmlformats.org/officeDocument/2006/relationships/hyperlink" Target="https://xlworks.net/xlgantt-howto-10-import-schedule/" TargetMode="External"/><Relationship Id="rId14" Type="http://schemas.openxmlformats.org/officeDocument/2006/relationships/hyperlink" Target="https://xlworks.net/xlgantt-project-scheduler/" TargetMode="Externa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hyperlink" Target="https://xlworks.net/xlgantt-project-scheduler/"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4"/>
  <dimension ref="A1:BL15"/>
  <sheetViews>
    <sheetView zoomScaleNormal="100" workbookViewId="0">
      <selection activeCell="C30" sqref="C30"/>
    </sheetView>
  </sheetViews>
  <sheetFormatPr defaultColWidth="10" defaultRowHeight="12.75"/>
  <cols>
    <col min="1" max="1" width="27.625" style="73" bestFit="1" customWidth="1"/>
    <col min="2" max="2" width="35.625" style="70" bestFit="1" customWidth="1"/>
    <col min="3" max="3" width="53.25" style="70" bestFit="1" customWidth="1"/>
    <col min="4" max="4" width="27.25" style="70" bestFit="1" customWidth="1"/>
    <col min="5" max="5" width="12.75" style="70" bestFit="1" customWidth="1"/>
    <col min="6" max="6" width="21.25" style="70" bestFit="1" customWidth="1"/>
    <col min="7" max="7" width="25.125" style="73" bestFit="1" customWidth="1"/>
    <col min="8" max="8" width="23.625" style="73" bestFit="1" customWidth="1"/>
    <col min="9" max="9" width="9.5" style="73" bestFit="1" customWidth="1"/>
    <col min="10" max="10" width="22.5" style="73" bestFit="1" customWidth="1"/>
    <col min="11" max="11" width="60.75" style="73" bestFit="1" customWidth="1"/>
    <col min="12" max="12" width="25.125" style="73" bestFit="1" customWidth="1"/>
    <col min="13" max="13" width="4.75" style="73" bestFit="1" customWidth="1"/>
    <col min="14" max="14" width="23" style="73" bestFit="1" customWidth="1"/>
    <col min="15" max="15" width="8" style="73" bestFit="1" customWidth="1"/>
    <col min="16" max="16" width="28.375" style="73" bestFit="1" customWidth="1"/>
    <col min="17" max="17" width="6" style="73" bestFit="1" customWidth="1"/>
    <col min="18" max="18" width="27.75" style="73" bestFit="1" customWidth="1"/>
    <col min="19" max="19" width="4.75" style="73" bestFit="1" customWidth="1"/>
    <col min="20" max="20" width="24.375" style="73" bestFit="1" customWidth="1"/>
    <col min="21" max="21" width="4.25" style="73" bestFit="1" customWidth="1"/>
    <col min="22" max="22" width="28.875" style="73" bestFit="1" customWidth="1"/>
    <col min="23" max="23" width="8" style="73" bestFit="1" customWidth="1"/>
    <col min="24" max="24" width="22.625" style="73" bestFit="1" customWidth="1"/>
    <col min="25" max="25" width="4.875" style="73" bestFit="1" customWidth="1"/>
    <col min="26" max="26" width="24.375" style="73" bestFit="1" customWidth="1"/>
    <col min="27" max="27" width="7.375" style="73" hidden="1" customWidth="1"/>
    <col min="28" max="28" width="19.75" style="73" bestFit="1" customWidth="1"/>
    <col min="29" max="29" width="4.25" style="73" bestFit="1" customWidth="1"/>
    <col min="30" max="30" width="15.375" style="73" bestFit="1" customWidth="1"/>
    <col min="31" max="31" width="39.625" style="73" bestFit="1" customWidth="1"/>
    <col min="32" max="32" width="35.75" style="73" bestFit="1" customWidth="1"/>
    <col min="33" max="33" width="4.875" style="73" bestFit="1" customWidth="1"/>
    <col min="34" max="34" width="24.25" style="73" bestFit="1" customWidth="1"/>
    <col min="35" max="35" width="8.75" style="73" bestFit="1" customWidth="1"/>
    <col min="36" max="36" width="26" style="73" bestFit="1" customWidth="1"/>
    <col min="37" max="37" width="4.625" style="73" bestFit="1" customWidth="1"/>
    <col min="38" max="38" width="35.625" style="73" bestFit="1" customWidth="1"/>
    <col min="39" max="39" width="33.375" style="73" bestFit="1" customWidth="1"/>
    <col min="40" max="40" width="22.625" style="73" bestFit="1" customWidth="1"/>
    <col min="41" max="41" width="5.25" style="73" bestFit="1" customWidth="1"/>
    <col min="42" max="42" width="16.625" style="73" bestFit="1" customWidth="1"/>
    <col min="43" max="43" width="93.375" style="73" bestFit="1" customWidth="1"/>
    <col min="44" max="44" width="21" style="73" bestFit="1" customWidth="1"/>
    <col min="45" max="45" width="5.5" style="73" bestFit="1" customWidth="1"/>
    <col min="46" max="46" width="14.875" style="73" bestFit="1" customWidth="1"/>
    <col min="47" max="47" width="28.625" style="73" bestFit="1" customWidth="1"/>
    <col min="48" max="48" width="22.625" style="73" bestFit="1" customWidth="1"/>
    <col min="49" max="49" width="4.875" style="73" bestFit="1" customWidth="1"/>
    <col min="50" max="50" width="15.625" style="73" bestFit="1" customWidth="1"/>
    <col min="51" max="51" width="10" style="73"/>
    <col min="52" max="52" width="13.125" style="73" bestFit="1" customWidth="1"/>
    <col min="53" max="53" width="10" style="73"/>
    <col min="54" max="54" width="14.875" style="73" bestFit="1" customWidth="1"/>
    <col min="55" max="55" width="10" style="73"/>
    <col min="56" max="56" width="22.625" style="73" bestFit="1" customWidth="1"/>
    <col min="57" max="57" width="10" style="73"/>
    <col min="58" max="58" width="15.625" style="73" bestFit="1" customWidth="1"/>
    <col min="59" max="59" width="10" style="73"/>
    <col min="60" max="60" width="13.125" style="73" bestFit="1" customWidth="1"/>
    <col min="61" max="61" width="10" style="73"/>
    <col min="62" max="62" width="14.875" style="73" bestFit="1" customWidth="1"/>
    <col min="63" max="63" width="10" style="73"/>
    <col min="64" max="64" width="22.625" style="73" bestFit="1" customWidth="1"/>
    <col min="65" max="65" width="10" style="73"/>
    <col min="66" max="66" width="33.75" style="73" bestFit="1" customWidth="1"/>
    <col min="67" max="16384" width="10" style="73"/>
  </cols>
  <sheetData>
    <row r="1" spans="1:64" s="70" customFormat="1">
      <c r="A1" s="69" t="s">
        <v>3</v>
      </c>
      <c r="B1" s="69" t="s">
        <v>4</v>
      </c>
      <c r="C1" s="69" t="s">
        <v>5</v>
      </c>
      <c r="D1" s="69" t="s">
        <v>6</v>
      </c>
      <c r="E1" s="69" t="s">
        <v>7</v>
      </c>
      <c r="F1" s="69" t="s">
        <v>8</v>
      </c>
    </row>
    <row r="2" spans="1:64">
      <c r="A2" s="71" t="s">
        <v>9</v>
      </c>
      <c r="B2" s="72" t="s">
        <v>10</v>
      </c>
      <c r="C2" s="72"/>
      <c r="D2" s="72"/>
      <c r="E2" s="72" t="s">
        <v>11</v>
      </c>
      <c r="F2" s="72"/>
    </row>
    <row r="3" spans="1:64">
      <c r="A3" s="71" t="s">
        <v>384</v>
      </c>
      <c r="B3" s="72" t="s">
        <v>10</v>
      </c>
      <c r="C3" s="72"/>
      <c r="D3" s="72"/>
      <c r="E3" s="72" t="s">
        <v>11</v>
      </c>
      <c r="F3" s="72"/>
    </row>
    <row r="4" spans="1:64">
      <c r="A4" s="71" t="s">
        <v>12</v>
      </c>
      <c r="B4" s="82" t="s">
        <v>385</v>
      </c>
      <c r="C4" s="72"/>
      <c r="D4" s="72"/>
      <c r="E4" s="72" t="s">
        <v>11</v>
      </c>
      <c r="F4" s="72"/>
    </row>
    <row r="5" spans="1:64">
      <c r="A5" s="71" t="s">
        <v>13</v>
      </c>
      <c r="B5" s="72" t="s">
        <v>14</v>
      </c>
      <c r="C5" s="72"/>
      <c r="D5" s="72"/>
      <c r="E5" s="72" t="s">
        <v>11</v>
      </c>
      <c r="F5" s="72"/>
    </row>
    <row r="6" spans="1:64" ht="13.5">
      <c r="A6" s="71" t="s">
        <v>15</v>
      </c>
      <c r="B6" s="215" t="s">
        <v>1394</v>
      </c>
      <c r="C6" s="72"/>
      <c r="D6" s="72"/>
      <c r="E6" s="72" t="s">
        <v>11</v>
      </c>
      <c r="F6" s="72"/>
    </row>
    <row r="7" spans="1:64">
      <c r="A7" s="71" t="s">
        <v>16</v>
      </c>
      <c r="B7" s="71" t="s">
        <v>10</v>
      </c>
      <c r="C7" s="72"/>
      <c r="D7" s="72"/>
      <c r="E7" s="72" t="s">
        <v>11</v>
      </c>
      <c r="F7" s="72"/>
    </row>
    <row r="8" spans="1:64">
      <c r="A8" s="71" t="s">
        <v>17</v>
      </c>
      <c r="B8" s="74" t="s">
        <v>1523</v>
      </c>
      <c r="C8" s="72" t="s">
        <v>1674</v>
      </c>
      <c r="D8" s="72">
        <v>82</v>
      </c>
      <c r="E8" s="72" t="s">
        <v>18</v>
      </c>
      <c r="F8" s="72"/>
    </row>
    <row r="9" spans="1:64">
      <c r="A9" s="71" t="s">
        <v>19</v>
      </c>
      <c r="B9" s="75">
        <v>44346</v>
      </c>
      <c r="C9" s="72"/>
      <c r="D9" s="72"/>
      <c r="E9" s="72" t="s">
        <v>11</v>
      </c>
      <c r="F9" s="72"/>
    </row>
    <row r="10" spans="1:64">
      <c r="A10" s="76" t="s">
        <v>20</v>
      </c>
      <c r="B10" s="77" t="s">
        <v>21</v>
      </c>
      <c r="C10" s="77"/>
      <c r="D10" s="77"/>
      <c r="E10" s="77" t="s">
        <v>11</v>
      </c>
      <c r="F10" s="77"/>
    </row>
    <row r="11" spans="1:64">
      <c r="A11" s="73" t="s">
        <v>386</v>
      </c>
      <c r="B11" s="78" t="s">
        <v>22</v>
      </c>
      <c r="C11" s="70" t="s">
        <v>1543</v>
      </c>
      <c r="D11" s="70" t="s">
        <v>23</v>
      </c>
      <c r="E11" s="79">
        <v>1</v>
      </c>
      <c r="F11" s="80" t="s">
        <v>24</v>
      </c>
      <c r="G11" s="81">
        <v>44532</v>
      </c>
      <c r="H11" s="80" t="s">
        <v>25</v>
      </c>
      <c r="I11" s="81">
        <v>44587</v>
      </c>
      <c r="J11" s="73" t="s">
        <v>403</v>
      </c>
      <c r="K11" s="73" t="s">
        <v>1675</v>
      </c>
      <c r="L11" s="73" t="s">
        <v>400</v>
      </c>
      <c r="M11" s="73">
        <v>1</v>
      </c>
      <c r="N11" s="78" t="s">
        <v>26</v>
      </c>
      <c r="O11" s="70">
        <v>0</v>
      </c>
      <c r="P11" s="70" t="s">
        <v>27</v>
      </c>
      <c r="Q11" s="78" t="s">
        <v>1544</v>
      </c>
      <c r="R11" s="73" t="s">
        <v>405</v>
      </c>
      <c r="S11" s="73">
        <v>1</v>
      </c>
      <c r="T11" s="73" t="s">
        <v>410</v>
      </c>
      <c r="U11" s="73">
        <v>1</v>
      </c>
      <c r="V11" s="73" t="s">
        <v>411</v>
      </c>
      <c r="W11" s="73">
        <v>1</v>
      </c>
      <c r="X11" s="73" t="s">
        <v>414</v>
      </c>
      <c r="Y11" s="73">
        <v>1</v>
      </c>
      <c r="Z11" s="73" t="s">
        <v>553</v>
      </c>
      <c r="AA11" s="73">
        <v>0</v>
      </c>
      <c r="AB11" s="73" t="s">
        <v>955</v>
      </c>
      <c r="AC11" s="73">
        <v>0</v>
      </c>
      <c r="AD11" s="73" t="s">
        <v>989</v>
      </c>
      <c r="AE11" s="73">
        <v>1</v>
      </c>
      <c r="AF11" s="73" t="s">
        <v>1239</v>
      </c>
      <c r="AG11" s="73">
        <v>1</v>
      </c>
    </row>
    <row r="12" spans="1:64">
      <c r="A12" s="73" t="s">
        <v>389</v>
      </c>
      <c r="B12" s="73" t="s">
        <v>390</v>
      </c>
      <c r="C12" s="73">
        <v>1</v>
      </c>
      <c r="D12" s="73" t="s">
        <v>391</v>
      </c>
      <c r="E12" s="73">
        <v>1</v>
      </c>
      <c r="F12" s="73" t="s">
        <v>392</v>
      </c>
      <c r="G12" s="73">
        <v>0</v>
      </c>
      <c r="H12" s="73" t="s">
        <v>393</v>
      </c>
      <c r="I12" s="73">
        <v>1</v>
      </c>
      <c r="J12" s="73" t="s">
        <v>394</v>
      </c>
      <c r="K12" s="73">
        <v>0.7</v>
      </c>
      <c r="L12" s="73" t="s">
        <v>395</v>
      </c>
      <c r="M12" s="73">
        <v>2</v>
      </c>
      <c r="N12" s="73" t="s">
        <v>396</v>
      </c>
      <c r="O12" s="73">
        <v>1</v>
      </c>
      <c r="P12" s="73" t="s">
        <v>399</v>
      </c>
      <c r="Q12" s="73">
        <v>1</v>
      </c>
      <c r="R12" s="73" t="s">
        <v>406</v>
      </c>
      <c r="S12" s="73">
        <v>7</v>
      </c>
      <c r="T12" s="73" t="s">
        <v>407</v>
      </c>
      <c r="U12" s="73">
        <v>0</v>
      </c>
      <c r="V12" s="73" t="s">
        <v>408</v>
      </c>
      <c r="W12" s="73">
        <v>100</v>
      </c>
      <c r="X12" s="73" t="s">
        <v>409</v>
      </c>
      <c r="Y12" s="73">
        <v>0</v>
      </c>
      <c r="Z12" s="73" t="s">
        <v>412</v>
      </c>
      <c r="AA12" s="73">
        <v>1</v>
      </c>
      <c r="AB12" s="73" t="s">
        <v>413</v>
      </c>
      <c r="AC12" s="73">
        <v>1</v>
      </c>
      <c r="AD12" s="73" t="s">
        <v>526</v>
      </c>
      <c r="AE12" s="73">
        <v>1</v>
      </c>
      <c r="AF12" s="73" t="s">
        <v>539</v>
      </c>
      <c r="AG12" s="73">
        <v>2</v>
      </c>
      <c r="AH12" s="73" t="s">
        <v>962</v>
      </c>
      <c r="AI12" s="73">
        <v>9</v>
      </c>
      <c r="AJ12" s="73" t="s">
        <v>1235</v>
      </c>
      <c r="AK12" s="73">
        <v>1</v>
      </c>
      <c r="AL12" s="73" t="s">
        <v>1236</v>
      </c>
      <c r="AM12" s="73">
        <v>1</v>
      </c>
      <c r="AN12" s="73" t="s">
        <v>1237</v>
      </c>
      <c r="AO12" s="73">
        <v>1</v>
      </c>
      <c r="AP12" s="73" t="s">
        <v>1238</v>
      </c>
      <c r="AQ12" s="135" t="s">
        <v>1348</v>
      </c>
      <c r="AR12" s="73" t="s">
        <v>1385</v>
      </c>
      <c r="AS12" s="73">
        <v>-4131</v>
      </c>
    </row>
    <row r="13" spans="1:64">
      <c r="A13" s="72" t="s">
        <v>387</v>
      </c>
      <c r="B13" s="78" t="s">
        <v>28</v>
      </c>
      <c r="C13" s="70">
        <v>1</v>
      </c>
      <c r="D13" s="78" t="s">
        <v>29</v>
      </c>
      <c r="E13" s="70" t="s">
        <v>1545</v>
      </c>
      <c r="F13" s="70" t="s">
        <v>30</v>
      </c>
      <c r="G13" s="80" t="s">
        <v>1546</v>
      </c>
      <c r="H13" s="80" t="s">
        <v>31</v>
      </c>
      <c r="I13" s="73" t="s">
        <v>528</v>
      </c>
    </row>
    <row r="14" spans="1:64">
      <c r="A14" s="72" t="s">
        <v>388</v>
      </c>
      <c r="B14" s="79" t="s">
        <v>32</v>
      </c>
      <c r="C14" s="79" t="s">
        <v>1547</v>
      </c>
      <c r="D14" s="79" t="s">
        <v>33</v>
      </c>
      <c r="E14" s="79" t="s">
        <v>1548</v>
      </c>
      <c r="F14" s="79" t="s">
        <v>34</v>
      </c>
      <c r="G14" s="79" t="s">
        <v>1549</v>
      </c>
      <c r="H14" s="79" t="s">
        <v>35</v>
      </c>
      <c r="I14" s="79" t="b">
        <v>0</v>
      </c>
      <c r="J14" s="79" t="s">
        <v>36</v>
      </c>
      <c r="K14" s="79" t="s">
        <v>1550</v>
      </c>
      <c r="L14" s="79" t="s">
        <v>37</v>
      </c>
      <c r="M14" s="79" t="s">
        <v>1551</v>
      </c>
      <c r="N14" s="79" t="s">
        <v>38</v>
      </c>
      <c r="O14" s="79" t="s">
        <v>1549</v>
      </c>
      <c r="P14" s="79" t="s">
        <v>39</v>
      </c>
      <c r="Q14" s="79" t="b">
        <v>0</v>
      </c>
      <c r="R14" s="79" t="s">
        <v>40</v>
      </c>
      <c r="S14" s="79" t="s">
        <v>1552</v>
      </c>
      <c r="T14" s="79" t="s">
        <v>41</v>
      </c>
      <c r="U14" s="79" t="s">
        <v>1553</v>
      </c>
      <c r="V14" s="79" t="s">
        <v>42</v>
      </c>
      <c r="W14" s="79" t="s">
        <v>1549</v>
      </c>
      <c r="X14" s="79" t="s">
        <v>43</v>
      </c>
      <c r="Y14" s="79" t="b">
        <v>1</v>
      </c>
      <c r="Z14" s="79" t="s">
        <v>44</v>
      </c>
      <c r="AA14" s="79" t="s">
        <v>1554</v>
      </c>
      <c r="AB14" s="79" t="s">
        <v>45</v>
      </c>
      <c r="AC14" s="79" t="s">
        <v>1555</v>
      </c>
      <c r="AD14" s="79" t="s">
        <v>46</v>
      </c>
      <c r="AE14" s="79" t="s">
        <v>1556</v>
      </c>
      <c r="AF14" s="79" t="s">
        <v>47</v>
      </c>
      <c r="AG14" s="79" t="b">
        <v>1</v>
      </c>
      <c r="AH14" s="79" t="s">
        <v>48</v>
      </c>
      <c r="AI14" s="79" t="s">
        <v>1557</v>
      </c>
      <c r="AJ14" s="79" t="s">
        <v>49</v>
      </c>
      <c r="AK14" s="79" t="s">
        <v>1558</v>
      </c>
      <c r="AL14" s="79" t="s">
        <v>50</v>
      </c>
      <c r="AM14" s="79" t="s">
        <v>1559</v>
      </c>
      <c r="AN14" s="79" t="s">
        <v>51</v>
      </c>
      <c r="AO14" s="79" t="b">
        <v>0</v>
      </c>
      <c r="AP14" s="79" t="s">
        <v>52</v>
      </c>
      <c r="AQ14" s="79" t="s">
        <v>1560</v>
      </c>
      <c r="AR14" s="79" t="s">
        <v>53</v>
      </c>
      <c r="AS14" s="79" t="s">
        <v>1561</v>
      </c>
      <c r="AT14" s="79" t="s">
        <v>54</v>
      </c>
      <c r="AU14" s="79" t="s">
        <v>1562</v>
      </c>
      <c r="AV14" s="79" t="s">
        <v>55</v>
      </c>
      <c r="AW14" s="79" t="b">
        <v>1</v>
      </c>
      <c r="AX14" s="73" t="s">
        <v>56</v>
      </c>
      <c r="AZ14" s="73" t="s">
        <v>57</v>
      </c>
      <c r="BB14" s="73" t="s">
        <v>58</v>
      </c>
      <c r="BD14" s="73" t="s">
        <v>59</v>
      </c>
      <c r="BF14" s="73" t="s">
        <v>60</v>
      </c>
      <c r="BH14" s="73" t="s">
        <v>61</v>
      </c>
      <c r="BJ14" s="73" t="s">
        <v>62</v>
      </c>
      <c r="BL14" s="73" t="s">
        <v>63</v>
      </c>
    </row>
    <row r="15" spans="1:64">
      <c r="A15" s="72" t="s">
        <v>404</v>
      </c>
      <c r="B15" s="73" t="s">
        <v>397</v>
      </c>
      <c r="C15" s="73">
        <v>1</v>
      </c>
      <c r="D15" s="73" t="s">
        <v>398</v>
      </c>
      <c r="E15" s="73">
        <v>82</v>
      </c>
      <c r="F15" s="73" t="s">
        <v>401</v>
      </c>
      <c r="G15" s="73" t="s">
        <v>1564</v>
      </c>
      <c r="H15" s="73" t="s">
        <v>402</v>
      </c>
      <c r="I15" s="73">
        <v>82</v>
      </c>
    </row>
  </sheetData>
  <phoneticPr fontId="2" type="noConversion"/>
  <hyperlinks>
    <hyperlink ref="B6" r:id="rId1" xr:uid="{00000000-0004-0000-0000-000000000000}"/>
  </hyperlinks>
  <pageMargins left="0.7" right="0.7" top="0.75" bottom="0.75" header="0.3" footer="0.3"/>
  <pageSetup paperSize="9" orientation="portrait"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theme="0"/>
  </sheetPr>
  <dimension ref="A1:M34"/>
  <sheetViews>
    <sheetView showGridLines="0" zoomScale="90" zoomScaleNormal="90" workbookViewId="0">
      <selection activeCell="L19" sqref="L19"/>
    </sheetView>
  </sheetViews>
  <sheetFormatPr defaultRowHeight="15.75"/>
  <cols>
    <col min="1" max="1" width="5.875" style="103" customWidth="1"/>
    <col min="2" max="2" width="29.875" style="125" customWidth="1"/>
    <col min="3" max="3" width="1.25" style="103" customWidth="1"/>
    <col min="4" max="11" width="9" style="103"/>
    <col min="12" max="12" width="19.5" style="103" customWidth="1"/>
    <col min="13" max="21" width="9" style="103"/>
    <col min="22" max="22" width="0" style="103" hidden="1" customWidth="1"/>
    <col min="23" max="26" width="9" style="103"/>
    <col min="27" max="27" width="0" style="103" hidden="1" customWidth="1"/>
    <col min="28" max="16384" width="9" style="103"/>
  </cols>
  <sheetData>
    <row r="1" spans="1:13" ht="20.25" customHeight="1">
      <c r="A1" s="255" t="s">
        <v>1396</v>
      </c>
      <c r="B1" s="256"/>
      <c r="C1" s="256"/>
      <c r="D1" s="256"/>
      <c r="E1" s="256"/>
      <c r="F1" s="256"/>
      <c r="G1" s="256"/>
      <c r="H1" s="182"/>
      <c r="I1" s="182"/>
      <c r="J1" s="262" t="s">
        <v>1525</v>
      </c>
      <c r="K1" s="263"/>
      <c r="L1" s="263"/>
      <c r="M1" s="183"/>
    </row>
    <row r="2" spans="1:13" s="104" customFormat="1" ht="33.75" customHeight="1">
      <c r="A2" s="257"/>
      <c r="B2" s="258"/>
      <c r="C2" s="258"/>
      <c r="D2" s="258"/>
      <c r="E2" s="258"/>
      <c r="F2" s="258"/>
      <c r="G2" s="258"/>
      <c r="H2" s="266" t="s">
        <v>1397</v>
      </c>
      <c r="I2" s="267"/>
      <c r="J2" s="267"/>
      <c r="K2" s="267"/>
      <c r="L2" s="267"/>
      <c r="M2" s="184"/>
    </row>
    <row r="4" spans="1:13" ht="17.25" customHeight="1">
      <c r="B4" s="264" t="s">
        <v>1398</v>
      </c>
      <c r="C4" s="264"/>
      <c r="D4" s="264"/>
      <c r="E4" s="264"/>
      <c r="F4" s="264"/>
      <c r="G4" s="264"/>
      <c r="H4" s="264"/>
      <c r="I4" s="264"/>
      <c r="J4" s="264"/>
      <c r="K4" s="264"/>
      <c r="L4" s="264"/>
    </row>
    <row r="5" spans="1:13" ht="27.75" customHeight="1">
      <c r="B5" s="264"/>
      <c r="C5" s="264"/>
      <c r="D5" s="264"/>
      <c r="E5" s="264"/>
      <c r="F5" s="264"/>
      <c r="G5" s="264"/>
      <c r="H5" s="264"/>
      <c r="I5" s="264"/>
      <c r="J5" s="264"/>
      <c r="K5" s="264"/>
      <c r="L5" s="264"/>
    </row>
    <row r="6" spans="1:13" s="104" customFormat="1" ht="12.75">
      <c r="B6" s="105"/>
    </row>
    <row r="7" spans="1:13" s="104" customFormat="1" ht="18.75">
      <c r="B7" s="106" t="s">
        <v>1399</v>
      </c>
      <c r="D7" s="107"/>
    </row>
    <row r="8" spans="1:13" s="104" customFormat="1" ht="7.5" customHeight="1">
      <c r="B8" s="105"/>
    </row>
    <row r="9" spans="1:13" s="104" customFormat="1" ht="34.5" customHeight="1" thickBot="1">
      <c r="A9" s="108"/>
      <c r="B9" s="109" t="s">
        <v>533</v>
      </c>
      <c r="C9" s="108"/>
      <c r="D9" s="260" t="s">
        <v>1131</v>
      </c>
      <c r="E9" s="260"/>
      <c r="F9" s="260"/>
      <c r="G9" s="260"/>
      <c r="H9" s="260"/>
      <c r="I9" s="260"/>
      <c r="J9" s="260"/>
      <c r="K9" s="260"/>
      <c r="L9" s="260"/>
    </row>
    <row r="10" spans="1:13" s="104" customFormat="1" ht="27.75" customHeight="1" thickTop="1" thickBot="1">
      <c r="A10" s="108"/>
      <c r="B10" s="110" t="s">
        <v>534</v>
      </c>
      <c r="C10" s="108"/>
      <c r="D10" s="260" t="s">
        <v>1400</v>
      </c>
      <c r="E10" s="260"/>
      <c r="F10" s="260"/>
      <c r="G10" s="260"/>
      <c r="H10" s="260"/>
      <c r="I10" s="260"/>
      <c r="J10" s="260"/>
      <c r="K10" s="260"/>
      <c r="L10" s="260"/>
    </row>
    <row r="11" spans="1:13" s="104" customFormat="1" ht="27.75" customHeight="1" thickTop="1" thickBot="1">
      <c r="A11" s="108"/>
      <c r="B11" s="111" t="s">
        <v>535</v>
      </c>
      <c r="C11" s="108"/>
      <c r="D11" s="260" t="s">
        <v>1401</v>
      </c>
      <c r="E11" s="260"/>
      <c r="F11" s="260"/>
      <c r="G11" s="260"/>
      <c r="H11" s="260"/>
      <c r="I11" s="260"/>
      <c r="J11" s="260"/>
      <c r="K11" s="260"/>
      <c r="L11" s="260"/>
    </row>
    <row r="12" spans="1:13" s="104" customFormat="1" ht="27.75" customHeight="1" thickTop="1" thickBot="1">
      <c r="A12" s="108"/>
      <c r="B12" s="112" t="s">
        <v>536</v>
      </c>
      <c r="C12" s="108"/>
      <c r="D12" s="260" t="s">
        <v>1402</v>
      </c>
      <c r="E12" s="260"/>
      <c r="F12" s="260"/>
      <c r="G12" s="260"/>
      <c r="H12" s="260"/>
      <c r="I12" s="260"/>
      <c r="J12" s="260"/>
      <c r="K12" s="260"/>
      <c r="L12" s="260"/>
    </row>
    <row r="13" spans="1:13" s="104" customFormat="1" ht="27.75" customHeight="1" thickTop="1" thickBot="1">
      <c r="A13" s="108"/>
      <c r="B13" s="113" t="s">
        <v>1075</v>
      </c>
      <c r="C13" s="108"/>
      <c r="D13" s="260" t="s">
        <v>1172</v>
      </c>
      <c r="E13" s="260"/>
      <c r="F13" s="260"/>
      <c r="G13" s="260"/>
      <c r="H13" s="260"/>
      <c r="I13" s="260"/>
      <c r="J13" s="260"/>
      <c r="K13" s="260"/>
      <c r="L13" s="260"/>
    </row>
    <row r="14" spans="1:13" s="104" customFormat="1" ht="27.75" customHeight="1" thickTop="1" thickBot="1">
      <c r="A14" s="108"/>
      <c r="B14" s="113" t="s">
        <v>992</v>
      </c>
      <c r="C14" s="108"/>
      <c r="D14" s="265" t="s">
        <v>1403</v>
      </c>
      <c r="E14" s="265"/>
      <c r="F14" s="265"/>
      <c r="G14" s="265"/>
      <c r="H14" s="265"/>
      <c r="I14" s="265"/>
      <c r="J14" s="265"/>
      <c r="K14" s="265"/>
      <c r="L14" s="265"/>
    </row>
    <row r="15" spans="1:13" s="104" customFormat="1" ht="27.75" customHeight="1" thickTop="1" thickBot="1">
      <c r="A15" s="108"/>
      <c r="B15" s="114" t="s">
        <v>537</v>
      </c>
      <c r="C15" s="108"/>
      <c r="D15" s="260" t="s">
        <v>1404</v>
      </c>
      <c r="E15" s="260"/>
      <c r="F15" s="260"/>
      <c r="G15" s="260"/>
      <c r="H15" s="260"/>
      <c r="I15" s="260"/>
      <c r="J15" s="260"/>
      <c r="K15" s="260"/>
      <c r="L15" s="260"/>
    </row>
    <row r="16" spans="1:13" ht="16.5" thickTop="1">
      <c r="A16" s="115"/>
      <c r="B16" s="116"/>
      <c r="C16" s="115"/>
      <c r="D16" s="117"/>
      <c r="E16" s="117"/>
      <c r="F16" s="117"/>
      <c r="G16" s="117"/>
      <c r="H16" s="117"/>
      <c r="I16" s="117"/>
      <c r="J16" s="117"/>
      <c r="K16" s="117"/>
      <c r="L16" s="117"/>
    </row>
    <row r="17" spans="2:12" s="104" customFormat="1" ht="18.75">
      <c r="B17" s="106" t="s">
        <v>1405</v>
      </c>
      <c r="D17" s="107"/>
    </row>
    <row r="18" spans="2:12" s="104" customFormat="1" ht="5.25" customHeight="1">
      <c r="B18" s="118"/>
      <c r="D18" s="107"/>
    </row>
    <row r="19" spans="2:12" s="104" customFormat="1" ht="24.75" customHeight="1" thickBot="1">
      <c r="B19" s="119" t="s">
        <v>1406</v>
      </c>
      <c r="D19" s="259" t="s">
        <v>1416</v>
      </c>
      <c r="E19" s="259"/>
      <c r="F19" s="259"/>
      <c r="G19" s="259"/>
      <c r="H19" s="259"/>
      <c r="I19" s="259"/>
      <c r="J19" s="259"/>
      <c r="K19" s="259"/>
      <c r="L19" s="126" t="s">
        <v>1158</v>
      </c>
    </row>
    <row r="20" spans="2:12" s="104" customFormat="1" ht="41.25" customHeight="1" thickTop="1" thickBot="1">
      <c r="B20" s="119" t="s">
        <v>1528</v>
      </c>
      <c r="D20" s="259" t="s">
        <v>1417</v>
      </c>
      <c r="E20" s="259"/>
      <c r="F20" s="259"/>
      <c r="G20" s="259"/>
      <c r="H20" s="259"/>
      <c r="I20" s="259"/>
      <c r="J20" s="259"/>
      <c r="K20" s="259"/>
      <c r="L20" s="126" t="s">
        <v>1158</v>
      </c>
    </row>
    <row r="21" spans="2:12" s="104" customFormat="1" ht="37.5" customHeight="1" thickTop="1" thickBot="1">
      <c r="B21" s="119" t="s">
        <v>1407</v>
      </c>
      <c r="D21" s="259" t="s">
        <v>1418</v>
      </c>
      <c r="E21" s="259"/>
      <c r="F21" s="259"/>
      <c r="G21" s="259"/>
      <c r="H21" s="259"/>
      <c r="I21" s="259"/>
      <c r="J21" s="259"/>
      <c r="K21" s="259"/>
      <c r="L21" s="126" t="s">
        <v>1158</v>
      </c>
    </row>
    <row r="22" spans="2:12" s="104" customFormat="1" ht="41.25" customHeight="1" thickTop="1" thickBot="1">
      <c r="B22" s="119" t="s">
        <v>1408</v>
      </c>
      <c r="D22" s="259" t="s">
        <v>1419</v>
      </c>
      <c r="E22" s="259"/>
      <c r="F22" s="259"/>
      <c r="G22" s="259"/>
      <c r="H22" s="259"/>
      <c r="I22" s="259"/>
      <c r="J22" s="259"/>
      <c r="K22" s="259"/>
      <c r="L22" s="126" t="s">
        <v>1158</v>
      </c>
    </row>
    <row r="23" spans="2:12" s="104" customFormat="1" ht="36" customHeight="1" thickTop="1" thickBot="1">
      <c r="B23" s="119" t="s">
        <v>1409</v>
      </c>
      <c r="D23" s="259" t="s">
        <v>1187</v>
      </c>
      <c r="E23" s="259"/>
      <c r="F23" s="259"/>
      <c r="G23" s="259"/>
      <c r="H23" s="259"/>
      <c r="I23" s="259"/>
      <c r="J23" s="259"/>
      <c r="K23" s="259"/>
      <c r="L23" s="126" t="s">
        <v>1158</v>
      </c>
    </row>
    <row r="24" spans="2:12" s="104" customFormat="1" ht="52.5" customHeight="1" thickTop="1" thickBot="1">
      <c r="B24" s="119" t="s">
        <v>1410</v>
      </c>
      <c r="D24" s="259" t="s">
        <v>1420</v>
      </c>
      <c r="E24" s="259"/>
      <c r="F24" s="259"/>
      <c r="G24" s="259"/>
      <c r="H24" s="259"/>
      <c r="I24" s="259"/>
      <c r="J24" s="259"/>
      <c r="K24" s="259"/>
      <c r="L24" s="126" t="s">
        <v>1158</v>
      </c>
    </row>
    <row r="25" spans="2:12" s="104" customFormat="1" ht="57" customHeight="1" thickTop="1" thickBot="1">
      <c r="B25" s="119" t="s">
        <v>1411</v>
      </c>
      <c r="D25" s="259" t="s">
        <v>1421</v>
      </c>
      <c r="E25" s="259"/>
      <c r="F25" s="259"/>
      <c r="G25" s="259"/>
      <c r="H25" s="259"/>
      <c r="I25" s="259"/>
      <c r="J25" s="259"/>
      <c r="K25" s="259"/>
      <c r="L25" s="126" t="s">
        <v>1158</v>
      </c>
    </row>
    <row r="26" spans="2:12" s="104" customFormat="1" ht="48.75" customHeight="1" thickTop="1" thickBot="1">
      <c r="B26" s="119" t="s">
        <v>1412</v>
      </c>
      <c r="D26" s="259" t="s">
        <v>1422</v>
      </c>
      <c r="E26" s="259"/>
      <c r="F26" s="259"/>
      <c r="G26" s="259"/>
      <c r="H26" s="259"/>
      <c r="I26" s="259"/>
      <c r="J26" s="259"/>
      <c r="K26" s="259"/>
      <c r="L26" s="126" t="s">
        <v>1158</v>
      </c>
    </row>
    <row r="27" spans="2:12" s="104" customFormat="1" ht="43.5" customHeight="1" thickTop="1" thickBot="1">
      <c r="B27" s="119" t="s">
        <v>1413</v>
      </c>
      <c r="D27" s="259" t="s">
        <v>1423</v>
      </c>
      <c r="E27" s="259"/>
      <c r="F27" s="259"/>
      <c r="G27" s="259"/>
      <c r="H27" s="259"/>
      <c r="I27" s="259"/>
      <c r="J27" s="259"/>
      <c r="K27" s="259"/>
      <c r="L27" s="126" t="s">
        <v>1158</v>
      </c>
    </row>
    <row r="28" spans="2:12" s="104" customFormat="1" ht="43.5" customHeight="1" thickTop="1" thickBot="1">
      <c r="B28" s="119" t="s">
        <v>1414</v>
      </c>
      <c r="D28" s="259" t="s">
        <v>1424</v>
      </c>
      <c r="E28" s="259"/>
      <c r="F28" s="259"/>
      <c r="G28" s="259"/>
      <c r="H28" s="259"/>
      <c r="I28" s="259"/>
      <c r="J28" s="259"/>
      <c r="K28" s="259"/>
      <c r="L28" s="126" t="s">
        <v>1158</v>
      </c>
    </row>
    <row r="29" spans="2:12" s="104" customFormat="1" ht="50.25" customHeight="1" thickTop="1" thickBot="1">
      <c r="B29" s="119" t="s">
        <v>536</v>
      </c>
      <c r="D29" s="259" t="s">
        <v>1193</v>
      </c>
      <c r="E29" s="259"/>
      <c r="F29" s="259"/>
      <c r="G29" s="259"/>
      <c r="H29" s="259"/>
      <c r="I29" s="259"/>
      <c r="J29" s="259"/>
      <c r="K29" s="259"/>
      <c r="L29" s="126" t="s">
        <v>1158</v>
      </c>
    </row>
    <row r="30" spans="2:12" s="104" customFormat="1" ht="57.75" customHeight="1" thickTop="1" thickBot="1">
      <c r="B30" s="119" t="s">
        <v>1156</v>
      </c>
      <c r="D30" s="259" t="s">
        <v>1425</v>
      </c>
      <c r="E30" s="259"/>
      <c r="F30" s="259"/>
      <c r="G30" s="259"/>
      <c r="H30" s="259"/>
      <c r="I30" s="259"/>
      <c r="J30" s="259"/>
      <c r="K30" s="259"/>
      <c r="L30" s="126" t="s">
        <v>1158</v>
      </c>
    </row>
    <row r="31" spans="2:12" s="104" customFormat="1" ht="67.5" customHeight="1" thickTop="1" thickBot="1">
      <c r="B31" s="119" t="s">
        <v>1415</v>
      </c>
      <c r="D31" s="259" t="s">
        <v>1195</v>
      </c>
      <c r="E31" s="259"/>
      <c r="F31" s="259"/>
      <c r="G31" s="259"/>
      <c r="H31" s="259"/>
      <c r="I31" s="259"/>
      <c r="J31" s="259"/>
      <c r="K31" s="259"/>
      <c r="L31" s="126" t="s">
        <v>1158</v>
      </c>
    </row>
    <row r="32" spans="2:12" s="104" customFormat="1" thickTop="1">
      <c r="B32" s="120"/>
      <c r="D32" s="107"/>
      <c r="L32" s="108"/>
    </row>
    <row r="33" spans="2:12" s="104" customFormat="1" ht="18.75" customHeight="1">
      <c r="B33" s="121" t="s">
        <v>1527</v>
      </c>
      <c r="C33" s="122"/>
      <c r="D33" s="123"/>
      <c r="E33" s="122"/>
      <c r="F33" s="122"/>
      <c r="G33" s="122"/>
      <c r="H33" s="122"/>
      <c r="I33" s="122"/>
      <c r="J33" s="122"/>
      <c r="K33" s="122"/>
      <c r="L33" s="124"/>
    </row>
    <row r="34" spans="2:12" s="104" customFormat="1" ht="59.25" customHeight="1">
      <c r="B34" s="261" t="s">
        <v>1426</v>
      </c>
      <c r="C34" s="261"/>
      <c r="D34" s="261"/>
      <c r="E34" s="261"/>
      <c r="F34" s="261"/>
      <c r="G34" s="261"/>
      <c r="H34" s="261"/>
      <c r="I34" s="261"/>
      <c r="J34" s="261"/>
      <c r="K34" s="261"/>
      <c r="L34" s="261"/>
    </row>
  </sheetData>
  <mergeCells count="25">
    <mergeCell ref="D29:K29"/>
    <mergeCell ref="D30:K30"/>
    <mergeCell ref="B34:L34"/>
    <mergeCell ref="D31:K31"/>
    <mergeCell ref="J1:L1"/>
    <mergeCell ref="D20:K20"/>
    <mergeCell ref="D21:K21"/>
    <mergeCell ref="D22:K22"/>
    <mergeCell ref="B4:L5"/>
    <mergeCell ref="D19:K19"/>
    <mergeCell ref="D14:L14"/>
    <mergeCell ref="D9:L9"/>
    <mergeCell ref="D10:L10"/>
    <mergeCell ref="D25:K25"/>
    <mergeCell ref="H2:L2"/>
    <mergeCell ref="D23:K23"/>
    <mergeCell ref="A1:G2"/>
    <mergeCell ref="D26:K26"/>
    <mergeCell ref="D27:K27"/>
    <mergeCell ref="D28:K28"/>
    <mergeCell ref="D11:L11"/>
    <mergeCell ref="D12:L12"/>
    <mergeCell ref="D15:L15"/>
    <mergeCell ref="D13:L13"/>
    <mergeCell ref="D24:K24"/>
  </mergeCells>
  <phoneticPr fontId="2" type="noConversion"/>
  <hyperlinks>
    <hyperlink ref="B9" location="Schedule!A1" display="Schedule" xr:uid="{00000000-0004-0000-0100-000000000000}"/>
    <hyperlink ref="B10" location="Progress!A1" display="Progress" xr:uid="{00000000-0004-0000-0100-000001000000}"/>
    <hyperlink ref="B11" location="AnalysisReport!A1" display="AnalysisReport" xr:uid="{00000000-0004-0000-0100-000002000000}"/>
    <hyperlink ref="B13" location="Workload!A1" display="Workload" xr:uid="{00000000-0004-0000-0100-000003000000}"/>
    <hyperlink ref="B14" location="ServerData!A1" display="ServerData" xr:uid="{00000000-0004-0000-0100-000004000000}"/>
    <hyperlink ref="L19" r:id="rId1" display="https://xlworks.net/xlgantt-easy-tip/" xr:uid="{00000000-0004-0000-0100-000005000000}"/>
    <hyperlink ref="L20" r:id="rId2" display="https://xlworks.net/xlgantt-howto-02-task/" xr:uid="{00000000-0004-0000-0100-000006000000}"/>
    <hyperlink ref="L21" r:id="rId3" display="https://xlworks.net/xlgantt-howto-03-gantt-chart/" xr:uid="{00000000-0004-0000-0100-000007000000}"/>
    <hyperlink ref="L23" r:id="rId4" display="https://xlworks.net/xlgantt-howto-05-analysis-report/" xr:uid="{00000000-0004-0000-0100-000008000000}"/>
    <hyperlink ref="L24" r:id="rId5" display="https://xlworks.net/xlgantt-howto-06-schedule-change-management/" xr:uid="{00000000-0004-0000-0100-000009000000}"/>
    <hyperlink ref="L25" r:id="rId6" display="https://xlworks.net/xlgantt-howto-07-deliverables/" xr:uid="{00000000-0004-0000-0100-00000A000000}"/>
    <hyperlink ref="L26" r:id="rId7" display="https://xlworks.net/xlgantt-howto-08-add-tasks-to-outlook/" xr:uid="{00000000-0004-0000-0100-00000B000000}"/>
    <hyperlink ref="L27" r:id="rId8" display="https://xlworks.net/xlgantt-howto-09-multilingual-support/" xr:uid="{00000000-0004-0000-0100-00000C000000}"/>
    <hyperlink ref="L28" r:id="rId9" display="https://xlworks.net/xlgantt-howto-10-import-schedule/" xr:uid="{00000000-0004-0000-0100-00000D000000}"/>
    <hyperlink ref="L29" r:id="rId10" display="https://xlworks.net/xlgantt-howto-11-calendar/" xr:uid="{00000000-0004-0000-0100-00000E000000}"/>
    <hyperlink ref="L30" r:id="rId11" display="https://xlworks.net/xlgantt-howto-12-integration-with-excel/" xr:uid="{00000000-0004-0000-0100-00000F000000}"/>
    <hyperlink ref="L22" r:id="rId12" display="https://xlworks.net/xlgantt-howto-04-project-progress/" xr:uid="{00000000-0004-0000-0100-000010000000}"/>
    <hyperlink ref="L31" r:id="rId13" display="https://xlworks.net/xlgantt-howto-13-server-data/" xr:uid="{00000000-0004-0000-0100-000011000000}"/>
    <hyperlink ref="B12" location="Calendar!A1" display="Calendar" xr:uid="{00000000-0004-0000-0100-000012000000}"/>
    <hyperlink ref="J1" r:id="rId14" display="https://xlworks.net/xlgantt-project-scheduler/" xr:uid="{00000000-0004-0000-0100-000013000000}"/>
    <hyperlink ref="H2" r:id="rId15" display="https://xlworks.net/xlgantt-project-scheduler/" xr:uid="{00000000-0004-0000-0100-000014000000}"/>
  </hyperlinks>
  <pageMargins left="0.7" right="0.7" top="0.75" bottom="0.75" header="0.3" footer="0.3"/>
  <pageSetup paperSize="9" orientation="portrait" horizontalDpi="300" verticalDpi="300" r:id="rId16"/>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8">
    <tabColor rgb="FF00A44A"/>
    <outlinePr summaryBelow="0"/>
    <pageSetUpPr fitToPage="1"/>
  </sheetPr>
  <dimension ref="A1:CP97"/>
  <sheetViews>
    <sheetView tabSelected="1" zoomScaleNormal="100" zoomScalePageLayoutView="55" workbookViewId="0">
      <pane ySplit="4" topLeftCell="A5" activePane="bottomLeft" state="frozen"/>
      <selection activeCell="E5" sqref="E5"/>
      <selection pane="bottomLeft" activeCell="D5" sqref="D5"/>
    </sheetView>
  </sheetViews>
  <sheetFormatPr defaultColWidth="10" defaultRowHeight="12" customHeight="1" outlineLevelRow="6"/>
  <cols>
    <col min="1" max="1" width="9.125" style="143" hidden="1" customWidth="1"/>
    <col min="2" max="2" width="9" style="143" hidden="1" customWidth="1"/>
    <col min="3" max="3" width="8.375" style="143" hidden="1" customWidth="1"/>
    <col min="4" max="4" width="9.75" style="185" customWidth="1"/>
    <col min="5" max="13" width="2.75" style="144" customWidth="1"/>
    <col min="14" max="14" width="15.75" style="144" customWidth="1"/>
    <col min="15" max="15" width="24.125" style="144" customWidth="1"/>
    <col min="16" max="17" width="9.875" style="145" bestFit="1" customWidth="1"/>
    <col min="18" max="18" width="7.625" style="146" hidden="1" customWidth="1"/>
    <col min="19" max="19" width="6.375" style="147" bestFit="1" customWidth="1"/>
    <col min="20" max="20" width="4.875" style="147" bestFit="1" customWidth="1"/>
    <col min="21" max="21" width="5.875" style="147" bestFit="1" customWidth="1"/>
    <col min="22" max="22" width="5" style="147" bestFit="1" customWidth="1"/>
    <col min="23" max="24" width="9.75" style="145" hidden="1" customWidth="1"/>
    <col min="25" max="25" width="7.5" style="148" hidden="1" customWidth="1"/>
    <col min="26" max="26" width="6" style="149" hidden="1" customWidth="1"/>
    <col min="27" max="27" width="6.125" style="147" hidden="1" customWidth="1"/>
    <col min="28" max="28" width="30.875" style="146" customWidth="1"/>
    <col min="29" max="29" width="10.25" style="150" bestFit="1" customWidth="1"/>
    <col min="30" max="30" width="7.75" style="151" bestFit="1" customWidth="1"/>
    <col min="31" max="31" width="7.25" style="152" customWidth="1"/>
    <col min="32" max="94" width="1.875" style="142" customWidth="1"/>
    <col min="95" max="16384" width="10" style="142"/>
  </cols>
  <sheetData>
    <row r="1" spans="1:94" s="139" customFormat="1" ht="20.100000000000001" customHeight="1">
      <c r="A1" s="153"/>
      <c r="B1" s="154"/>
      <c r="C1" s="155"/>
      <c r="D1" s="186" t="str">
        <f ca="1">xlgantt.ProjectName()</f>
        <v>나쁜넘들</v>
      </c>
      <c r="E1" s="156"/>
      <c r="F1" s="156"/>
      <c r="G1" s="156"/>
      <c r="H1" s="156"/>
      <c r="I1" s="156"/>
      <c r="J1" s="156"/>
      <c r="K1" s="156"/>
      <c r="L1" s="156"/>
      <c r="M1" s="156"/>
      <c r="N1" s="156"/>
      <c r="O1" s="156"/>
      <c r="P1" s="156"/>
      <c r="Q1" s="157"/>
      <c r="R1" s="158"/>
      <c r="S1" s="159"/>
      <c r="T1" s="160"/>
      <c r="U1" s="161"/>
      <c r="V1" s="161"/>
      <c r="W1" s="162"/>
      <c r="X1" s="162"/>
      <c r="Y1" s="154"/>
      <c r="Z1" s="163"/>
      <c r="AA1" s="164"/>
      <c r="AB1" s="165"/>
      <c r="AC1" s="166"/>
      <c r="AD1" s="167"/>
      <c r="AE1" s="168" t="str" cm="1">
        <f t="array" aca="1" ref="AE1" ca="1">xlgantt.ProjectProgressString()</f>
        <v>2021-12-02~2022-01-26 [계획:86.91% 실적:67.81%]</v>
      </c>
      <c r="AF1" s="174" t="s">
        <v>1524</v>
      </c>
      <c r="AG1" s="138"/>
      <c r="AH1" s="138"/>
      <c r="AI1" s="138"/>
      <c r="AJ1" s="138"/>
      <c r="AK1" s="138"/>
      <c r="AL1" s="138"/>
      <c r="AM1" s="138"/>
      <c r="AN1" s="138"/>
      <c r="AO1" s="138"/>
      <c r="AP1" s="138"/>
      <c r="AQ1" s="138"/>
      <c r="AR1" s="138"/>
      <c r="AS1" s="138"/>
      <c r="AT1" s="138"/>
      <c r="AU1" s="138"/>
      <c r="AV1" s="138"/>
      <c r="AW1" s="138"/>
      <c r="AX1" s="138"/>
      <c r="AY1" s="138"/>
      <c r="AZ1" s="138"/>
      <c r="BA1" s="138"/>
      <c r="BB1" s="138"/>
      <c r="BC1" s="138"/>
      <c r="BD1" s="138"/>
      <c r="BE1" s="138"/>
      <c r="BF1" s="138"/>
      <c r="BG1" s="138"/>
      <c r="BH1" s="138"/>
      <c r="BI1" s="138"/>
      <c r="BJ1" s="138"/>
    </row>
    <row r="2" spans="1:94" s="139" customFormat="1" ht="15" customHeight="1">
      <c r="A2" s="153"/>
      <c r="B2" s="153"/>
      <c r="C2" s="155"/>
      <c r="D2" s="268"/>
      <c r="E2" s="268"/>
      <c r="F2" s="268"/>
      <c r="G2" s="169"/>
      <c r="H2" s="170"/>
      <c r="I2" s="169"/>
      <c r="J2" s="169"/>
      <c r="K2" s="169"/>
      <c r="L2" s="169"/>
      <c r="M2" s="169"/>
      <c r="N2" s="169"/>
      <c r="O2" s="169"/>
      <c r="P2" s="169"/>
      <c r="Q2" s="169"/>
      <c r="R2" s="169"/>
      <c r="S2" s="171"/>
      <c r="T2" s="171"/>
      <c r="U2" s="171"/>
      <c r="V2" s="171"/>
      <c r="W2" s="169"/>
      <c r="X2" s="169"/>
      <c r="Y2" s="169"/>
      <c r="Z2" s="169"/>
      <c r="AA2" s="169"/>
      <c r="AB2" s="169"/>
      <c r="AC2" s="172"/>
      <c r="AD2" s="173"/>
      <c r="AE2" s="169" t="str" cm="1">
        <f t="array" aca="1" ref="AE2" ca="1">xlgantt.CommentOnHeadArea()</f>
        <v>별(*)표시는 필수입력</v>
      </c>
      <c r="AF2" s="301" t="s">
        <v>1291</v>
      </c>
      <c r="AG2" s="301"/>
      <c r="AH2" s="301"/>
      <c r="AI2" s="301"/>
      <c r="AJ2" s="301" t="s">
        <v>1616</v>
      </c>
      <c r="AK2" s="301"/>
      <c r="AL2" s="301"/>
      <c r="AM2" s="301"/>
      <c r="AN2" s="301" t="s">
        <v>1702</v>
      </c>
      <c r="AO2" s="301"/>
      <c r="AP2" s="301"/>
      <c r="AQ2" s="301"/>
      <c r="AR2" s="254"/>
      <c r="AS2" s="254"/>
      <c r="AT2" s="254"/>
      <c r="AU2" s="254"/>
      <c r="AV2" s="254"/>
      <c r="AW2" s="254"/>
      <c r="AX2" s="254"/>
      <c r="AY2" s="254"/>
      <c r="AZ2" s="254"/>
      <c r="BA2" s="254"/>
      <c r="BB2" s="254"/>
      <c r="BC2" s="254"/>
      <c r="BD2" s="254"/>
      <c r="BE2" s="254"/>
      <c r="BF2" s="254"/>
      <c r="BG2" s="254"/>
      <c r="BH2" s="254"/>
      <c r="BI2" s="254"/>
      <c r="BJ2" s="254"/>
      <c r="BK2" s="254"/>
      <c r="BL2" s="254"/>
      <c r="BM2" s="254"/>
      <c r="BN2" s="254"/>
      <c r="BO2" s="254"/>
      <c r="BP2" s="254"/>
      <c r="BQ2" s="254"/>
      <c r="BR2" s="254"/>
      <c r="BS2" s="254"/>
      <c r="BT2" s="254"/>
      <c r="BU2" s="254"/>
      <c r="BV2" s="254"/>
      <c r="BW2" s="254"/>
      <c r="BX2" s="254"/>
      <c r="BY2" s="254"/>
      <c r="BZ2" s="254"/>
      <c r="CA2" s="254"/>
      <c r="CB2" s="254"/>
      <c r="CC2" s="254"/>
      <c r="CD2" s="254"/>
      <c r="CE2" s="254"/>
      <c r="CF2" s="254"/>
      <c r="CG2" s="254"/>
      <c r="CH2" s="254"/>
      <c r="CI2" s="254"/>
      <c r="CJ2" s="254"/>
      <c r="CK2" s="254"/>
      <c r="CL2" s="254"/>
      <c r="CM2" s="254"/>
      <c r="CN2" s="254"/>
      <c r="CO2" s="254"/>
      <c r="CP2" s="254"/>
    </row>
    <row r="3" spans="1:94" s="140" customFormat="1" ht="18.95" customHeight="1">
      <c r="A3" s="282" t="s">
        <v>1700</v>
      </c>
      <c r="B3" s="284" t="s">
        <v>1686</v>
      </c>
      <c r="C3" s="286" t="s">
        <v>1687</v>
      </c>
      <c r="D3" s="287" t="s">
        <v>1688</v>
      </c>
      <c r="E3" s="289" t="s">
        <v>1689</v>
      </c>
      <c r="F3" s="290"/>
      <c r="G3" s="290"/>
      <c r="H3" s="290"/>
      <c r="I3" s="290"/>
      <c r="J3" s="290"/>
      <c r="K3" s="290"/>
      <c r="L3" s="290"/>
      <c r="M3" s="290"/>
      <c r="N3" s="290"/>
      <c r="O3" s="269" t="s">
        <v>1690</v>
      </c>
      <c r="P3" s="269" t="s">
        <v>1676</v>
      </c>
      <c r="Q3" s="269" t="s">
        <v>1684</v>
      </c>
      <c r="R3" s="274" t="s">
        <v>1691</v>
      </c>
      <c r="S3" s="271" t="s">
        <v>1677</v>
      </c>
      <c r="T3" s="276" t="s">
        <v>1678</v>
      </c>
      <c r="U3" s="271" t="s">
        <v>1679</v>
      </c>
      <c r="V3" s="271" t="s">
        <v>1680</v>
      </c>
      <c r="W3" s="273" t="s">
        <v>1681</v>
      </c>
      <c r="X3" s="273" t="s">
        <v>1685</v>
      </c>
      <c r="Y3" s="292" t="s">
        <v>1692</v>
      </c>
      <c r="Z3" s="280" t="s">
        <v>1682</v>
      </c>
      <c r="AA3" s="296" t="s">
        <v>1683</v>
      </c>
      <c r="AB3" s="269" t="s">
        <v>1693</v>
      </c>
      <c r="AC3" s="298" t="s">
        <v>1694</v>
      </c>
      <c r="AD3" s="294" t="s">
        <v>1695</v>
      </c>
      <c r="AE3" s="278" t="s">
        <v>1696</v>
      </c>
      <c r="AF3" s="299" t="s">
        <v>1614</v>
      </c>
      <c r="AG3" s="300"/>
      <c r="AH3" s="300"/>
      <c r="AI3" s="300"/>
      <c r="AJ3" s="302" t="s">
        <v>1615</v>
      </c>
      <c r="AK3" s="300"/>
      <c r="AL3" s="300"/>
      <c r="AM3" s="300"/>
      <c r="AN3" s="302" t="s">
        <v>1701</v>
      </c>
      <c r="AO3" s="300"/>
      <c r="AP3" s="300"/>
      <c r="AQ3" s="303"/>
    </row>
    <row r="4" spans="1:94" s="141" customFormat="1" ht="6" customHeight="1">
      <c r="A4" s="283"/>
      <c r="B4" s="285"/>
      <c r="C4" s="282"/>
      <c r="D4" s="288"/>
      <c r="E4" s="291"/>
      <c r="F4" s="290"/>
      <c r="G4" s="290"/>
      <c r="H4" s="290"/>
      <c r="I4" s="290"/>
      <c r="J4" s="290"/>
      <c r="K4" s="290"/>
      <c r="L4" s="290"/>
      <c r="M4" s="290"/>
      <c r="N4" s="290"/>
      <c r="O4" s="270"/>
      <c r="P4" s="270"/>
      <c r="Q4" s="270"/>
      <c r="R4" s="275"/>
      <c r="S4" s="272"/>
      <c r="T4" s="277"/>
      <c r="U4" s="272"/>
      <c r="V4" s="272"/>
      <c r="W4" s="270"/>
      <c r="X4" s="270"/>
      <c r="Y4" s="293"/>
      <c r="Z4" s="281"/>
      <c r="AA4" s="297"/>
      <c r="AB4" s="270"/>
      <c r="AC4" s="288"/>
      <c r="AD4" s="295"/>
      <c r="AE4" s="279"/>
      <c r="AF4" s="187">
        <v>44528</v>
      </c>
      <c r="AG4" s="188">
        <v>44535</v>
      </c>
      <c r="AH4" s="188">
        <v>44542</v>
      </c>
      <c r="AI4" s="188">
        <v>44549</v>
      </c>
      <c r="AJ4" s="188">
        <v>44556</v>
      </c>
      <c r="AK4" s="188">
        <v>44563</v>
      </c>
      <c r="AL4" s="188">
        <v>44570</v>
      </c>
      <c r="AM4" s="188">
        <v>44577</v>
      </c>
      <c r="AN4" s="188">
        <v>44584</v>
      </c>
      <c r="AO4" s="252"/>
      <c r="AP4" s="252"/>
      <c r="AQ4" s="253"/>
      <c r="AR4" s="217"/>
      <c r="AS4" s="217"/>
      <c r="AT4" s="217"/>
      <c r="AU4" s="217"/>
      <c r="AV4" s="217"/>
      <c r="AW4" s="217"/>
      <c r="AX4" s="217"/>
      <c r="AY4" s="217"/>
      <c r="AZ4" s="217"/>
      <c r="BA4" s="217"/>
      <c r="BB4" s="217"/>
      <c r="BC4" s="217"/>
      <c r="BD4" s="217"/>
      <c r="BE4" s="217"/>
      <c r="BF4" s="217"/>
      <c r="BG4" s="217"/>
      <c r="BH4" s="217"/>
      <c r="BI4" s="217"/>
      <c r="BJ4" s="217"/>
      <c r="BK4" s="217"/>
      <c r="BL4" s="217"/>
      <c r="BM4" s="217"/>
      <c r="BN4" s="217"/>
      <c r="BO4" s="217"/>
      <c r="BP4" s="217"/>
      <c r="BQ4" s="217"/>
      <c r="BR4" s="217"/>
      <c r="BS4" s="217"/>
      <c r="BT4" s="217"/>
      <c r="BU4" s="217"/>
      <c r="BV4" s="217"/>
      <c r="BW4" s="217"/>
      <c r="BX4" s="217"/>
      <c r="BY4" s="217"/>
      <c r="BZ4" s="217"/>
      <c r="CA4" s="217"/>
      <c r="CB4" s="217"/>
      <c r="CC4" s="217"/>
      <c r="CD4" s="217"/>
      <c r="CE4" s="217"/>
      <c r="CF4" s="217"/>
      <c r="CG4" s="217"/>
      <c r="CH4" s="217"/>
      <c r="CI4" s="217"/>
      <c r="CJ4" s="217"/>
      <c r="CK4" s="217"/>
      <c r="CL4" s="217"/>
      <c r="CM4" s="217"/>
      <c r="CN4" s="217"/>
      <c r="CO4" s="217"/>
      <c r="CP4" s="217"/>
    </row>
    <row r="5" spans="1:94" ht="12" customHeight="1">
      <c r="A5" s="203"/>
      <c r="B5" s="203" t="s">
        <v>1570</v>
      </c>
      <c r="C5" s="203">
        <v>1</v>
      </c>
      <c r="D5" s="214" t="s">
        <v>1007</v>
      </c>
      <c r="E5" s="204" t="s">
        <v>1565</v>
      </c>
      <c r="F5" s="204"/>
      <c r="G5" s="204"/>
      <c r="H5" s="204"/>
      <c r="I5" s="204"/>
      <c r="J5" s="204"/>
      <c r="K5" s="204"/>
      <c r="L5" s="204"/>
      <c r="M5" s="204"/>
      <c r="N5" s="204"/>
      <c r="O5" s="204"/>
      <c r="P5" s="205">
        <v>44532</v>
      </c>
      <c r="Q5" s="205">
        <v>44587</v>
      </c>
      <c r="R5" s="206"/>
      <c r="S5" s="207">
        <v>191</v>
      </c>
      <c r="T5" s="207">
        <v>166</v>
      </c>
      <c r="U5" s="207">
        <v>40</v>
      </c>
      <c r="V5" s="207">
        <v>34</v>
      </c>
      <c r="W5" s="205"/>
      <c r="X5" s="205"/>
      <c r="Y5" s="208">
        <v>0</v>
      </c>
      <c r="Z5" s="209">
        <v>0</v>
      </c>
      <c r="AA5" s="207"/>
      <c r="AB5" s="206"/>
      <c r="AC5" s="210"/>
      <c r="AD5" s="211">
        <v>0.86910994764397909</v>
      </c>
      <c r="AE5" s="251">
        <v>0.67811518324607323</v>
      </c>
      <c r="AF5" s="190"/>
      <c r="AG5" s="191"/>
      <c r="AH5" s="191"/>
      <c r="AI5" s="191"/>
      <c r="AJ5" s="191"/>
      <c r="AK5" s="191"/>
      <c r="AL5" s="191" t="str">
        <f>"" &amp; TEXT(AE5,"#0.00%") &amp; " " &amp; "2022 졸업작품 프로젝트" &amp; " " &amp; IF(P5="","",TEXT(P5,"M/D-")) &amp; IF(Q5="","",TEXT(Q5,"M/D")) &amp; " "</f>
        <v xml:space="preserve">67.81% 2022 졸업작품 프로젝트 12/2-1/26 </v>
      </c>
      <c r="AM5" s="191"/>
      <c r="AN5" s="191"/>
      <c r="AO5" s="191"/>
      <c r="AP5" s="189"/>
      <c r="AQ5" s="189"/>
    </row>
    <row r="6" spans="1:94" ht="12" customHeight="1" outlineLevel="1">
      <c r="A6" s="203"/>
      <c r="B6" s="203" t="s">
        <v>1570</v>
      </c>
      <c r="C6" s="203">
        <v>2</v>
      </c>
      <c r="D6" s="214" t="s">
        <v>1081</v>
      </c>
      <c r="E6" s="204"/>
      <c r="F6" s="204" t="s">
        <v>1566</v>
      </c>
      <c r="G6" s="204"/>
      <c r="H6" s="204"/>
      <c r="I6" s="204"/>
      <c r="J6" s="204"/>
      <c r="K6" s="204"/>
      <c r="L6" s="204"/>
      <c r="M6" s="204"/>
      <c r="N6" s="204"/>
      <c r="O6" s="204"/>
      <c r="P6" s="205">
        <v>44552</v>
      </c>
      <c r="Q6" s="205">
        <v>44587</v>
      </c>
      <c r="R6" s="206"/>
      <c r="S6" s="207">
        <v>80</v>
      </c>
      <c r="T6" s="207">
        <v>71</v>
      </c>
      <c r="U6" s="207">
        <v>26</v>
      </c>
      <c r="V6" s="207">
        <v>20</v>
      </c>
      <c r="W6" s="205"/>
      <c r="X6" s="205"/>
      <c r="Y6" s="208">
        <v>0</v>
      </c>
      <c r="Z6" s="209">
        <v>0</v>
      </c>
      <c r="AA6" s="207"/>
      <c r="AB6" s="206"/>
      <c r="AC6" s="210"/>
      <c r="AD6" s="211">
        <v>0.88749999999999996</v>
      </c>
      <c r="AE6" s="251">
        <v>0.83750000000000002</v>
      </c>
      <c r="AF6" s="190"/>
      <c r="AG6" s="191"/>
      <c r="AH6" s="191"/>
      <c r="AI6" s="191"/>
      <c r="AJ6" s="191"/>
      <c r="AK6" s="191"/>
      <c r="AL6" s="191"/>
      <c r="AM6" s="191" t="str">
        <f>"     " &amp; TEXT(AE6,"#0.00%") &amp; " " &amp; "개발 관련" &amp; " " &amp; IF(P6="","",TEXT(P6,"M/D-")) &amp; IF(Q6="","",TEXT(Q6,"M/D")) &amp; " "</f>
        <v xml:space="preserve">     83.75% 개발 관련 12/22-1/26 </v>
      </c>
      <c r="AN6" s="191"/>
      <c r="AO6" s="191"/>
    </row>
    <row r="7" spans="1:94" ht="12" customHeight="1" outlineLevel="2">
      <c r="A7" s="203"/>
      <c r="B7" s="203" t="s">
        <v>1570</v>
      </c>
      <c r="C7" s="203">
        <v>3</v>
      </c>
      <c r="D7" s="214" t="s">
        <v>1082</v>
      </c>
      <c r="E7" s="204"/>
      <c r="F7" s="204"/>
      <c r="G7" s="204" t="s">
        <v>1586</v>
      </c>
      <c r="H7" s="204"/>
      <c r="I7" s="204"/>
      <c r="J7" s="204"/>
      <c r="K7" s="204"/>
      <c r="L7" s="204"/>
      <c r="M7" s="204"/>
      <c r="N7" s="204"/>
      <c r="O7" s="204"/>
      <c r="P7" s="205">
        <v>44552</v>
      </c>
      <c r="Q7" s="205">
        <v>44577</v>
      </c>
      <c r="R7" s="206"/>
      <c r="S7" s="207">
        <v>40</v>
      </c>
      <c r="T7" s="207">
        <v>40</v>
      </c>
      <c r="U7" s="207">
        <v>18</v>
      </c>
      <c r="V7" s="207">
        <v>18</v>
      </c>
      <c r="W7" s="205"/>
      <c r="X7" s="205"/>
      <c r="Y7" s="208">
        <v>0</v>
      </c>
      <c r="Z7" s="209">
        <v>0</v>
      </c>
      <c r="AA7" s="207"/>
      <c r="AB7" s="206"/>
      <c r="AC7" s="210"/>
      <c r="AD7" s="211">
        <v>1</v>
      </c>
      <c r="AE7" s="247">
        <v>1</v>
      </c>
      <c r="AF7" s="190"/>
      <c r="AG7" s="191"/>
      <c r="AH7" s="191"/>
      <c r="AI7" s="191"/>
      <c r="AJ7" s="191"/>
      <c r="AK7" s="191"/>
      <c r="AL7" s="191"/>
      <c r="AM7" s="191" t="str">
        <f>" " &amp; TEXT(AE7,"#0.00%") &amp; " " &amp; "플레이어 관련" &amp; " " &amp; IF(P7="","",TEXT(P7,"M/D-")) &amp; IF(Q7="","",TEXT(Q7,"M/D")) &amp; " "</f>
        <v xml:space="preserve"> 100.00% 플레이어 관련 12/22-1/16 </v>
      </c>
      <c r="AN7" s="191"/>
      <c r="AO7" s="191"/>
    </row>
    <row r="8" spans="1:94" ht="12" customHeight="1" outlineLevel="3">
      <c r="A8" s="203"/>
      <c r="B8" s="203" t="s">
        <v>1570</v>
      </c>
      <c r="C8" s="203">
        <v>4</v>
      </c>
      <c r="D8" s="214" t="s">
        <v>1571</v>
      </c>
      <c r="E8" s="204"/>
      <c r="F8" s="204"/>
      <c r="G8" s="204"/>
      <c r="H8" s="204" t="s">
        <v>1575</v>
      </c>
      <c r="I8" s="204"/>
      <c r="J8" s="204"/>
      <c r="K8" s="204"/>
      <c r="L8" s="204"/>
      <c r="M8" s="204"/>
      <c r="N8" s="204"/>
      <c r="O8" s="204"/>
      <c r="P8" s="205">
        <v>44552</v>
      </c>
      <c r="Q8" s="205">
        <v>44566</v>
      </c>
      <c r="R8" s="206"/>
      <c r="S8" s="207">
        <v>6</v>
      </c>
      <c r="T8" s="207">
        <v>6</v>
      </c>
      <c r="U8" s="207">
        <v>11</v>
      </c>
      <c r="V8" s="207">
        <v>11</v>
      </c>
      <c r="W8" s="205"/>
      <c r="X8" s="205"/>
      <c r="Y8" s="208">
        <v>0</v>
      </c>
      <c r="Z8" s="209">
        <v>0</v>
      </c>
      <c r="AA8" s="207"/>
      <c r="AB8" s="206"/>
      <c r="AC8" s="210"/>
      <c r="AD8" s="211">
        <v>1</v>
      </c>
      <c r="AE8" s="247">
        <v>1</v>
      </c>
      <c r="AF8" s="190"/>
      <c r="AG8" s="191"/>
      <c r="AH8" s="191"/>
      <c r="AI8" s="191"/>
      <c r="AJ8" s="191"/>
      <c r="AK8" s="191" t="str">
        <f>"    " &amp; TEXT(AE8,"#0.00%") &amp; " " &amp; "플레이어 조작 관련" &amp; " " &amp; IF(P8="","",TEXT(P8,"M/D-")) &amp; IF(Q8="","",TEXT(Q8,"M/D")) &amp; " "</f>
        <v xml:space="preserve">    100.00% 플레이어 조작 관련 12/22-1/5 </v>
      </c>
      <c r="AL8" s="191"/>
      <c r="AM8" s="191"/>
      <c r="AN8" s="191"/>
      <c r="AO8" s="191"/>
    </row>
    <row r="9" spans="1:94" ht="12" customHeight="1" outlineLevel="4">
      <c r="A9" s="203"/>
      <c r="B9" s="203"/>
      <c r="C9" s="203">
        <v>5</v>
      </c>
      <c r="D9" s="214" t="s">
        <v>1572</v>
      </c>
      <c r="E9" s="204"/>
      <c r="F9" s="204"/>
      <c r="G9" s="204"/>
      <c r="H9" s="204"/>
      <c r="I9" s="204" t="s">
        <v>1567</v>
      </c>
      <c r="J9" s="204"/>
      <c r="K9" s="204"/>
      <c r="L9" s="204"/>
      <c r="M9" s="204"/>
      <c r="N9" s="204"/>
      <c r="O9" s="204"/>
      <c r="P9" s="205">
        <v>44552</v>
      </c>
      <c r="Q9" s="205">
        <v>44555</v>
      </c>
      <c r="R9" s="206"/>
      <c r="S9" s="207">
        <v>3</v>
      </c>
      <c r="T9" s="207">
        <v>3</v>
      </c>
      <c r="U9" s="207">
        <v>3</v>
      </c>
      <c r="V9" s="207">
        <v>3</v>
      </c>
      <c r="W9" s="205">
        <v>44190</v>
      </c>
      <c r="X9" s="205"/>
      <c r="Y9" s="208">
        <v>-31553</v>
      </c>
      <c r="Z9" s="209">
        <v>0</v>
      </c>
      <c r="AA9" s="207">
        <v>1</v>
      </c>
      <c r="AB9" s="206" t="s">
        <v>1579</v>
      </c>
      <c r="AC9" s="210"/>
      <c r="AD9" s="211">
        <v>1</v>
      </c>
      <c r="AE9" s="213">
        <v>1</v>
      </c>
      <c r="AF9" s="190"/>
      <c r="AG9" s="191"/>
      <c r="AH9" s="191"/>
      <c r="AI9" s="191"/>
      <c r="AJ9" s="191" t="str">
        <f>"" &amp; TEXT(AE9,"#0.00%") &amp; " " &amp; "플레이어 WASD 조작" &amp; "(권성빈)" &amp; " " &amp; IF(P9="","",TEXT(P9,"M/D-")) &amp; IF(Q9="","",TEXT(Q9,"M/D")) &amp; " "</f>
        <v xml:space="preserve">100.00% 플레이어 WASD 조작(권성빈) 12/22-12/25 </v>
      </c>
      <c r="AK9" s="191"/>
      <c r="AL9" s="191"/>
      <c r="AM9" s="191"/>
      <c r="AN9" s="191"/>
      <c r="AO9" s="191"/>
    </row>
    <row r="10" spans="1:94" ht="12" customHeight="1" outlineLevel="4">
      <c r="A10" s="203"/>
      <c r="B10" s="203"/>
      <c r="C10" s="203">
        <v>5</v>
      </c>
      <c r="D10" s="214" t="s">
        <v>1577</v>
      </c>
      <c r="E10" s="204"/>
      <c r="F10" s="204"/>
      <c r="G10" s="204"/>
      <c r="H10" s="204"/>
      <c r="I10" s="204" t="s">
        <v>1576</v>
      </c>
      <c r="J10" s="204"/>
      <c r="K10" s="204"/>
      <c r="L10" s="204"/>
      <c r="M10" s="204"/>
      <c r="N10" s="204"/>
      <c r="O10" s="204"/>
      <c r="P10" s="205">
        <v>44564</v>
      </c>
      <c r="Q10" s="205">
        <v>44566</v>
      </c>
      <c r="R10" s="206"/>
      <c r="S10" s="207">
        <v>3</v>
      </c>
      <c r="T10" s="207">
        <v>3</v>
      </c>
      <c r="U10" s="207">
        <v>3</v>
      </c>
      <c r="V10" s="207">
        <v>3</v>
      </c>
      <c r="W10" s="205"/>
      <c r="X10" s="205"/>
      <c r="Y10" s="208"/>
      <c r="Z10" s="209">
        <v>0</v>
      </c>
      <c r="AA10" s="207"/>
      <c r="AB10" s="206" t="s">
        <v>1579</v>
      </c>
      <c r="AC10" s="210"/>
      <c r="AD10" s="211">
        <v>1</v>
      </c>
      <c r="AE10" s="213">
        <v>1</v>
      </c>
      <c r="AF10" s="190"/>
      <c r="AG10" s="191"/>
      <c r="AH10" s="191"/>
      <c r="AI10" s="191"/>
      <c r="AJ10" s="191"/>
      <c r="AK10" s="191" t="str">
        <f>"    " &amp; TEXT(AE10,"#0.00%") &amp; " " &amp; "플레이어 마우스 시점 조작" &amp; "(권성빈)" &amp; " " &amp; IF(P10="","",TEXT(P10,"M/D-")) &amp; IF(Q10="","",TEXT(Q10,"M/D")) &amp; " "</f>
        <v xml:space="preserve">    100.00% 플레이어 마우스 시점 조작(권성빈) 1/3-1/5 </v>
      </c>
      <c r="AL10" s="191"/>
      <c r="AM10" s="191"/>
      <c r="AN10" s="191"/>
      <c r="AO10" s="191"/>
    </row>
    <row r="11" spans="1:94" ht="12" customHeight="1" outlineLevel="3">
      <c r="A11" s="203">
        <v>1</v>
      </c>
      <c r="B11" s="203" t="s">
        <v>1570</v>
      </c>
      <c r="C11" s="203">
        <v>4</v>
      </c>
      <c r="D11" s="214" t="s">
        <v>1573</v>
      </c>
      <c r="E11" s="204"/>
      <c r="F11" s="204"/>
      <c r="G11" s="204"/>
      <c r="H11" s="204" t="s">
        <v>1568</v>
      </c>
      <c r="I11" s="204"/>
      <c r="J11" s="204"/>
      <c r="K11" s="204"/>
      <c r="L11" s="204"/>
      <c r="M11" s="204"/>
      <c r="N11" s="204"/>
      <c r="O11" s="204"/>
      <c r="P11" s="205">
        <v>44558</v>
      </c>
      <c r="Q11" s="205">
        <v>44573</v>
      </c>
      <c r="R11" s="206"/>
      <c r="S11" s="207">
        <v>19</v>
      </c>
      <c r="T11" s="207">
        <v>19</v>
      </c>
      <c r="U11" s="207">
        <v>12</v>
      </c>
      <c r="V11" s="207">
        <v>12</v>
      </c>
      <c r="W11" s="205"/>
      <c r="X11" s="205"/>
      <c r="Y11" s="208">
        <v>0</v>
      </c>
      <c r="Z11" s="209">
        <v>0</v>
      </c>
      <c r="AA11" s="207"/>
      <c r="AB11" s="206"/>
      <c r="AC11" s="210"/>
      <c r="AD11" s="211">
        <v>1</v>
      </c>
      <c r="AE11" s="247">
        <v>1</v>
      </c>
      <c r="AF11" s="190"/>
      <c r="AG11" s="191"/>
      <c r="AH11" s="191"/>
      <c r="AI11" s="191"/>
      <c r="AJ11" s="191" t="str">
        <f>"      " &amp; TEXT(AE11,"#0.00%") &amp; " " &amp; "플레이어 상호작용 관련" &amp; " " &amp; IF(P11="","",TEXT(P11,"M/D-")) &amp; IF(Q11="","",TEXT(Q11,"M/D")) &amp; " "</f>
        <v xml:space="preserve">      100.00% 플레이어 상호작용 관련 12/28-1/12 </v>
      </c>
      <c r="AK11" s="191"/>
      <c r="AL11" s="191"/>
      <c r="AM11" s="191"/>
      <c r="AN11" s="191"/>
      <c r="AO11" s="191"/>
    </row>
    <row r="12" spans="1:94" ht="12" customHeight="1" outlineLevel="4">
      <c r="A12" s="203"/>
      <c r="B12" s="203" t="s">
        <v>1570</v>
      </c>
      <c r="C12" s="203">
        <v>5</v>
      </c>
      <c r="D12" s="214" t="s">
        <v>1574</v>
      </c>
      <c r="E12" s="204"/>
      <c r="F12" s="204"/>
      <c r="G12" s="204"/>
      <c r="H12" s="204"/>
      <c r="I12" s="204" t="s">
        <v>1578</v>
      </c>
      <c r="J12" s="204"/>
      <c r="K12" s="204"/>
      <c r="L12" s="204"/>
      <c r="M12" s="204"/>
      <c r="N12" s="204"/>
      <c r="O12" s="204"/>
      <c r="P12" s="205">
        <v>44558</v>
      </c>
      <c r="Q12" s="205">
        <v>44562</v>
      </c>
      <c r="R12" s="206"/>
      <c r="S12" s="207">
        <v>4</v>
      </c>
      <c r="T12" s="207">
        <v>4</v>
      </c>
      <c r="U12" s="207">
        <v>4</v>
      </c>
      <c r="V12" s="207">
        <v>4</v>
      </c>
      <c r="W12" s="205"/>
      <c r="X12" s="205"/>
      <c r="Y12" s="208">
        <v>0</v>
      </c>
      <c r="Z12" s="209">
        <v>0</v>
      </c>
      <c r="AA12" s="207"/>
      <c r="AB12" s="206" t="s">
        <v>1579</v>
      </c>
      <c r="AC12" s="210"/>
      <c r="AD12" s="211">
        <v>1</v>
      </c>
      <c r="AE12" s="247">
        <v>1</v>
      </c>
      <c r="AF12" s="190"/>
      <c r="AG12" s="191"/>
      <c r="AH12" s="191"/>
      <c r="AI12" s="191"/>
      <c r="AJ12" s="191"/>
      <c r="AK12" s="191" t="str">
        <f>"" &amp; TEXT(AE12,"#0.00%") &amp; " " &amp; "오브젝트 아웃라인 관련 구현" &amp; "(권성빈)" &amp; " " &amp; IF(P12="","",TEXT(P12,"M/D-")) &amp; IF(Q12="","",TEXT(Q12,"M/D")) &amp; " "</f>
        <v xml:space="preserve">100.00% 오브젝트 아웃라인 관련 구현(권성빈) 12/28-1/1 </v>
      </c>
      <c r="AL12" s="191"/>
      <c r="AM12" s="191"/>
      <c r="AN12" s="191"/>
      <c r="AO12" s="191"/>
    </row>
    <row r="13" spans="1:94" ht="12" customHeight="1" outlineLevel="5">
      <c r="A13" s="203"/>
      <c r="B13" s="203"/>
      <c r="C13" s="203">
        <v>6</v>
      </c>
      <c r="D13" s="214" t="s">
        <v>1648</v>
      </c>
      <c r="E13" s="204"/>
      <c r="F13" s="204"/>
      <c r="G13" s="204"/>
      <c r="H13" s="204"/>
      <c r="I13" s="204"/>
      <c r="J13" s="204" t="s">
        <v>1647</v>
      </c>
      <c r="K13" s="204"/>
      <c r="L13" s="204"/>
      <c r="M13" s="204"/>
      <c r="N13" s="204"/>
      <c r="O13" s="204"/>
      <c r="P13" s="205">
        <v>44558</v>
      </c>
      <c r="Q13" s="205">
        <v>44562</v>
      </c>
      <c r="R13" s="206"/>
      <c r="S13" s="207">
        <v>4</v>
      </c>
      <c r="T13" s="207">
        <v>4</v>
      </c>
      <c r="U13" s="207">
        <v>4</v>
      </c>
      <c r="V13" s="207">
        <v>4</v>
      </c>
      <c r="W13" s="205"/>
      <c r="X13" s="205"/>
      <c r="Y13" s="208"/>
      <c r="Z13" s="209">
        <v>0</v>
      </c>
      <c r="AA13" s="207"/>
      <c r="AB13" s="206" t="s">
        <v>1579</v>
      </c>
      <c r="AC13" s="210"/>
      <c r="AD13" s="211">
        <v>1</v>
      </c>
      <c r="AE13" s="213">
        <v>1</v>
      </c>
      <c r="AF13" s="190"/>
      <c r="AG13" s="191"/>
      <c r="AH13" s="191"/>
      <c r="AI13" s="191"/>
      <c r="AJ13" s="191"/>
      <c r="AK13" s="191" t="str">
        <f>"" &amp; TEXT(AE13,"#0.00%") &amp; " " &amp; "플레이어의 상호작용 구현" &amp; "(권성빈)" &amp; " " &amp; IF(P13="","",TEXT(P13,"M/D-")) &amp; IF(Q13="","",TEXT(Q13,"M/D")) &amp; " "</f>
        <v xml:space="preserve">100.00% 플레이어의 상호작용 구현(권성빈) 12/28-1/1 </v>
      </c>
      <c r="AL13" s="191"/>
      <c r="AM13" s="191"/>
      <c r="AN13" s="191"/>
      <c r="AO13" s="191"/>
    </row>
    <row r="14" spans="1:94" ht="12" customHeight="1" outlineLevel="4">
      <c r="A14" s="203"/>
      <c r="B14" s="203"/>
      <c r="C14" s="203">
        <v>5</v>
      </c>
      <c r="D14" s="214" t="s">
        <v>1582</v>
      </c>
      <c r="E14" s="204"/>
      <c r="F14" s="204"/>
      <c r="G14" s="204"/>
      <c r="H14" s="204"/>
      <c r="I14" s="204" t="s">
        <v>1569</v>
      </c>
      <c r="J14" s="204"/>
      <c r="K14" s="204"/>
      <c r="L14" s="204"/>
      <c r="M14" s="204"/>
      <c r="N14" s="204"/>
      <c r="O14" s="204"/>
      <c r="P14" s="205">
        <v>44558</v>
      </c>
      <c r="Q14" s="205">
        <v>44564</v>
      </c>
      <c r="R14" s="206"/>
      <c r="S14" s="207">
        <v>5</v>
      </c>
      <c r="T14" s="207">
        <v>5</v>
      </c>
      <c r="U14" s="207">
        <v>5</v>
      </c>
      <c r="V14" s="207">
        <v>5</v>
      </c>
      <c r="W14" s="205"/>
      <c r="X14" s="205"/>
      <c r="Y14" s="208"/>
      <c r="Z14" s="209">
        <v>0</v>
      </c>
      <c r="AA14" s="207"/>
      <c r="AB14" s="206" t="s">
        <v>1580</v>
      </c>
      <c r="AC14" s="210"/>
      <c r="AD14" s="211">
        <v>1</v>
      </c>
      <c r="AE14" s="213">
        <v>1</v>
      </c>
      <c r="AF14" s="190"/>
      <c r="AG14" s="191"/>
      <c r="AH14" s="191"/>
      <c r="AI14" s="191"/>
      <c r="AJ14" s="191"/>
      <c r="AK14" s="191" t="str">
        <f>"  " &amp; TEXT(AE14,"#0.00%") &amp; " " &amp; "수집 오브젝트" &amp; "(박광현)" &amp; " " &amp; IF(P14="","",TEXT(P14,"M/D-")) &amp; IF(Q14="","",TEXT(Q14,"M/D")) &amp; " "</f>
        <v xml:space="preserve">  100.00% 수집 오브젝트(박광현) 12/28-1/3 </v>
      </c>
      <c r="AL14" s="191"/>
      <c r="AM14" s="191"/>
      <c r="AN14" s="191"/>
      <c r="AO14" s="191"/>
    </row>
    <row r="15" spans="1:94" ht="12" customHeight="1" outlineLevel="4">
      <c r="A15" s="203"/>
      <c r="B15" s="203"/>
      <c r="C15" s="203">
        <v>5</v>
      </c>
      <c r="D15" s="214" t="s">
        <v>1612</v>
      </c>
      <c r="E15" s="204"/>
      <c r="F15" s="204"/>
      <c r="G15" s="204"/>
      <c r="H15" s="204"/>
      <c r="I15" s="204" t="s">
        <v>1611</v>
      </c>
      <c r="J15" s="204"/>
      <c r="K15" s="204"/>
      <c r="L15" s="204"/>
      <c r="M15" s="204"/>
      <c r="N15" s="204"/>
      <c r="O15" s="204"/>
      <c r="P15" s="205">
        <v>44565</v>
      </c>
      <c r="Q15" s="205">
        <v>44571</v>
      </c>
      <c r="R15" s="206"/>
      <c r="S15" s="207">
        <v>5</v>
      </c>
      <c r="T15" s="207">
        <v>5</v>
      </c>
      <c r="U15" s="207">
        <v>5</v>
      </c>
      <c r="V15" s="207">
        <v>5</v>
      </c>
      <c r="W15" s="205"/>
      <c r="X15" s="205"/>
      <c r="Y15" s="208"/>
      <c r="Z15" s="209">
        <v>0</v>
      </c>
      <c r="AA15" s="207"/>
      <c r="AB15" s="206" t="s">
        <v>1580</v>
      </c>
      <c r="AC15" s="210"/>
      <c r="AD15" s="211">
        <v>1</v>
      </c>
      <c r="AE15" s="213">
        <v>1</v>
      </c>
      <c r="AF15" s="190"/>
      <c r="AG15" s="191"/>
      <c r="AH15" s="191"/>
      <c r="AI15" s="191"/>
      <c r="AJ15" s="191"/>
      <c r="AK15" s="191"/>
      <c r="AL15" s="191" t="str">
        <f>"  " &amp; TEXT(AE15,"#0.00%") &amp; " " &amp; "플레이어 수집물 인벤토리 구현" &amp; "(박광현)" &amp; " " &amp; IF(P15="","",TEXT(P15,"M/D-")) &amp; IF(Q15="","",TEXT(Q15,"M/D")) &amp; " "</f>
        <v xml:space="preserve">  100.00% 플레이어 수집물 인벤토리 구현(박광현) 1/4-1/10 </v>
      </c>
      <c r="AM15" s="191"/>
      <c r="AN15" s="191"/>
      <c r="AO15" s="191"/>
    </row>
    <row r="16" spans="1:94" ht="12" customHeight="1" outlineLevel="4">
      <c r="A16" s="203"/>
      <c r="B16" s="203"/>
      <c r="C16" s="203">
        <v>5</v>
      </c>
      <c r="D16" s="214" t="s">
        <v>1733</v>
      </c>
      <c r="E16" s="204"/>
      <c r="F16" s="204"/>
      <c r="G16" s="204"/>
      <c r="H16" s="204"/>
      <c r="I16" s="204" t="s">
        <v>1732</v>
      </c>
      <c r="J16" s="204"/>
      <c r="K16" s="204"/>
      <c r="L16" s="204"/>
      <c r="M16" s="204"/>
      <c r="N16" s="204"/>
      <c r="O16" s="204"/>
      <c r="P16" s="205">
        <v>44567</v>
      </c>
      <c r="Q16" s="205">
        <v>44573</v>
      </c>
      <c r="R16" s="206"/>
      <c r="S16" s="207">
        <v>5</v>
      </c>
      <c r="T16" s="207">
        <v>5</v>
      </c>
      <c r="U16" s="207">
        <v>5</v>
      </c>
      <c r="V16" s="207">
        <v>5</v>
      </c>
      <c r="W16" s="205"/>
      <c r="X16" s="205"/>
      <c r="Y16" s="208"/>
      <c r="Z16" s="209">
        <v>0</v>
      </c>
      <c r="AA16" s="207"/>
      <c r="AB16" s="206" t="s">
        <v>1580</v>
      </c>
      <c r="AC16" s="210"/>
      <c r="AD16" s="211">
        <v>1</v>
      </c>
      <c r="AE16" s="213">
        <v>1</v>
      </c>
      <c r="AF16" s="190"/>
      <c r="AG16" s="191"/>
      <c r="AH16" s="191"/>
      <c r="AI16" s="191"/>
      <c r="AJ16" s="191"/>
      <c r="AK16" s="191"/>
      <c r="AL16" s="191" t="str">
        <f>"    " &amp; TEXT(AE16,"#0.00%") &amp; " " &amp; "인벤토리 새로운 기획에 맞춰 구현" &amp; "(박광현)" &amp; " " &amp; IF(P16="","",TEXT(P16,"M/D-")) &amp; IF(Q16="","",TEXT(Q16,"M/D")) &amp; " "</f>
        <v xml:space="preserve">    100.00% 인벤토리 새로운 기획에 맞춰 구현(박광현) 1/6-1/12 </v>
      </c>
      <c r="AM16" s="191"/>
      <c r="AN16" s="191"/>
      <c r="AO16" s="191"/>
    </row>
    <row r="17" spans="1:41" ht="12" customHeight="1" outlineLevel="3">
      <c r="A17" s="203"/>
      <c r="B17" s="203" t="s">
        <v>1570</v>
      </c>
      <c r="C17" s="203">
        <v>4</v>
      </c>
      <c r="D17" s="214" t="s">
        <v>1635</v>
      </c>
      <c r="E17" s="204"/>
      <c r="F17" s="204"/>
      <c r="G17" s="204"/>
      <c r="H17" s="204" t="s">
        <v>1634</v>
      </c>
      <c r="I17" s="204"/>
      <c r="J17" s="204"/>
      <c r="K17" s="204"/>
      <c r="L17" s="204"/>
      <c r="M17" s="204"/>
      <c r="N17" s="204"/>
      <c r="O17" s="204"/>
      <c r="P17" s="205">
        <v>44558</v>
      </c>
      <c r="Q17" s="205">
        <v>44577</v>
      </c>
      <c r="R17" s="206"/>
      <c r="S17" s="207">
        <v>15</v>
      </c>
      <c r="T17" s="207">
        <v>15</v>
      </c>
      <c r="U17" s="207">
        <v>14</v>
      </c>
      <c r="V17" s="207">
        <v>14</v>
      </c>
      <c r="W17" s="205"/>
      <c r="X17" s="205"/>
      <c r="Y17" s="208">
        <v>0</v>
      </c>
      <c r="Z17" s="209">
        <v>0</v>
      </c>
      <c r="AA17" s="207"/>
      <c r="AB17" s="206"/>
      <c r="AC17" s="210"/>
      <c r="AD17" s="211">
        <v>1</v>
      </c>
      <c r="AE17" s="247">
        <v>1</v>
      </c>
      <c r="AF17" s="190"/>
      <c r="AG17" s="191"/>
      <c r="AH17" s="191"/>
      <c r="AI17" s="191"/>
      <c r="AJ17" s="191"/>
      <c r="AK17" s="191"/>
      <c r="AL17" s="191"/>
      <c r="AM17" s="191" t="str">
        <f>" " &amp; TEXT(AE17,"#0.00%") &amp; " " &amp; "퍼즐 관련 개발" &amp; " " &amp; IF(P17="","",TEXT(P17,"M/D-")) &amp; IF(Q17="","",TEXT(Q17,"M/D")) &amp; " "</f>
        <v xml:space="preserve"> 100.00% 퍼즐 관련 개발 12/28-1/16 </v>
      </c>
      <c r="AN17" s="191"/>
      <c r="AO17" s="191"/>
    </row>
    <row r="18" spans="1:41" ht="12" customHeight="1" outlineLevel="4">
      <c r="A18" s="203"/>
      <c r="B18" s="203" t="s">
        <v>1570</v>
      </c>
      <c r="C18" s="203">
        <v>5</v>
      </c>
      <c r="D18" s="214" t="s">
        <v>1637</v>
      </c>
      <c r="E18" s="204"/>
      <c r="F18" s="204"/>
      <c r="G18" s="204"/>
      <c r="H18" s="204"/>
      <c r="I18" s="204" t="s">
        <v>1636</v>
      </c>
      <c r="J18" s="204"/>
      <c r="K18" s="204"/>
      <c r="L18" s="204"/>
      <c r="M18" s="204"/>
      <c r="N18" s="204"/>
      <c r="O18" s="204"/>
      <c r="P18" s="205">
        <v>44558</v>
      </c>
      <c r="Q18" s="205">
        <v>44577</v>
      </c>
      <c r="R18" s="206"/>
      <c r="S18" s="207">
        <v>15</v>
      </c>
      <c r="T18" s="207">
        <v>15</v>
      </c>
      <c r="U18" s="207">
        <v>14</v>
      </c>
      <c r="V18" s="207">
        <v>14</v>
      </c>
      <c r="W18" s="205"/>
      <c r="X18" s="205"/>
      <c r="Y18" s="208">
        <v>0</v>
      </c>
      <c r="Z18" s="209">
        <v>0</v>
      </c>
      <c r="AA18" s="207"/>
      <c r="AB18" s="206" t="s">
        <v>1581</v>
      </c>
      <c r="AC18" s="210"/>
      <c r="AD18" s="211">
        <v>1</v>
      </c>
      <c r="AE18" s="247">
        <v>1</v>
      </c>
      <c r="AF18" s="190"/>
      <c r="AG18" s="191"/>
      <c r="AH18" s="191"/>
      <c r="AI18" s="191"/>
      <c r="AJ18" s="191"/>
      <c r="AK18" s="191"/>
      <c r="AL18" s="191"/>
      <c r="AM18" s="191" t="str">
        <f>" " &amp; TEXT(AE18,"#0.00%") &amp; " " &amp; "3D 러시아워 퍼즐 개발" &amp; "(김 건)" &amp; " " &amp; IF(P18="","",TEXT(P18,"M/D-")) &amp; IF(Q18="","",TEXT(Q18,"M/D")) &amp; " "</f>
        <v xml:space="preserve"> 100.00% 3D 러시아워 퍼즐 개발(김 건) 12/28-1/16 </v>
      </c>
      <c r="AN18" s="191"/>
      <c r="AO18" s="191"/>
    </row>
    <row r="19" spans="1:41" ht="12" customHeight="1" outlineLevel="5">
      <c r="A19" s="203"/>
      <c r="B19" s="203"/>
      <c r="C19" s="203">
        <v>6</v>
      </c>
      <c r="D19" s="214" t="s">
        <v>1650</v>
      </c>
      <c r="E19" s="204"/>
      <c r="F19" s="204"/>
      <c r="G19" s="204"/>
      <c r="H19" s="204"/>
      <c r="I19" s="204"/>
      <c r="J19" s="204" t="s">
        <v>1659</v>
      </c>
      <c r="K19" s="204"/>
      <c r="L19" s="204"/>
      <c r="M19" s="204"/>
      <c r="N19" s="204"/>
      <c r="O19" s="204"/>
      <c r="P19" s="205">
        <v>44558</v>
      </c>
      <c r="Q19" s="205">
        <v>44571</v>
      </c>
      <c r="R19" s="206"/>
      <c r="S19" s="207">
        <v>10</v>
      </c>
      <c r="T19" s="207">
        <v>10</v>
      </c>
      <c r="U19" s="207">
        <v>10</v>
      </c>
      <c r="V19" s="207">
        <v>10</v>
      </c>
      <c r="W19" s="205"/>
      <c r="X19" s="205"/>
      <c r="Y19" s="208"/>
      <c r="Z19" s="209">
        <v>0</v>
      </c>
      <c r="AA19" s="207"/>
      <c r="AB19" s="206" t="s">
        <v>1581</v>
      </c>
      <c r="AC19" s="210"/>
      <c r="AD19" s="211">
        <v>1</v>
      </c>
      <c r="AE19" s="213">
        <v>1</v>
      </c>
      <c r="AF19" s="190"/>
      <c r="AG19" s="191"/>
      <c r="AH19" s="191"/>
      <c r="AI19" s="191"/>
      <c r="AJ19" s="191"/>
      <c r="AK19" s="191"/>
      <c r="AL19" s="191" t="str">
        <f>"  " &amp; TEXT(AE19,"#0.00%") &amp; " " &amp; "플레이어 입력 반영" &amp; "(김 건)" &amp; " " &amp; IF(P19="","",TEXT(P19,"M/D-")) &amp; IF(Q19="","",TEXT(Q19,"M/D")) &amp; " "</f>
        <v xml:space="preserve">  100.00% 플레이어 입력 반영(김 건) 12/28-1/10 </v>
      </c>
      <c r="AM19" s="191"/>
      <c r="AN19" s="191"/>
      <c r="AO19" s="191"/>
    </row>
    <row r="20" spans="1:41" ht="12" customHeight="1" outlineLevel="5">
      <c r="A20" s="203"/>
      <c r="B20" s="203"/>
      <c r="C20" s="203">
        <v>6</v>
      </c>
      <c r="D20" s="214" t="s">
        <v>1652</v>
      </c>
      <c r="E20" s="204"/>
      <c r="F20" s="204"/>
      <c r="G20" s="204"/>
      <c r="H20" s="204"/>
      <c r="I20" s="204"/>
      <c r="J20" s="204" t="s">
        <v>1649</v>
      </c>
      <c r="K20" s="204"/>
      <c r="L20" s="204"/>
      <c r="M20" s="204"/>
      <c r="N20" s="204"/>
      <c r="O20" s="204"/>
      <c r="P20" s="205">
        <v>44558</v>
      </c>
      <c r="Q20" s="205">
        <v>44564</v>
      </c>
      <c r="R20" s="206"/>
      <c r="S20" s="207">
        <v>5</v>
      </c>
      <c r="T20" s="207">
        <v>5</v>
      </c>
      <c r="U20" s="207">
        <v>5</v>
      </c>
      <c r="V20" s="207">
        <v>5</v>
      </c>
      <c r="W20" s="205"/>
      <c r="X20" s="205"/>
      <c r="Y20" s="208"/>
      <c r="Z20" s="209">
        <v>0</v>
      </c>
      <c r="AA20" s="207"/>
      <c r="AB20" s="206" t="s">
        <v>1581</v>
      </c>
      <c r="AC20" s="210"/>
      <c r="AD20" s="211">
        <v>1</v>
      </c>
      <c r="AE20" s="213">
        <v>1</v>
      </c>
      <c r="AF20" s="190"/>
      <c r="AG20" s="191"/>
      <c r="AH20" s="191"/>
      <c r="AI20" s="191"/>
      <c r="AJ20" s="191"/>
      <c r="AK20" s="191" t="str">
        <f>"  " &amp; TEXT(AE20,"#0.00%") &amp; " " &amp; "3D 큐브로 프로토타입 개발" &amp; "(김 건)" &amp; " " &amp; IF(P20="","",TEXT(P20,"M/D-")) &amp; IF(Q20="","",TEXT(Q20,"M/D")) &amp; " "</f>
        <v xml:space="preserve">  100.00% 3D 큐브로 프로토타입 개발(김 건) 12/28-1/3 </v>
      </c>
      <c r="AL20" s="191"/>
      <c r="AM20" s="191"/>
      <c r="AN20" s="191"/>
      <c r="AO20" s="191"/>
    </row>
    <row r="21" spans="1:41" ht="12" customHeight="1" outlineLevel="5">
      <c r="A21" s="203"/>
      <c r="B21" s="203"/>
      <c r="C21" s="203">
        <v>6</v>
      </c>
      <c r="D21" s="214" t="s">
        <v>1660</v>
      </c>
      <c r="E21" s="204"/>
      <c r="F21" s="204"/>
      <c r="G21" s="204"/>
      <c r="H21" s="204"/>
      <c r="I21" s="204"/>
      <c r="J21" s="204" t="s">
        <v>1651</v>
      </c>
      <c r="K21" s="204"/>
      <c r="L21" s="204"/>
      <c r="M21" s="204"/>
      <c r="N21" s="204"/>
      <c r="O21" s="204"/>
      <c r="P21" s="205">
        <v>44576</v>
      </c>
      <c r="Q21" s="205">
        <v>44577</v>
      </c>
      <c r="R21" s="206"/>
      <c r="S21" s="207">
        <v>0</v>
      </c>
      <c r="T21" s="207">
        <v>0</v>
      </c>
      <c r="U21" s="207">
        <v>0</v>
      </c>
      <c r="V21" s="207">
        <v>0</v>
      </c>
      <c r="W21" s="205"/>
      <c r="X21" s="205"/>
      <c r="Y21" s="208"/>
      <c r="Z21" s="209">
        <v>0</v>
      </c>
      <c r="AA21" s="207"/>
      <c r="AB21" s="206" t="s">
        <v>1581</v>
      </c>
      <c r="AC21" s="210"/>
      <c r="AD21" s="211">
        <v>0</v>
      </c>
      <c r="AE21" s="213">
        <v>0</v>
      </c>
      <c r="AF21" s="190"/>
      <c r="AG21" s="191"/>
      <c r="AH21" s="191"/>
      <c r="AI21" s="191"/>
      <c r="AJ21" s="191"/>
      <c r="AK21" s="191"/>
      <c r="AL21" s="191" t="str">
        <f>"      " &amp; TEXT(AE21,"#0.00%") &amp; " " &amp; "모델링 된 모델 적용" &amp; "(김 건)" &amp; " " &amp; IF(P21="","",TEXT(P21,"M/D-")) &amp; IF(Q21="","",TEXT(Q21,"M/D")) &amp; " "</f>
        <v xml:space="preserve">      0.00% 모델링 된 모델 적용(김 건) 1/15-1/16 </v>
      </c>
      <c r="AM21" s="191"/>
      <c r="AN21" s="191"/>
      <c r="AO21" s="191"/>
    </row>
    <row r="22" spans="1:41" ht="12" customHeight="1" outlineLevel="2">
      <c r="A22" s="203"/>
      <c r="B22" s="203" t="s">
        <v>1570</v>
      </c>
      <c r="C22" s="203">
        <v>3</v>
      </c>
      <c r="D22" s="214" t="s">
        <v>1083</v>
      </c>
      <c r="E22" s="204"/>
      <c r="F22" s="204"/>
      <c r="G22" s="204" t="s">
        <v>1613</v>
      </c>
      <c r="H22" s="204"/>
      <c r="I22" s="204"/>
      <c r="J22" s="204"/>
      <c r="K22" s="204"/>
      <c r="L22" s="204"/>
      <c r="M22" s="204"/>
      <c r="N22" s="204"/>
      <c r="O22" s="204"/>
      <c r="P22" s="205">
        <v>44558</v>
      </c>
      <c r="Q22" s="205">
        <v>44581</v>
      </c>
      <c r="R22" s="206"/>
      <c r="S22" s="207">
        <v>33</v>
      </c>
      <c r="T22" s="207">
        <v>31</v>
      </c>
      <c r="U22" s="207">
        <v>18</v>
      </c>
      <c r="V22" s="207">
        <v>16</v>
      </c>
      <c r="W22" s="205"/>
      <c r="X22" s="205"/>
      <c r="Y22" s="208">
        <v>0</v>
      </c>
      <c r="Z22" s="209">
        <v>0</v>
      </c>
      <c r="AA22" s="207"/>
      <c r="AB22" s="206"/>
      <c r="AC22" s="210"/>
      <c r="AD22" s="211">
        <v>0.93939393939393945</v>
      </c>
      <c r="AE22" s="251">
        <v>0.72727272727272729</v>
      </c>
      <c r="AF22" s="190"/>
      <c r="AG22" s="191"/>
      <c r="AH22" s="191"/>
      <c r="AI22" s="191"/>
      <c r="AJ22" s="191"/>
      <c r="AK22" s="191"/>
      <c r="AL22" s="191" t="str">
        <f>"     " &amp; TEXT(AE22,"#0.00%") &amp; " " &amp; "UI 관련" &amp; " " &amp; IF(P22="","",TEXT(P22,"M/D-")) &amp; IF(Q22="","",TEXT(Q22,"M/D")) &amp; " "</f>
        <v xml:space="preserve">     72.73% UI 관련 12/28-1/20 </v>
      </c>
      <c r="AM22" s="191"/>
      <c r="AN22" s="191"/>
      <c r="AO22" s="191"/>
    </row>
    <row r="23" spans="1:41" ht="12" customHeight="1" outlineLevel="3">
      <c r="A23" s="203"/>
      <c r="B23" s="203" t="s">
        <v>1570</v>
      </c>
      <c r="C23" s="203">
        <v>4</v>
      </c>
      <c r="D23" s="214" t="s">
        <v>1451</v>
      </c>
      <c r="E23" s="204"/>
      <c r="F23" s="204"/>
      <c r="G23" s="204"/>
      <c r="H23" s="204" t="s">
        <v>1631</v>
      </c>
      <c r="I23" s="204"/>
      <c r="J23" s="204"/>
      <c r="K23" s="204"/>
      <c r="L23" s="204"/>
      <c r="M23" s="204"/>
      <c r="N23" s="204"/>
      <c r="O23" s="204"/>
      <c r="P23" s="205">
        <v>44558</v>
      </c>
      <c r="Q23" s="205">
        <v>44576</v>
      </c>
      <c r="R23" s="206"/>
      <c r="S23" s="207">
        <v>15</v>
      </c>
      <c r="T23" s="207">
        <v>15</v>
      </c>
      <c r="U23" s="207">
        <v>14</v>
      </c>
      <c r="V23" s="207">
        <v>14</v>
      </c>
      <c r="W23" s="205"/>
      <c r="X23" s="205"/>
      <c r="Y23" s="208">
        <v>0</v>
      </c>
      <c r="Z23" s="209">
        <v>0</v>
      </c>
      <c r="AA23" s="207"/>
      <c r="AB23" s="206"/>
      <c r="AC23" s="210"/>
      <c r="AD23" s="211">
        <v>1</v>
      </c>
      <c r="AE23" s="247">
        <v>1</v>
      </c>
      <c r="AF23" s="190"/>
      <c r="AG23" s="191"/>
      <c r="AH23" s="191"/>
      <c r="AI23" s="191"/>
      <c r="AJ23" s="191"/>
      <c r="AK23" s="191"/>
      <c r="AL23" s="191"/>
      <c r="AM23" s="191" t="str">
        <f>"" &amp; TEXT(AE23,"#0.00%") &amp; " " &amp; "타이틀 화면 UI" &amp; " " &amp; IF(P23="","",TEXT(P23,"M/D-")) &amp; IF(Q23="","",TEXT(Q23,"M/D")) &amp; " "</f>
        <v xml:space="preserve">100.00% 타이틀 화면 UI 12/28-1/15 </v>
      </c>
      <c r="AN23" s="191"/>
      <c r="AO23" s="191"/>
    </row>
    <row r="24" spans="1:41" ht="12" customHeight="1" outlineLevel="4">
      <c r="A24" s="203"/>
      <c r="B24" s="203"/>
      <c r="C24" s="203">
        <v>5</v>
      </c>
      <c r="D24" s="214" t="s">
        <v>1633</v>
      </c>
      <c r="E24" s="204"/>
      <c r="F24" s="204"/>
      <c r="G24" s="204"/>
      <c r="H24" s="204"/>
      <c r="I24" s="204" t="s">
        <v>1632</v>
      </c>
      <c r="J24" s="204"/>
      <c r="K24" s="204"/>
      <c r="L24" s="204"/>
      <c r="M24" s="204"/>
      <c r="N24" s="204"/>
      <c r="O24" s="204"/>
      <c r="P24" s="205">
        <v>44558</v>
      </c>
      <c r="Q24" s="205">
        <v>44571</v>
      </c>
      <c r="R24" s="206"/>
      <c r="S24" s="207">
        <v>10</v>
      </c>
      <c r="T24" s="207">
        <v>10</v>
      </c>
      <c r="U24" s="207">
        <v>10</v>
      </c>
      <c r="V24" s="207">
        <v>10</v>
      </c>
      <c r="W24" s="205"/>
      <c r="X24" s="205"/>
      <c r="Y24" s="208"/>
      <c r="Z24" s="209">
        <v>0</v>
      </c>
      <c r="AA24" s="207"/>
      <c r="AB24" s="206" t="s">
        <v>1580</v>
      </c>
      <c r="AC24" s="210"/>
      <c r="AD24" s="211">
        <v>1</v>
      </c>
      <c r="AE24" s="213">
        <v>1</v>
      </c>
      <c r="AF24" s="190"/>
      <c r="AG24" s="191"/>
      <c r="AH24" s="191"/>
      <c r="AI24" s="191"/>
      <c r="AJ24" s="191"/>
      <c r="AK24" s="191"/>
      <c r="AL24" s="191" t="str">
        <f>"  " &amp; TEXT(AE24,"#0.00%") &amp; " " &amp; "게임 플레이로 이동" &amp; "(박광현)" &amp; " " &amp; IF(P24="","",TEXT(P24,"M/D-")) &amp; IF(Q24="","",TEXT(Q24,"M/D")) &amp; " "</f>
        <v xml:space="preserve">  100.00% 게임 플레이로 이동(박광현) 12/28-1/10 </v>
      </c>
      <c r="AM24" s="191"/>
      <c r="AN24" s="191"/>
      <c r="AO24" s="191"/>
    </row>
    <row r="25" spans="1:41" ht="12" customHeight="1" outlineLevel="4">
      <c r="A25" s="203"/>
      <c r="B25" s="203"/>
      <c r="C25" s="203">
        <v>5</v>
      </c>
      <c r="D25" s="214" t="s">
        <v>1727</v>
      </c>
      <c r="E25" s="204"/>
      <c r="F25" s="204"/>
      <c r="G25" s="204"/>
      <c r="H25" s="204"/>
      <c r="I25" s="204" t="s">
        <v>1726</v>
      </c>
      <c r="J25" s="204"/>
      <c r="K25" s="204"/>
      <c r="L25" s="204"/>
      <c r="M25" s="204"/>
      <c r="N25" s="204"/>
      <c r="O25" s="204"/>
      <c r="P25" s="205">
        <v>44571</v>
      </c>
      <c r="Q25" s="205">
        <v>44573</v>
      </c>
      <c r="R25" s="206"/>
      <c r="S25" s="207">
        <v>3</v>
      </c>
      <c r="T25" s="207">
        <v>3</v>
      </c>
      <c r="U25" s="207">
        <v>3</v>
      </c>
      <c r="V25" s="207">
        <v>3</v>
      </c>
      <c r="W25" s="205"/>
      <c r="X25" s="205"/>
      <c r="Y25" s="208"/>
      <c r="Z25" s="209">
        <v>0</v>
      </c>
      <c r="AA25" s="207"/>
      <c r="AB25" s="206" t="s">
        <v>1580</v>
      </c>
      <c r="AC25" s="210"/>
      <c r="AD25" s="211">
        <v>1</v>
      </c>
      <c r="AE25" s="213">
        <v>1</v>
      </c>
      <c r="AF25" s="190"/>
      <c r="AG25" s="191"/>
      <c r="AH25" s="191"/>
      <c r="AI25" s="191"/>
      <c r="AJ25" s="191"/>
      <c r="AK25" s="191"/>
      <c r="AL25" s="191" t="str">
        <f>"    " &amp; TEXT(AE25,"#0.00%") &amp; " " &amp; "게임 플레이로 이동 전에 로딩화면에 진입 후 이동" &amp; "(박광현)" &amp; " " &amp; IF(P25="","",TEXT(P25,"M/D-")) &amp; IF(Q25="","",TEXT(Q25,"M/D")) &amp; " "</f>
        <v xml:space="preserve">    100.00% 게임 플레이로 이동 전에 로딩화면에 진입 후 이동(박광현) 1/10-1/12 </v>
      </c>
      <c r="AM25" s="191"/>
      <c r="AN25" s="191"/>
      <c r="AO25" s="191"/>
    </row>
    <row r="26" spans="1:41" ht="12" customHeight="1" outlineLevel="4">
      <c r="A26" s="203"/>
      <c r="B26" s="203"/>
      <c r="C26" s="203">
        <v>5</v>
      </c>
      <c r="D26" s="214" t="s">
        <v>1729</v>
      </c>
      <c r="E26" s="204"/>
      <c r="F26" s="204"/>
      <c r="G26" s="204"/>
      <c r="H26" s="204"/>
      <c r="I26" s="204" t="s">
        <v>1728</v>
      </c>
      <c r="J26" s="204"/>
      <c r="K26" s="204"/>
      <c r="L26" s="204"/>
      <c r="M26" s="204"/>
      <c r="N26" s="204"/>
      <c r="O26" s="204"/>
      <c r="P26" s="205">
        <v>44574</v>
      </c>
      <c r="Q26" s="205">
        <v>44576</v>
      </c>
      <c r="R26" s="206"/>
      <c r="S26" s="207">
        <v>2</v>
      </c>
      <c r="T26" s="207">
        <v>2</v>
      </c>
      <c r="U26" s="207">
        <v>2</v>
      </c>
      <c r="V26" s="207">
        <v>2</v>
      </c>
      <c r="W26" s="205"/>
      <c r="X26" s="205"/>
      <c r="Y26" s="208"/>
      <c r="Z26" s="209">
        <v>0</v>
      </c>
      <c r="AA26" s="207"/>
      <c r="AB26" s="206" t="s">
        <v>1580</v>
      </c>
      <c r="AC26" s="210"/>
      <c r="AD26" s="211">
        <v>1</v>
      </c>
      <c r="AE26" s="213">
        <v>1</v>
      </c>
      <c r="AF26" s="190"/>
      <c r="AG26" s="191"/>
      <c r="AH26" s="191"/>
      <c r="AI26" s="191"/>
      <c r="AJ26" s="191"/>
      <c r="AK26" s="191"/>
      <c r="AL26" s="191"/>
      <c r="AM26" s="191" t="str">
        <f>"" &amp; TEXT(AE26,"#0.00%") &amp; " " &amp; "로딩화면 메시지 띄우는 기능 완성" &amp; "(박광현)" &amp; " " &amp; IF(P26="","",TEXT(P26,"M/D-")) &amp; IF(Q26="","",TEXT(Q26,"M/D")) &amp; " "</f>
        <v xml:space="preserve">100.00% 로딩화면 메시지 띄우는 기능 완성(박광현) 1/13-1/15 </v>
      </c>
      <c r="AN26" s="191"/>
      <c r="AO26" s="191"/>
    </row>
    <row r="27" spans="1:41" ht="12" customHeight="1" outlineLevel="3">
      <c r="A27" s="203"/>
      <c r="B27" s="203" t="s">
        <v>1570</v>
      </c>
      <c r="C27" s="203">
        <v>4</v>
      </c>
      <c r="D27" s="214" t="s">
        <v>1453</v>
      </c>
      <c r="E27" s="204"/>
      <c r="F27" s="204"/>
      <c r="G27" s="204"/>
      <c r="H27" s="204" t="s">
        <v>1666</v>
      </c>
      <c r="I27" s="204"/>
      <c r="J27" s="204"/>
      <c r="K27" s="204"/>
      <c r="L27" s="204"/>
      <c r="M27" s="204"/>
      <c r="N27" s="204"/>
      <c r="O27" s="204"/>
      <c r="P27" s="205">
        <v>44562</v>
      </c>
      <c r="Q27" s="205">
        <v>44581</v>
      </c>
      <c r="R27" s="206"/>
      <c r="S27" s="207">
        <v>18</v>
      </c>
      <c r="T27" s="207">
        <v>16</v>
      </c>
      <c r="U27" s="207">
        <v>14</v>
      </c>
      <c r="V27" s="207">
        <v>12</v>
      </c>
      <c r="W27" s="205"/>
      <c r="X27" s="205"/>
      <c r="Y27" s="208">
        <v>0</v>
      </c>
      <c r="Z27" s="209">
        <v>0</v>
      </c>
      <c r="AA27" s="207"/>
      <c r="AB27" s="206"/>
      <c r="AC27" s="210"/>
      <c r="AD27" s="211">
        <v>0.88888888888888884</v>
      </c>
      <c r="AE27" s="251">
        <v>0.5</v>
      </c>
      <c r="AF27" s="190"/>
      <c r="AG27" s="191"/>
      <c r="AH27" s="191"/>
      <c r="AI27" s="191"/>
      <c r="AJ27" s="191"/>
      <c r="AK27" s="191"/>
      <c r="AL27" s="191" t="str">
        <f>"  " &amp; TEXT(AE27,"#0.00%") &amp; " " &amp; "인게임 UI" &amp; " " &amp; IF(P27="","",TEXT(P27,"M/D-")) &amp; IF(Q27="","",TEXT(Q27,"M/D")) &amp; " "</f>
        <v xml:space="preserve">  50.00% 인게임 UI 1/1-1/20 </v>
      </c>
      <c r="AM27" s="191"/>
      <c r="AN27" s="191"/>
      <c r="AO27" s="191"/>
    </row>
    <row r="28" spans="1:41" ht="12" customHeight="1" outlineLevel="4">
      <c r="A28" s="203"/>
      <c r="B28" s="203"/>
      <c r="C28" s="203">
        <v>5</v>
      </c>
      <c r="D28" s="214" t="s">
        <v>1668</v>
      </c>
      <c r="E28" s="204"/>
      <c r="F28" s="204"/>
      <c r="G28" s="204"/>
      <c r="H28" s="204"/>
      <c r="I28" s="204" t="s">
        <v>1667</v>
      </c>
      <c r="J28" s="204"/>
      <c r="K28" s="204"/>
      <c r="L28" s="204"/>
      <c r="M28" s="204"/>
      <c r="N28" s="204"/>
      <c r="O28" s="204"/>
      <c r="P28" s="205">
        <v>44562</v>
      </c>
      <c r="Q28" s="205">
        <v>44579</v>
      </c>
      <c r="R28" s="206"/>
      <c r="S28" s="207">
        <v>12</v>
      </c>
      <c r="T28" s="207">
        <v>12</v>
      </c>
      <c r="U28" s="207">
        <v>12</v>
      </c>
      <c r="V28" s="207">
        <v>12</v>
      </c>
      <c r="W28" s="205"/>
      <c r="X28" s="205"/>
      <c r="Y28" s="208"/>
      <c r="Z28" s="209">
        <v>0</v>
      </c>
      <c r="AA28" s="207"/>
      <c r="AB28" s="206" t="s">
        <v>1579</v>
      </c>
      <c r="AC28" s="210"/>
      <c r="AD28" s="211">
        <v>1</v>
      </c>
      <c r="AE28" s="250">
        <v>0.75</v>
      </c>
      <c r="AF28" s="190"/>
      <c r="AG28" s="191"/>
      <c r="AH28" s="191"/>
      <c r="AI28" s="191"/>
      <c r="AJ28" s="191"/>
      <c r="AK28" s="191"/>
      <c r="AL28" s="191" t="str">
        <f>"      " &amp; TEXT(AE28,"#0.00%") &amp; " " &amp; "일시정지 UI 및 옵션 조절" &amp; "(권성빈)" &amp; " " &amp; IF(P28="","",TEXT(P28,"M/D-")) &amp; IF(Q28="","",TEXT(Q28,"M/D")) &amp; " "</f>
        <v xml:space="preserve">      75.00% 일시정지 UI 및 옵션 조절(권성빈) 1/1-1/18 </v>
      </c>
      <c r="AM28" s="191"/>
      <c r="AN28" s="191"/>
      <c r="AO28" s="191"/>
    </row>
    <row r="29" spans="1:41" ht="12" customHeight="1" outlineLevel="4">
      <c r="A29" s="203"/>
      <c r="B29" s="203"/>
      <c r="C29" s="203">
        <v>5</v>
      </c>
      <c r="D29" s="214" t="s">
        <v>1731</v>
      </c>
      <c r="E29" s="204"/>
      <c r="F29" s="204"/>
      <c r="G29" s="204"/>
      <c r="H29" s="204"/>
      <c r="I29" s="204" t="s">
        <v>1730</v>
      </c>
      <c r="J29" s="204"/>
      <c r="K29" s="204"/>
      <c r="L29" s="204"/>
      <c r="M29" s="204"/>
      <c r="N29" s="204"/>
      <c r="O29" s="204"/>
      <c r="P29" s="205">
        <v>44574</v>
      </c>
      <c r="Q29" s="205">
        <v>44581</v>
      </c>
      <c r="R29" s="206"/>
      <c r="S29" s="207">
        <v>6</v>
      </c>
      <c r="T29" s="207">
        <v>4</v>
      </c>
      <c r="U29" s="207">
        <v>6</v>
      </c>
      <c r="V29" s="207">
        <v>4</v>
      </c>
      <c r="W29" s="205"/>
      <c r="X29" s="205"/>
      <c r="Y29" s="208"/>
      <c r="Z29" s="209">
        <v>0</v>
      </c>
      <c r="AA29" s="207"/>
      <c r="AB29" s="206" t="s">
        <v>1579</v>
      </c>
      <c r="AC29" s="210"/>
      <c r="AD29" s="211">
        <v>0.66666666666666663</v>
      </c>
      <c r="AE29" s="250">
        <v>0</v>
      </c>
      <c r="AF29" s="190"/>
      <c r="AG29" s="191"/>
      <c r="AH29" s="191"/>
      <c r="AI29" s="191"/>
      <c r="AJ29" s="191"/>
      <c r="AK29" s="191"/>
      <c r="AL29" s="191" t="str">
        <f>"    " &amp; TEXT(AE29,"#0.00%") &amp; " " &amp; "인게임 중 대사 ( 로그 시스템 추가 )" &amp; "(권성빈)" &amp; " " &amp; IF(P29="","",TEXT(P29,"M/D-")) &amp; IF(Q29="","",TEXT(Q29,"M/D")) &amp; " "</f>
        <v xml:space="preserve">    0.00% 인게임 중 대사 ( 로그 시스템 추가 )(권성빈) 1/13-1/20 </v>
      </c>
      <c r="AM29" s="191"/>
      <c r="AN29" s="191"/>
      <c r="AO29" s="191"/>
    </row>
    <row r="30" spans="1:41" ht="12" customHeight="1" outlineLevel="2">
      <c r="A30" s="203"/>
      <c r="B30" s="203" t="s">
        <v>1570</v>
      </c>
      <c r="C30" s="203">
        <v>3</v>
      </c>
      <c r="D30" s="214" t="s">
        <v>1104</v>
      </c>
      <c r="E30" s="204"/>
      <c r="F30" s="204"/>
      <c r="G30" s="204" t="s">
        <v>1653</v>
      </c>
      <c r="H30" s="204"/>
      <c r="I30" s="204"/>
      <c r="J30" s="204"/>
      <c r="K30" s="204"/>
      <c r="L30" s="204"/>
      <c r="M30" s="204"/>
      <c r="N30" s="204"/>
      <c r="O30" s="204"/>
      <c r="P30" s="205">
        <v>44581</v>
      </c>
      <c r="Q30" s="205">
        <v>44587</v>
      </c>
      <c r="R30" s="206"/>
      <c r="S30" s="207">
        <v>7</v>
      </c>
      <c r="T30" s="207">
        <v>0</v>
      </c>
      <c r="U30" s="207">
        <v>5</v>
      </c>
      <c r="V30" s="207">
        <v>0</v>
      </c>
      <c r="W30" s="205"/>
      <c r="X30" s="205"/>
      <c r="Y30" s="208">
        <v>0</v>
      </c>
      <c r="Z30" s="209">
        <v>0</v>
      </c>
      <c r="AA30" s="207"/>
      <c r="AB30" s="206"/>
      <c r="AC30" s="210"/>
      <c r="AD30" s="211">
        <v>0</v>
      </c>
      <c r="AE30" s="249">
        <v>0.42857142857142855</v>
      </c>
      <c r="AF30" s="190"/>
      <c r="AG30" s="191"/>
      <c r="AH30" s="191"/>
      <c r="AI30" s="191"/>
      <c r="AJ30" s="191"/>
      <c r="AK30" s="191"/>
      <c r="AL30" s="191"/>
      <c r="AM30" s="191"/>
      <c r="AN30" s="191" t="str">
        <f>"" &amp; TEXT(AE30,"#0.00%") &amp; " " &amp; "프로토타입 제출" &amp; " " &amp; IF(P30="","",TEXT(P30,"M/D-")) &amp; IF(Q30="","",TEXT(Q30,"M/D")) &amp; " "</f>
        <v xml:space="preserve">42.86% 프로토타입 제출 1/20-1/26 </v>
      </c>
      <c r="AO30" s="191"/>
    </row>
    <row r="31" spans="1:41" ht="12" customHeight="1" outlineLevel="3">
      <c r="A31" s="203"/>
      <c r="B31" s="203"/>
      <c r="C31" s="203">
        <v>4</v>
      </c>
      <c r="D31" s="214" t="s">
        <v>1655</v>
      </c>
      <c r="E31" s="204"/>
      <c r="F31" s="204"/>
      <c r="G31" s="204"/>
      <c r="H31" s="204" t="s">
        <v>1654</v>
      </c>
      <c r="I31" s="204"/>
      <c r="J31" s="204"/>
      <c r="K31" s="204"/>
      <c r="L31" s="204"/>
      <c r="M31" s="204"/>
      <c r="N31" s="204"/>
      <c r="O31" s="204"/>
      <c r="P31" s="205">
        <v>44585</v>
      </c>
      <c r="Q31" s="205">
        <v>44587</v>
      </c>
      <c r="R31" s="206"/>
      <c r="S31" s="207">
        <v>3</v>
      </c>
      <c r="T31" s="207">
        <v>0</v>
      </c>
      <c r="U31" s="207">
        <v>3</v>
      </c>
      <c r="V31" s="207">
        <v>0</v>
      </c>
      <c r="W31" s="205"/>
      <c r="X31" s="205"/>
      <c r="Y31" s="208"/>
      <c r="Z31" s="209">
        <v>0</v>
      </c>
      <c r="AA31" s="207"/>
      <c r="AB31" s="206" t="s">
        <v>1658</v>
      </c>
      <c r="AC31" s="210"/>
      <c r="AD31" s="211">
        <v>0</v>
      </c>
      <c r="AE31" s="248">
        <v>1</v>
      </c>
      <c r="AF31" s="190"/>
      <c r="AG31" s="191"/>
      <c r="AH31" s="191"/>
      <c r="AI31" s="191"/>
      <c r="AJ31" s="191"/>
      <c r="AK31" s="191"/>
      <c r="AL31" s="191"/>
      <c r="AM31" s="191"/>
      <c r="AN31" s="191" t="str">
        <f>"    " &amp; TEXT(AE31,"#0.00%") &amp; " " &amp; "프로토타입 씬과 메인메뉴 연결" &amp; "(개발 전원 협력)" &amp; " " &amp; IF(P31="","",TEXT(P31,"M/D-")) &amp; IF(Q31="","",TEXT(Q31,"M/D")) &amp; " "</f>
        <v xml:space="preserve">    100.00% 프로토타입 씬과 메인메뉴 연결(개발 전원 협력) 1/24-1/26 </v>
      </c>
      <c r="AO31" s="191"/>
    </row>
    <row r="32" spans="1:41" ht="12" customHeight="1" outlineLevel="3">
      <c r="A32" s="203"/>
      <c r="B32" s="203"/>
      <c r="C32" s="203">
        <v>4</v>
      </c>
      <c r="D32" s="214" t="s">
        <v>1656</v>
      </c>
      <c r="E32" s="204"/>
      <c r="F32" s="204"/>
      <c r="G32" s="204"/>
      <c r="H32" s="204" t="s">
        <v>1657</v>
      </c>
      <c r="I32" s="204"/>
      <c r="J32" s="204"/>
      <c r="K32" s="204"/>
      <c r="L32" s="204"/>
      <c r="M32" s="204"/>
      <c r="N32" s="204"/>
      <c r="O32" s="204"/>
      <c r="P32" s="205">
        <v>44581</v>
      </c>
      <c r="Q32" s="205">
        <v>44586</v>
      </c>
      <c r="R32" s="205">
        <v>44484</v>
      </c>
      <c r="S32" s="207">
        <v>4</v>
      </c>
      <c r="T32" s="207">
        <v>0</v>
      </c>
      <c r="U32" s="207">
        <v>4</v>
      </c>
      <c r="V32" s="207">
        <v>0</v>
      </c>
      <c r="W32" s="205"/>
      <c r="X32" s="205"/>
      <c r="Y32" s="208"/>
      <c r="Z32" s="209">
        <v>0</v>
      </c>
      <c r="AA32" s="207"/>
      <c r="AB32" s="206" t="s">
        <v>1658</v>
      </c>
      <c r="AC32" s="210"/>
      <c r="AD32" s="211">
        <v>0</v>
      </c>
      <c r="AE32" s="213">
        <v>0</v>
      </c>
      <c r="AF32" s="190"/>
      <c r="AG32" s="191"/>
      <c r="AH32" s="191"/>
      <c r="AI32" s="191"/>
      <c r="AJ32" s="191"/>
      <c r="AK32" s="191"/>
      <c r="AL32" s="191"/>
      <c r="AM32" s="191" t="str">
        <f>"    " &amp; TEXT(AE32,"#0.00%") &amp; " " &amp; "프로토타입 제출 전 연출들 제작 및 연결" &amp; "(개발 전원 협력)" &amp; " " &amp; IF(P32="","",TEXT(P32,"M/D-")) &amp; IF(Q32="","",TEXT(Q32,"M/D")) &amp; " "</f>
        <v xml:space="preserve">    0.00% 프로토타입 제출 전 연출들 제작 및 연결(개발 전원 협력) 1/20-1/25 </v>
      </c>
      <c r="AN32" s="191"/>
      <c r="AO32" s="191"/>
    </row>
    <row r="33" spans="1:41" ht="12" customHeight="1" outlineLevel="1">
      <c r="A33" s="203"/>
      <c r="B33" s="203" t="s">
        <v>1570</v>
      </c>
      <c r="C33" s="203">
        <v>2</v>
      </c>
      <c r="D33" s="214" t="s">
        <v>1084</v>
      </c>
      <c r="E33" s="204"/>
      <c r="F33" s="204" t="s">
        <v>1583</v>
      </c>
      <c r="G33" s="204"/>
      <c r="H33" s="204"/>
      <c r="I33" s="204"/>
      <c r="J33" s="204"/>
      <c r="K33" s="204"/>
      <c r="L33" s="204"/>
      <c r="M33" s="204"/>
      <c r="N33" s="204"/>
      <c r="O33" s="204" t="s">
        <v>1604</v>
      </c>
      <c r="P33" s="205">
        <v>44532</v>
      </c>
      <c r="Q33" s="205">
        <v>44581</v>
      </c>
      <c r="R33" s="206"/>
      <c r="S33" s="207">
        <v>39</v>
      </c>
      <c r="T33" s="207">
        <v>37</v>
      </c>
      <c r="U33" s="207">
        <v>36</v>
      </c>
      <c r="V33" s="207">
        <v>34</v>
      </c>
      <c r="W33" s="205"/>
      <c r="X33" s="205"/>
      <c r="Y33" s="208">
        <v>0</v>
      </c>
      <c r="Z33" s="209">
        <v>0</v>
      </c>
      <c r="AA33" s="207"/>
      <c r="AB33" s="206"/>
      <c r="AC33" s="210"/>
      <c r="AD33" s="211">
        <v>0.94871794871794868</v>
      </c>
      <c r="AE33" s="251">
        <v>0.8948717948717948</v>
      </c>
      <c r="AF33" s="190"/>
      <c r="AG33" s="191"/>
      <c r="AH33" s="191"/>
      <c r="AI33" s="191"/>
      <c r="AJ33" s="191"/>
      <c r="AK33" s="191"/>
      <c r="AL33" s="191"/>
      <c r="AM33" s="191" t="str">
        <f>"" &amp; TEXT(AE33,"#0.00%") &amp; " " &amp; "기획 관련" &amp; " " &amp; IF(P33="","",TEXT(P33,"M/D-")) &amp; IF(Q33="","",TEXT(Q33,"M/D")) &amp; " "</f>
        <v xml:space="preserve">89.49% 기획 관련 12/2-1/20 </v>
      </c>
      <c r="AN33" s="191"/>
      <c r="AO33" s="191"/>
    </row>
    <row r="34" spans="1:41" ht="12" customHeight="1" outlineLevel="2">
      <c r="A34" s="203"/>
      <c r="B34" s="203" t="s">
        <v>1570</v>
      </c>
      <c r="C34" s="203">
        <v>3</v>
      </c>
      <c r="D34" s="214" t="s">
        <v>1085</v>
      </c>
      <c r="E34" s="204"/>
      <c r="F34" s="204"/>
      <c r="G34" s="204" t="s">
        <v>1705</v>
      </c>
      <c r="H34" s="204"/>
      <c r="I34" s="204"/>
      <c r="J34" s="204"/>
      <c r="K34" s="204"/>
      <c r="L34" s="204"/>
      <c r="M34" s="204"/>
      <c r="N34" s="204"/>
      <c r="O34" s="204"/>
      <c r="P34" s="205">
        <v>44532</v>
      </c>
      <c r="Q34" s="205">
        <v>44581</v>
      </c>
      <c r="R34" s="206"/>
      <c r="S34" s="207">
        <v>39</v>
      </c>
      <c r="T34" s="207">
        <v>37</v>
      </c>
      <c r="U34" s="207">
        <v>36</v>
      </c>
      <c r="V34" s="207">
        <v>34</v>
      </c>
      <c r="W34" s="205"/>
      <c r="X34" s="205"/>
      <c r="Y34" s="208">
        <v>0</v>
      </c>
      <c r="Z34" s="209">
        <v>0</v>
      </c>
      <c r="AA34" s="207"/>
      <c r="AB34" s="206"/>
      <c r="AC34" s="210"/>
      <c r="AD34" s="211">
        <v>0.94871794871794868</v>
      </c>
      <c r="AE34" s="251">
        <v>0.8948717948717948</v>
      </c>
      <c r="AF34" s="190"/>
      <c r="AG34" s="191"/>
      <c r="AH34" s="191"/>
      <c r="AI34" s="191"/>
      <c r="AJ34" s="191"/>
      <c r="AK34" s="191"/>
      <c r="AL34" s="191"/>
      <c r="AM34" s="191" t="str">
        <f>"" &amp; TEXT(AE34,"#0.00%") &amp; " " &amp; "인게임 관련 기획" &amp; " " &amp; IF(P34="","",TEXT(P34,"M/D-")) &amp; IF(Q34="","",TEXT(Q34,"M/D")) &amp; " "</f>
        <v xml:space="preserve">89.49% 인게임 관련 기획 12/2-1/20 </v>
      </c>
      <c r="AN34" s="191"/>
      <c r="AO34" s="191"/>
    </row>
    <row r="35" spans="1:41" ht="12" customHeight="1" outlineLevel="3">
      <c r="A35" s="203"/>
      <c r="B35" s="203" t="s">
        <v>1570</v>
      </c>
      <c r="C35" s="203">
        <v>4</v>
      </c>
      <c r="D35" s="214" t="s">
        <v>1596</v>
      </c>
      <c r="E35" s="204"/>
      <c r="F35" s="204"/>
      <c r="G35" s="204"/>
      <c r="H35" s="204" t="s">
        <v>1590</v>
      </c>
      <c r="I35" s="204"/>
      <c r="J35" s="204"/>
      <c r="K35" s="204"/>
      <c r="L35" s="204"/>
      <c r="M35" s="204"/>
      <c r="N35" s="204"/>
      <c r="O35" s="204"/>
      <c r="P35" s="205">
        <v>44532</v>
      </c>
      <c r="Q35" s="205">
        <v>44581</v>
      </c>
      <c r="R35" s="206"/>
      <c r="S35" s="207">
        <v>37</v>
      </c>
      <c r="T35" s="207">
        <v>35</v>
      </c>
      <c r="U35" s="207">
        <v>36</v>
      </c>
      <c r="V35" s="207">
        <v>34</v>
      </c>
      <c r="W35" s="205"/>
      <c r="X35" s="205"/>
      <c r="Y35" s="208">
        <v>0</v>
      </c>
      <c r="Z35" s="209">
        <v>0</v>
      </c>
      <c r="AA35" s="207"/>
      <c r="AB35" s="206"/>
      <c r="AC35" s="210"/>
      <c r="AD35" s="211">
        <v>0.94594594594594594</v>
      </c>
      <c r="AE35" s="251">
        <v>0.89189189189189189</v>
      </c>
      <c r="AF35" s="190"/>
      <c r="AG35" s="191"/>
      <c r="AH35" s="191"/>
      <c r="AI35" s="191"/>
      <c r="AJ35" s="191"/>
      <c r="AK35" s="191"/>
      <c r="AL35" s="191"/>
      <c r="AM35" s="191" t="str">
        <f>"" &amp; TEXT(AE35,"#0.00%") &amp; " " &amp; "스토리 관련" &amp; " " &amp; IF(P35="","",TEXT(P35,"M/D-")) &amp; IF(Q35="","",TEXT(Q35,"M/D")) &amp; " "</f>
        <v xml:space="preserve">89.19% 스토리 관련 12/2-1/20 </v>
      </c>
      <c r="AN35" s="191"/>
      <c r="AO35" s="191"/>
    </row>
    <row r="36" spans="1:41" ht="12" customHeight="1" outlineLevel="4">
      <c r="A36" s="203"/>
      <c r="B36" s="203" t="s">
        <v>1570</v>
      </c>
      <c r="C36" s="203">
        <v>5</v>
      </c>
      <c r="D36" s="214" t="s">
        <v>1597</v>
      </c>
      <c r="E36" s="204"/>
      <c r="F36" s="204"/>
      <c r="G36" s="204"/>
      <c r="H36" s="204"/>
      <c r="I36" s="204" t="s">
        <v>1587</v>
      </c>
      <c r="J36" s="204"/>
      <c r="K36" s="204"/>
      <c r="L36" s="204"/>
      <c r="M36" s="204"/>
      <c r="N36" s="204"/>
      <c r="O36" s="204"/>
      <c r="P36" s="205">
        <v>44532</v>
      </c>
      <c r="Q36" s="205">
        <v>44532</v>
      </c>
      <c r="R36" s="206"/>
      <c r="S36" s="207">
        <v>3</v>
      </c>
      <c r="T36" s="207">
        <v>3</v>
      </c>
      <c r="U36" s="207">
        <v>1</v>
      </c>
      <c r="V36" s="207">
        <v>1</v>
      </c>
      <c r="W36" s="205"/>
      <c r="X36" s="205"/>
      <c r="Y36" s="208">
        <v>0</v>
      </c>
      <c r="Z36" s="209">
        <v>0</v>
      </c>
      <c r="AA36" s="207"/>
      <c r="AB36" s="206"/>
      <c r="AC36" s="210"/>
      <c r="AD36" s="211">
        <v>1</v>
      </c>
      <c r="AE36" s="247">
        <v>1</v>
      </c>
      <c r="AF36" s="190" t="str">
        <f>"     " &amp; TEXT(AE36,"#0.00%") &amp; " " &amp; "주변 세계관" &amp; " " &amp; IF(P36="","",TEXT(P36,"M/D-")) &amp; IF(Q36="","",TEXT(Q36,"M/D")) &amp; " "</f>
        <v xml:space="preserve">     100.00% 주변 세계관 12/2-12/2 </v>
      </c>
      <c r="AG36" s="191"/>
      <c r="AH36" s="191"/>
      <c r="AI36" s="191"/>
      <c r="AJ36" s="191"/>
      <c r="AK36" s="191"/>
      <c r="AL36" s="191"/>
      <c r="AM36" s="191"/>
      <c r="AN36" s="191"/>
      <c r="AO36" s="191"/>
    </row>
    <row r="37" spans="1:41" ht="12" customHeight="1" outlineLevel="5">
      <c r="A37" s="203"/>
      <c r="B37" s="203"/>
      <c r="C37" s="203">
        <v>6</v>
      </c>
      <c r="D37" s="214" t="s">
        <v>1706</v>
      </c>
      <c r="E37" s="204"/>
      <c r="F37" s="204"/>
      <c r="G37" s="204"/>
      <c r="H37" s="204"/>
      <c r="I37" s="204"/>
      <c r="J37" s="204" t="s">
        <v>1601</v>
      </c>
      <c r="K37" s="204"/>
      <c r="L37" s="204"/>
      <c r="M37" s="204"/>
      <c r="N37" s="204"/>
      <c r="O37" s="204"/>
      <c r="P37" s="205">
        <v>44532</v>
      </c>
      <c r="Q37" s="205">
        <v>44532</v>
      </c>
      <c r="R37" s="206"/>
      <c r="S37" s="207">
        <v>1</v>
      </c>
      <c r="T37" s="207">
        <v>1</v>
      </c>
      <c r="U37" s="207">
        <v>1</v>
      </c>
      <c r="V37" s="207">
        <v>1</v>
      </c>
      <c r="W37" s="205"/>
      <c r="X37" s="205"/>
      <c r="Y37" s="208"/>
      <c r="Z37" s="209">
        <v>0</v>
      </c>
      <c r="AA37" s="207"/>
      <c r="AB37" s="206"/>
      <c r="AC37" s="210"/>
      <c r="AD37" s="211">
        <v>1</v>
      </c>
      <c r="AE37" s="213">
        <v>1</v>
      </c>
      <c r="AF37" s="190" t="str">
        <f>"     " &amp; TEXT(AE37,"#0.00%") &amp; " " &amp; "시대상 or 기술수준 확립" &amp; " " &amp; IF(P37="","",TEXT(P37,"M/D-")) &amp; IF(Q37="","",TEXT(Q37,"M/D")) &amp; " "</f>
        <v xml:space="preserve">     100.00% 시대상 or 기술수준 확립 12/2-12/2 </v>
      </c>
      <c r="AG37" s="191"/>
      <c r="AH37" s="191"/>
      <c r="AI37" s="191"/>
      <c r="AJ37" s="191"/>
      <c r="AK37" s="191"/>
      <c r="AL37" s="191"/>
      <c r="AM37" s="191"/>
      <c r="AN37" s="191"/>
      <c r="AO37" s="191"/>
    </row>
    <row r="38" spans="1:41" ht="12" customHeight="1" outlineLevel="5">
      <c r="A38" s="203">
        <v>0</v>
      </c>
      <c r="B38" s="203"/>
      <c r="C38" s="203">
        <v>6</v>
      </c>
      <c r="D38" s="214" t="s">
        <v>1707</v>
      </c>
      <c r="E38" s="204"/>
      <c r="F38" s="204"/>
      <c r="G38" s="204"/>
      <c r="H38" s="204"/>
      <c r="I38" s="204"/>
      <c r="J38" s="204" t="s">
        <v>1588</v>
      </c>
      <c r="K38" s="204"/>
      <c r="L38" s="204"/>
      <c r="M38" s="204"/>
      <c r="N38" s="204"/>
      <c r="O38" s="204"/>
      <c r="P38" s="205">
        <v>44532</v>
      </c>
      <c r="Q38" s="205">
        <v>44532</v>
      </c>
      <c r="R38" s="206"/>
      <c r="S38" s="207">
        <v>1</v>
      </c>
      <c r="T38" s="207">
        <v>1</v>
      </c>
      <c r="U38" s="207">
        <v>1</v>
      </c>
      <c r="V38" s="207">
        <v>1</v>
      </c>
      <c r="W38" s="205"/>
      <c r="X38" s="205"/>
      <c r="Y38" s="208"/>
      <c r="Z38" s="209">
        <v>0</v>
      </c>
      <c r="AA38" s="207"/>
      <c r="AB38" s="206"/>
      <c r="AC38" s="210"/>
      <c r="AD38" s="211">
        <v>1</v>
      </c>
      <c r="AE38" s="213">
        <v>1</v>
      </c>
      <c r="AF38" s="190" t="str">
        <f>"     " &amp; TEXT(AE38,"#0.00%") &amp; " " &amp; "주인공 소속사 확립" &amp; " " &amp; IF(P38="","",TEXT(P38,"M/D-")) &amp; IF(Q38="","",TEXT(Q38,"M/D")) &amp; " "</f>
        <v xml:space="preserve">     100.00% 주인공 소속사 확립 12/2-12/2 </v>
      </c>
      <c r="AG38" s="191"/>
      <c r="AH38" s="191"/>
      <c r="AI38" s="191"/>
      <c r="AJ38" s="191"/>
      <c r="AK38" s="191"/>
      <c r="AL38" s="191"/>
      <c r="AM38" s="191"/>
      <c r="AN38" s="191"/>
      <c r="AO38" s="191"/>
    </row>
    <row r="39" spans="1:41" ht="12" customHeight="1" outlineLevel="5">
      <c r="A39" s="203"/>
      <c r="B39" s="203"/>
      <c r="C39" s="203">
        <v>6</v>
      </c>
      <c r="D39" s="214" t="s">
        <v>1708</v>
      </c>
      <c r="E39" s="204"/>
      <c r="F39" s="204"/>
      <c r="G39" s="204"/>
      <c r="H39" s="204"/>
      <c r="I39" s="204"/>
      <c r="J39" s="204" t="s">
        <v>1589</v>
      </c>
      <c r="K39" s="204"/>
      <c r="L39" s="204"/>
      <c r="M39" s="204"/>
      <c r="N39" s="204"/>
      <c r="O39" s="204"/>
      <c r="P39" s="205">
        <v>44532</v>
      </c>
      <c r="Q39" s="205">
        <v>44532</v>
      </c>
      <c r="R39" s="206"/>
      <c r="S39" s="207">
        <v>1</v>
      </c>
      <c r="T39" s="207">
        <v>1</v>
      </c>
      <c r="U39" s="207">
        <v>1</v>
      </c>
      <c r="V39" s="207">
        <v>1</v>
      </c>
      <c r="W39" s="205"/>
      <c r="X39" s="205"/>
      <c r="Y39" s="208"/>
      <c r="Z39" s="209">
        <v>0</v>
      </c>
      <c r="AA39" s="207"/>
      <c r="AB39" s="206"/>
      <c r="AC39" s="210"/>
      <c r="AD39" s="211">
        <v>1</v>
      </c>
      <c r="AE39" s="213">
        <v>1</v>
      </c>
      <c r="AF39" s="190" t="str">
        <f>"     " &amp; TEXT(AE39,"#0.00%") &amp; " " &amp; "주인공 역할 확립" &amp; " " &amp; IF(P39="","",TEXT(P39,"M/D-")) &amp; IF(Q39="","",TEXT(Q39,"M/D")) &amp; " "</f>
        <v xml:space="preserve">     100.00% 주인공 역할 확립 12/2-12/2 </v>
      </c>
      <c r="AG39" s="191"/>
      <c r="AH39" s="191"/>
      <c r="AI39" s="191"/>
      <c r="AJ39" s="191"/>
      <c r="AK39" s="191"/>
      <c r="AL39" s="191"/>
      <c r="AM39" s="191"/>
      <c r="AN39" s="191"/>
      <c r="AO39" s="191"/>
    </row>
    <row r="40" spans="1:41" ht="12" customHeight="1" outlineLevel="4">
      <c r="A40" s="203"/>
      <c r="B40" s="203" t="s">
        <v>1570</v>
      </c>
      <c r="C40" s="203">
        <v>5</v>
      </c>
      <c r="D40" s="214" t="s">
        <v>1598</v>
      </c>
      <c r="E40" s="204"/>
      <c r="F40" s="204"/>
      <c r="G40" s="204"/>
      <c r="H40" s="204"/>
      <c r="I40" s="204" t="s">
        <v>1643</v>
      </c>
      <c r="J40" s="204"/>
      <c r="K40" s="204"/>
      <c r="L40" s="204"/>
      <c r="M40" s="204"/>
      <c r="N40" s="204"/>
      <c r="O40" s="204"/>
      <c r="P40" s="205"/>
      <c r="Q40" s="205"/>
      <c r="R40" s="206"/>
      <c r="S40" s="207">
        <v>0</v>
      </c>
      <c r="T40" s="207">
        <v>0</v>
      </c>
      <c r="U40" s="207">
        <v>0</v>
      </c>
      <c r="V40" s="207">
        <v>0</v>
      </c>
      <c r="W40" s="205"/>
      <c r="X40" s="205"/>
      <c r="Y40" s="208">
        <v>0</v>
      </c>
      <c r="Z40" s="209">
        <v>0</v>
      </c>
      <c r="AA40" s="207"/>
      <c r="AB40" s="206"/>
      <c r="AC40" s="210"/>
      <c r="AD40" s="211">
        <v>0</v>
      </c>
      <c r="AE40" s="216">
        <v>0</v>
      </c>
      <c r="AF40" s="190"/>
      <c r="AG40" s="191"/>
      <c r="AH40" s="191"/>
      <c r="AI40" s="191"/>
      <c r="AJ40" s="191"/>
      <c r="AK40" s="191"/>
      <c r="AL40" s="191"/>
      <c r="AM40" s="191"/>
      <c r="AN40" s="191"/>
      <c r="AO40" s="191"/>
    </row>
    <row r="41" spans="1:41" ht="12" customHeight="1" outlineLevel="5">
      <c r="A41" s="203"/>
      <c r="B41" s="203" t="s">
        <v>1570</v>
      </c>
      <c r="C41" s="203">
        <v>6</v>
      </c>
      <c r="D41" s="214" t="s">
        <v>1709</v>
      </c>
      <c r="E41" s="204"/>
      <c r="F41" s="204"/>
      <c r="G41" s="204"/>
      <c r="H41" s="204"/>
      <c r="I41" s="204"/>
      <c r="J41" s="204" t="s">
        <v>1642</v>
      </c>
      <c r="K41" s="204"/>
      <c r="L41" s="204"/>
      <c r="M41" s="204"/>
      <c r="N41" s="204"/>
      <c r="O41" s="204"/>
      <c r="P41" s="205"/>
      <c r="Q41" s="205"/>
      <c r="R41" s="206"/>
      <c r="S41" s="207">
        <v>0</v>
      </c>
      <c r="T41" s="207">
        <v>0</v>
      </c>
      <c r="U41" s="207">
        <v>0</v>
      </c>
      <c r="V41" s="207">
        <v>0</v>
      </c>
      <c r="W41" s="205"/>
      <c r="X41" s="205"/>
      <c r="Y41" s="208">
        <v>0</v>
      </c>
      <c r="Z41" s="209">
        <v>0</v>
      </c>
      <c r="AA41" s="207"/>
      <c r="AB41" s="206"/>
      <c r="AC41" s="210"/>
      <c r="AD41" s="211">
        <v>0</v>
      </c>
      <c r="AE41" s="216">
        <v>0</v>
      </c>
      <c r="AF41" s="190"/>
      <c r="AG41" s="191"/>
      <c r="AH41" s="191"/>
      <c r="AI41" s="191"/>
      <c r="AJ41" s="191"/>
      <c r="AK41" s="191"/>
      <c r="AL41" s="191"/>
      <c r="AM41" s="191"/>
      <c r="AN41" s="191"/>
      <c r="AO41" s="191"/>
    </row>
    <row r="42" spans="1:41" ht="12" customHeight="1" outlineLevel="6">
      <c r="A42" s="203"/>
      <c r="B42" s="203"/>
      <c r="C42" s="203">
        <v>7</v>
      </c>
      <c r="D42" s="214" t="s">
        <v>1710</v>
      </c>
      <c r="E42" s="204"/>
      <c r="F42" s="204"/>
      <c r="G42" s="204"/>
      <c r="H42" s="204"/>
      <c r="I42" s="204"/>
      <c r="J42" s="204"/>
      <c r="K42" s="204" t="s">
        <v>1584</v>
      </c>
      <c r="L42" s="204"/>
      <c r="M42" s="204"/>
      <c r="N42" s="204"/>
      <c r="O42" s="204" t="s">
        <v>1638</v>
      </c>
      <c r="P42" s="205"/>
      <c r="Q42" s="205"/>
      <c r="R42" s="206"/>
      <c r="S42" s="207">
        <v>0</v>
      </c>
      <c r="T42" s="207">
        <v>0</v>
      </c>
      <c r="U42" s="207">
        <v>0</v>
      </c>
      <c r="V42" s="207">
        <v>0</v>
      </c>
      <c r="W42" s="205"/>
      <c r="X42" s="205"/>
      <c r="Y42" s="208">
        <v>0</v>
      </c>
      <c r="Z42" s="209">
        <v>0</v>
      </c>
      <c r="AA42" s="207">
        <v>1</v>
      </c>
      <c r="AB42" s="206" t="s">
        <v>1630</v>
      </c>
      <c r="AC42" s="210"/>
      <c r="AD42" s="211">
        <v>0</v>
      </c>
      <c r="AE42" s="216">
        <v>0</v>
      </c>
      <c r="AF42" s="190"/>
      <c r="AG42" s="191"/>
      <c r="AH42" s="191"/>
      <c r="AI42" s="191"/>
      <c r="AJ42" s="191"/>
      <c r="AK42" s="191"/>
      <c r="AL42" s="191"/>
      <c r="AM42" s="191"/>
      <c r="AN42" s="191"/>
      <c r="AO42" s="191"/>
    </row>
    <row r="43" spans="1:41" ht="12" customHeight="1" outlineLevel="6">
      <c r="A43" s="203"/>
      <c r="B43" s="203"/>
      <c r="C43" s="203">
        <v>7</v>
      </c>
      <c r="D43" s="214" t="s">
        <v>1711</v>
      </c>
      <c r="E43" s="204"/>
      <c r="F43" s="204"/>
      <c r="G43" s="204"/>
      <c r="H43" s="204"/>
      <c r="I43" s="204"/>
      <c r="J43" s="204"/>
      <c r="K43" s="204" t="s">
        <v>1585</v>
      </c>
      <c r="L43" s="204"/>
      <c r="M43" s="204"/>
      <c r="N43" s="204"/>
      <c r="O43" s="204"/>
      <c r="P43" s="205"/>
      <c r="Q43" s="205"/>
      <c r="R43" s="206"/>
      <c r="S43" s="207">
        <v>0</v>
      </c>
      <c r="T43" s="207">
        <v>0</v>
      </c>
      <c r="U43" s="207">
        <v>0</v>
      </c>
      <c r="V43" s="207">
        <v>0</v>
      </c>
      <c r="W43" s="205"/>
      <c r="X43" s="205"/>
      <c r="Y43" s="208">
        <v>0</v>
      </c>
      <c r="Z43" s="209">
        <v>0</v>
      </c>
      <c r="AA43" s="207"/>
      <c r="AB43" s="206" t="s">
        <v>1630</v>
      </c>
      <c r="AC43" s="210"/>
      <c r="AD43" s="211">
        <v>0</v>
      </c>
      <c r="AE43" s="216">
        <v>0</v>
      </c>
      <c r="AF43" s="190"/>
      <c r="AG43" s="191"/>
      <c r="AH43" s="191"/>
      <c r="AI43" s="191"/>
      <c r="AJ43" s="191"/>
      <c r="AK43" s="191"/>
      <c r="AL43" s="191"/>
      <c r="AM43" s="191"/>
      <c r="AN43" s="191"/>
      <c r="AO43" s="191"/>
    </row>
    <row r="44" spans="1:41" ht="12" customHeight="1" outlineLevel="4">
      <c r="A44" s="203">
        <v>1</v>
      </c>
      <c r="B44" s="203" t="s">
        <v>1570</v>
      </c>
      <c r="C44" s="203">
        <v>5</v>
      </c>
      <c r="D44" s="214" t="s">
        <v>1602</v>
      </c>
      <c r="E44" s="204"/>
      <c r="F44" s="204"/>
      <c r="G44" s="204"/>
      <c r="H44" s="204"/>
      <c r="I44" s="204" t="s">
        <v>1591</v>
      </c>
      <c r="J44" s="204"/>
      <c r="K44" s="204"/>
      <c r="L44" s="204"/>
      <c r="M44" s="204"/>
      <c r="N44" s="204"/>
      <c r="O44" s="204"/>
      <c r="P44" s="205">
        <v>44571</v>
      </c>
      <c r="Q44" s="205">
        <v>44581</v>
      </c>
      <c r="R44" s="206"/>
      <c r="S44" s="207">
        <v>20</v>
      </c>
      <c r="T44" s="207">
        <v>18</v>
      </c>
      <c r="U44" s="207">
        <v>9</v>
      </c>
      <c r="V44" s="207">
        <v>7</v>
      </c>
      <c r="W44" s="205"/>
      <c r="X44" s="205"/>
      <c r="Y44" s="208">
        <v>0</v>
      </c>
      <c r="Z44" s="209">
        <v>0</v>
      </c>
      <c r="AA44" s="207"/>
      <c r="AB44" s="206"/>
      <c r="AC44" s="210"/>
      <c r="AD44" s="211">
        <v>0.9</v>
      </c>
      <c r="AE44" s="251">
        <v>0.8</v>
      </c>
      <c r="AF44" s="190"/>
      <c r="AG44" s="191"/>
      <c r="AH44" s="191"/>
      <c r="AI44" s="191"/>
      <c r="AJ44" s="191"/>
      <c r="AK44" s="191"/>
      <c r="AL44" s="191" t="str">
        <f>"     " &amp; TEXT(AE44,"#0.00%") &amp; " " &amp; "레벨 디자인" &amp; " " &amp; IF(P44="","",TEXT(P44,"M/D-")) &amp; IF(Q44="","",TEXT(Q44,"M/D")) &amp; " "</f>
        <v xml:space="preserve">     80.00% 레벨 디자인 1/10-1/20 </v>
      </c>
      <c r="AM44" s="191"/>
      <c r="AN44" s="191"/>
      <c r="AO44" s="191"/>
    </row>
    <row r="45" spans="1:41" ht="12" customHeight="1" outlineLevel="5">
      <c r="A45" s="203"/>
      <c r="B45" s="203" t="s">
        <v>1570</v>
      </c>
      <c r="C45" s="203">
        <v>6</v>
      </c>
      <c r="D45" s="214" t="s">
        <v>1712</v>
      </c>
      <c r="E45" s="204"/>
      <c r="F45" s="204"/>
      <c r="G45" s="204"/>
      <c r="H45" s="204"/>
      <c r="I45" s="204"/>
      <c r="J45" s="204" t="s">
        <v>1669</v>
      </c>
      <c r="K45" s="204"/>
      <c r="L45" s="204"/>
      <c r="M45" s="204"/>
      <c r="N45" s="204"/>
      <c r="O45" s="204"/>
      <c r="P45" s="205">
        <v>44571</v>
      </c>
      <c r="Q45" s="205">
        <v>44581</v>
      </c>
      <c r="R45" s="206"/>
      <c r="S45" s="207">
        <v>20</v>
      </c>
      <c r="T45" s="207">
        <v>18</v>
      </c>
      <c r="U45" s="207">
        <v>9</v>
      </c>
      <c r="V45" s="207">
        <v>7</v>
      </c>
      <c r="W45" s="205"/>
      <c r="X45" s="205"/>
      <c r="Y45" s="208">
        <v>0</v>
      </c>
      <c r="Z45" s="209">
        <v>0</v>
      </c>
      <c r="AA45" s="207"/>
      <c r="AB45" s="206"/>
      <c r="AC45" s="210"/>
      <c r="AD45" s="211">
        <v>0.9</v>
      </c>
      <c r="AE45" s="251">
        <v>0.8</v>
      </c>
      <c r="AF45" s="190"/>
      <c r="AG45" s="191"/>
      <c r="AH45" s="191"/>
      <c r="AI45" s="191"/>
      <c r="AJ45" s="191"/>
      <c r="AK45" s="191"/>
      <c r="AL45" s="191"/>
      <c r="AM45" s="191" t="str">
        <f>"   " &amp; TEXT(AE45,"#0.00%") &amp; " " &amp; "튜토리얼" &amp; " " &amp; IF(P45="","",TEXT(P45,"M/D-")) &amp; IF(Q45="","",TEXT(Q45,"M/D")) &amp; " "</f>
        <v xml:space="preserve">   80.00% 튜토리얼 1/10-1/20 </v>
      </c>
      <c r="AN45" s="191"/>
      <c r="AO45" s="191"/>
    </row>
    <row r="46" spans="1:41" ht="12" customHeight="1" outlineLevel="6">
      <c r="A46" s="203"/>
      <c r="B46" s="203"/>
      <c r="C46" s="203">
        <v>7</v>
      </c>
      <c r="D46" s="214" t="s">
        <v>1713</v>
      </c>
      <c r="E46" s="204"/>
      <c r="F46" s="204"/>
      <c r="G46" s="204"/>
      <c r="H46" s="204"/>
      <c r="I46" s="204"/>
      <c r="J46" s="204"/>
      <c r="K46" s="204" t="s">
        <v>1670</v>
      </c>
      <c r="L46" s="204"/>
      <c r="M46" s="204"/>
      <c r="N46" s="204"/>
      <c r="O46" s="204"/>
      <c r="P46" s="205">
        <v>44571</v>
      </c>
      <c r="Q46" s="205">
        <v>44576</v>
      </c>
      <c r="R46" s="206"/>
      <c r="S46" s="207">
        <v>5</v>
      </c>
      <c r="T46" s="207">
        <v>5</v>
      </c>
      <c r="U46" s="207">
        <v>5</v>
      </c>
      <c r="V46" s="207">
        <v>5</v>
      </c>
      <c r="W46" s="205"/>
      <c r="X46" s="205"/>
      <c r="Y46" s="208"/>
      <c r="Z46" s="209">
        <v>0</v>
      </c>
      <c r="AA46" s="207"/>
      <c r="AB46" s="206" t="s">
        <v>1603</v>
      </c>
      <c r="AC46" s="210"/>
      <c r="AD46" s="211">
        <v>1</v>
      </c>
      <c r="AE46" s="213">
        <v>1</v>
      </c>
      <c r="AF46" s="190"/>
      <c r="AG46" s="191"/>
      <c r="AH46" s="191"/>
      <c r="AI46" s="191"/>
      <c r="AJ46" s="191"/>
      <c r="AK46" s="191"/>
      <c r="AL46" s="191"/>
      <c r="AM46" s="191" t="str">
        <f>"" &amp; TEXT(AE46,"#0.00%") &amp; " " &amp; "튜토리얼 레벨 디자인" &amp; "(황민재)" &amp; " " &amp; IF(P46="","",TEXT(P46,"M/D-")) &amp; IF(Q46="","",TEXT(Q46,"M/D")) &amp; " "</f>
        <v xml:space="preserve">100.00% 튜토리얼 레벨 디자인(황민재) 1/10-1/15 </v>
      </c>
      <c r="AN46" s="191"/>
      <c r="AO46" s="191"/>
    </row>
    <row r="47" spans="1:41" ht="12" customHeight="1" outlineLevel="6">
      <c r="A47" s="203"/>
      <c r="B47" s="203"/>
      <c r="C47" s="203">
        <v>7</v>
      </c>
      <c r="D47" s="214" t="s">
        <v>1714</v>
      </c>
      <c r="E47" s="204"/>
      <c r="F47" s="204"/>
      <c r="G47" s="204"/>
      <c r="H47" s="204"/>
      <c r="I47" s="204"/>
      <c r="J47" s="204"/>
      <c r="K47" s="204" t="s">
        <v>1671</v>
      </c>
      <c r="L47" s="204"/>
      <c r="M47" s="204"/>
      <c r="N47" s="204"/>
      <c r="O47" s="204"/>
      <c r="P47" s="205">
        <v>44571</v>
      </c>
      <c r="Q47" s="205">
        <v>44577</v>
      </c>
      <c r="R47" s="206"/>
      <c r="S47" s="207">
        <v>5</v>
      </c>
      <c r="T47" s="207">
        <v>5</v>
      </c>
      <c r="U47" s="207">
        <v>5</v>
      </c>
      <c r="V47" s="207">
        <v>5</v>
      </c>
      <c r="W47" s="205"/>
      <c r="X47" s="205"/>
      <c r="Y47" s="208"/>
      <c r="Z47" s="209">
        <v>0</v>
      </c>
      <c r="AA47" s="207"/>
      <c r="AB47" s="206" t="s">
        <v>1603</v>
      </c>
      <c r="AC47" s="210"/>
      <c r="AD47" s="211">
        <v>1</v>
      </c>
      <c r="AE47" s="213">
        <v>1</v>
      </c>
      <c r="AF47" s="190"/>
      <c r="AG47" s="191"/>
      <c r="AH47" s="191"/>
      <c r="AI47" s="191"/>
      <c r="AJ47" s="191"/>
      <c r="AK47" s="191"/>
      <c r="AL47" s="191"/>
      <c r="AM47" s="191" t="str">
        <f>" " &amp; TEXT(AE47,"#0.00%") &amp; " " &amp; "튜토리얼 사물 배치" &amp; "(황민재)" &amp; " " &amp; IF(P47="","",TEXT(P47,"M/D-")) &amp; IF(Q47="","",TEXT(Q47,"M/D")) &amp; " "</f>
        <v xml:space="preserve"> 100.00% 튜토리얼 사물 배치(황민재) 1/10-1/16 </v>
      </c>
      <c r="AN47" s="191"/>
      <c r="AO47" s="191"/>
    </row>
    <row r="48" spans="1:41" ht="12" customHeight="1" outlineLevel="6">
      <c r="A48" s="203"/>
      <c r="B48" s="203"/>
      <c r="C48" s="203">
        <v>7</v>
      </c>
      <c r="D48" s="214" t="s">
        <v>1715</v>
      </c>
      <c r="E48" s="204"/>
      <c r="F48" s="204"/>
      <c r="G48" s="204"/>
      <c r="H48" s="204"/>
      <c r="I48" s="204"/>
      <c r="J48" s="204"/>
      <c r="K48" s="204" t="s">
        <v>1672</v>
      </c>
      <c r="L48" s="204"/>
      <c r="M48" s="204"/>
      <c r="N48" s="204"/>
      <c r="O48" s="204"/>
      <c r="P48" s="205">
        <v>44571</v>
      </c>
      <c r="Q48" s="205">
        <v>44578</v>
      </c>
      <c r="R48" s="206"/>
      <c r="S48" s="207">
        <v>6</v>
      </c>
      <c r="T48" s="207">
        <v>6</v>
      </c>
      <c r="U48" s="207">
        <v>6</v>
      </c>
      <c r="V48" s="207">
        <v>6</v>
      </c>
      <c r="W48" s="205"/>
      <c r="X48" s="205"/>
      <c r="Y48" s="208"/>
      <c r="Z48" s="209">
        <v>0</v>
      </c>
      <c r="AA48" s="207"/>
      <c r="AB48" s="206" t="s">
        <v>1603</v>
      </c>
      <c r="AC48" s="210"/>
      <c r="AD48" s="211">
        <v>1</v>
      </c>
      <c r="AE48" s="213">
        <v>1</v>
      </c>
      <c r="AF48" s="190"/>
      <c r="AG48" s="191"/>
      <c r="AH48" s="191"/>
      <c r="AI48" s="191"/>
      <c r="AJ48" s="191"/>
      <c r="AK48" s="191"/>
      <c r="AL48" s="191"/>
      <c r="AM48" s="191" t="str">
        <f>"  " &amp; TEXT(AE48,"#0.00%") &amp; " " &amp; "튜토리얼 퍼즐 배치" &amp; "(황민재)" &amp; " " &amp; IF(P48="","",TEXT(P48,"M/D-")) &amp; IF(Q48="","",TEXT(Q48,"M/D")) &amp; " "</f>
        <v xml:space="preserve">  100.00% 튜토리얼 퍼즐 배치(황민재) 1/10-1/17 </v>
      </c>
      <c r="AN48" s="191"/>
      <c r="AO48" s="191"/>
    </row>
    <row r="49" spans="1:41" ht="12" customHeight="1" outlineLevel="6">
      <c r="A49" s="203"/>
      <c r="B49" s="203"/>
      <c r="C49" s="203">
        <v>7</v>
      </c>
      <c r="D49" s="214" t="s">
        <v>1716</v>
      </c>
      <c r="E49" s="204"/>
      <c r="F49" s="204"/>
      <c r="G49" s="204"/>
      <c r="H49" s="204"/>
      <c r="I49" s="204"/>
      <c r="J49" s="204"/>
      <c r="K49" s="204" t="s">
        <v>1673</v>
      </c>
      <c r="L49" s="204"/>
      <c r="M49" s="204"/>
      <c r="N49" s="204"/>
      <c r="O49" s="204"/>
      <c r="P49" s="205">
        <v>44578</v>
      </c>
      <c r="Q49" s="205">
        <v>44581</v>
      </c>
      <c r="R49" s="206"/>
      <c r="S49" s="207">
        <v>4</v>
      </c>
      <c r="T49" s="207">
        <v>2</v>
      </c>
      <c r="U49" s="207">
        <v>4</v>
      </c>
      <c r="V49" s="207">
        <v>2</v>
      </c>
      <c r="W49" s="205"/>
      <c r="X49" s="205"/>
      <c r="Y49" s="208"/>
      <c r="Z49" s="209">
        <v>0</v>
      </c>
      <c r="AA49" s="207"/>
      <c r="AB49" s="206" t="s">
        <v>1603</v>
      </c>
      <c r="AC49" s="210"/>
      <c r="AD49" s="211">
        <v>0.5</v>
      </c>
      <c r="AE49" s="250">
        <v>0</v>
      </c>
      <c r="AF49" s="190"/>
      <c r="AG49" s="191"/>
      <c r="AH49" s="191"/>
      <c r="AI49" s="191"/>
      <c r="AJ49" s="191"/>
      <c r="AK49" s="191"/>
      <c r="AL49" s="191"/>
      <c r="AM49" s="191" t="str">
        <f>" " &amp; TEXT(AE49,"#0.00%") &amp; " " &amp; "튜토리얼 수집물 배치" &amp; "(황민재)" &amp; " " &amp; IF(P49="","",TEXT(P49,"M/D-")) &amp; IF(Q49="","",TEXT(Q49,"M/D")) &amp; " "</f>
        <v xml:space="preserve"> 0.00% 튜토리얼 수집물 배치(황민재) 1/17-1/20 </v>
      </c>
      <c r="AN49" s="191"/>
      <c r="AO49" s="191"/>
    </row>
    <row r="50" spans="1:41" ht="12" customHeight="1" outlineLevel="5">
      <c r="A50" s="203" t="s">
        <v>1641</v>
      </c>
      <c r="B50" s="203" t="s">
        <v>1570</v>
      </c>
      <c r="C50" s="203">
        <v>6</v>
      </c>
      <c r="D50" s="214" t="s">
        <v>1717</v>
      </c>
      <c r="E50" s="204"/>
      <c r="F50" s="204"/>
      <c r="G50" s="204"/>
      <c r="H50" s="204"/>
      <c r="I50" s="204"/>
      <c r="J50" s="204" t="s">
        <v>1642</v>
      </c>
      <c r="K50" s="204"/>
      <c r="L50" s="204"/>
      <c r="M50" s="204"/>
      <c r="N50" s="204"/>
      <c r="O50" s="204"/>
      <c r="P50" s="205"/>
      <c r="Q50" s="205"/>
      <c r="R50" s="206"/>
      <c r="S50" s="207">
        <v>0</v>
      </c>
      <c r="T50" s="207">
        <v>0</v>
      </c>
      <c r="U50" s="207">
        <v>0</v>
      </c>
      <c r="V50" s="207">
        <v>0</v>
      </c>
      <c r="W50" s="205"/>
      <c r="X50" s="205"/>
      <c r="Y50" s="208">
        <v>0</v>
      </c>
      <c r="Z50" s="209">
        <v>0</v>
      </c>
      <c r="AA50" s="207"/>
      <c r="AB50" s="206"/>
      <c r="AC50" s="210"/>
      <c r="AD50" s="211">
        <v>0</v>
      </c>
      <c r="AE50" s="216">
        <v>0</v>
      </c>
      <c r="AF50" s="190"/>
      <c r="AG50" s="191"/>
      <c r="AH50" s="191"/>
      <c r="AI50" s="191"/>
      <c r="AJ50" s="191"/>
      <c r="AK50" s="191"/>
      <c r="AL50" s="191"/>
      <c r="AM50" s="191"/>
      <c r="AN50" s="191"/>
      <c r="AO50" s="191"/>
    </row>
    <row r="51" spans="1:41" ht="12" customHeight="1" outlineLevel="6">
      <c r="A51" s="203"/>
      <c r="B51" s="203"/>
      <c r="C51" s="203">
        <v>7</v>
      </c>
      <c r="D51" s="214" t="s">
        <v>1718</v>
      </c>
      <c r="E51" s="204"/>
      <c r="F51" s="204"/>
      <c r="G51" s="204"/>
      <c r="H51" s="204"/>
      <c r="I51" s="204"/>
      <c r="J51" s="204"/>
      <c r="K51" s="204" t="s">
        <v>1593</v>
      </c>
      <c r="L51" s="204"/>
      <c r="M51" s="204"/>
      <c r="N51" s="204"/>
      <c r="O51" s="204"/>
      <c r="P51" s="205"/>
      <c r="Q51" s="205"/>
      <c r="R51" s="206"/>
      <c r="S51" s="207">
        <v>0</v>
      </c>
      <c r="T51" s="207">
        <v>0</v>
      </c>
      <c r="U51" s="207">
        <v>0</v>
      </c>
      <c r="V51" s="207">
        <v>0</v>
      </c>
      <c r="W51" s="205"/>
      <c r="X51" s="205"/>
      <c r="Y51" s="208">
        <v>0</v>
      </c>
      <c r="Z51" s="209">
        <v>0</v>
      </c>
      <c r="AA51" s="207"/>
      <c r="AB51" s="206" t="s">
        <v>1603</v>
      </c>
      <c r="AC51" s="210"/>
      <c r="AD51" s="211">
        <v>0</v>
      </c>
      <c r="AE51" s="216">
        <v>0</v>
      </c>
      <c r="AF51" s="190"/>
      <c r="AG51" s="191"/>
      <c r="AH51" s="191"/>
      <c r="AI51" s="191"/>
      <c r="AJ51" s="191"/>
      <c r="AK51" s="191"/>
      <c r="AL51" s="191"/>
      <c r="AM51" s="191"/>
      <c r="AN51" s="191"/>
      <c r="AO51" s="191"/>
    </row>
    <row r="52" spans="1:41" ht="12" customHeight="1" outlineLevel="6">
      <c r="A52" s="203"/>
      <c r="B52" s="203"/>
      <c r="C52" s="203">
        <v>7</v>
      </c>
      <c r="D52" s="214" t="s">
        <v>1719</v>
      </c>
      <c r="E52" s="204"/>
      <c r="F52" s="204"/>
      <c r="G52" s="204"/>
      <c r="H52" s="204"/>
      <c r="I52" s="204"/>
      <c r="J52" s="204"/>
      <c r="K52" s="204" t="s">
        <v>1592</v>
      </c>
      <c r="L52" s="204"/>
      <c r="M52" s="204"/>
      <c r="N52" s="204"/>
      <c r="O52" s="204"/>
      <c r="P52" s="205"/>
      <c r="Q52" s="205"/>
      <c r="R52" s="206"/>
      <c r="S52" s="207">
        <v>0</v>
      </c>
      <c r="T52" s="207">
        <v>0</v>
      </c>
      <c r="U52" s="207">
        <v>0</v>
      </c>
      <c r="V52" s="207">
        <v>0</v>
      </c>
      <c r="W52" s="205"/>
      <c r="X52" s="205"/>
      <c r="Y52" s="208">
        <v>0</v>
      </c>
      <c r="Z52" s="209">
        <v>0</v>
      </c>
      <c r="AA52" s="207"/>
      <c r="AB52" s="206" t="s">
        <v>1603</v>
      </c>
      <c r="AC52" s="210"/>
      <c r="AD52" s="211">
        <v>0</v>
      </c>
      <c r="AE52" s="216">
        <v>0</v>
      </c>
      <c r="AF52" s="190"/>
      <c r="AG52" s="191"/>
      <c r="AH52" s="191"/>
      <c r="AI52" s="191"/>
      <c r="AJ52" s="191"/>
      <c r="AK52" s="191"/>
      <c r="AL52" s="191"/>
      <c r="AM52" s="191"/>
      <c r="AN52" s="191"/>
      <c r="AO52" s="191"/>
    </row>
    <row r="53" spans="1:41" ht="12" customHeight="1" outlineLevel="6">
      <c r="A53" s="203"/>
      <c r="B53" s="203"/>
      <c r="C53" s="203">
        <v>7</v>
      </c>
      <c r="D53" s="214" t="s">
        <v>1720</v>
      </c>
      <c r="E53" s="204"/>
      <c r="F53" s="204"/>
      <c r="G53" s="204"/>
      <c r="H53" s="204"/>
      <c r="I53" s="204"/>
      <c r="J53" s="204"/>
      <c r="K53" s="204" t="s">
        <v>1594</v>
      </c>
      <c r="L53" s="204"/>
      <c r="M53" s="204"/>
      <c r="N53" s="204"/>
      <c r="O53" s="204"/>
      <c r="P53" s="205"/>
      <c r="Q53" s="205"/>
      <c r="R53" s="206"/>
      <c r="S53" s="207">
        <v>0</v>
      </c>
      <c r="T53" s="207">
        <v>0</v>
      </c>
      <c r="U53" s="207">
        <v>0</v>
      </c>
      <c r="V53" s="207">
        <v>0</v>
      </c>
      <c r="W53" s="205"/>
      <c r="X53" s="205"/>
      <c r="Y53" s="208">
        <v>0</v>
      </c>
      <c r="Z53" s="209">
        <v>0</v>
      </c>
      <c r="AA53" s="207"/>
      <c r="AB53" s="206" t="s">
        <v>1603</v>
      </c>
      <c r="AC53" s="210"/>
      <c r="AD53" s="211">
        <v>0</v>
      </c>
      <c r="AE53" s="216">
        <v>0</v>
      </c>
      <c r="AF53" s="190"/>
      <c r="AG53" s="191"/>
      <c r="AH53" s="191"/>
      <c r="AI53" s="191"/>
      <c r="AJ53" s="191"/>
      <c r="AK53" s="191"/>
      <c r="AL53" s="191"/>
      <c r="AM53" s="191"/>
      <c r="AN53" s="191"/>
      <c r="AO53" s="191"/>
    </row>
    <row r="54" spans="1:41" ht="12" customHeight="1" outlineLevel="6">
      <c r="A54" s="203"/>
      <c r="B54" s="203"/>
      <c r="C54" s="203">
        <v>7</v>
      </c>
      <c r="D54" s="214" t="s">
        <v>1721</v>
      </c>
      <c r="E54" s="204"/>
      <c r="F54" s="204"/>
      <c r="G54" s="204"/>
      <c r="H54" s="204"/>
      <c r="I54" s="204"/>
      <c r="J54" s="204"/>
      <c r="K54" s="204" t="s">
        <v>1595</v>
      </c>
      <c r="L54" s="204"/>
      <c r="M54" s="204"/>
      <c r="N54" s="204"/>
      <c r="O54" s="204"/>
      <c r="P54" s="205"/>
      <c r="Q54" s="205"/>
      <c r="R54" s="206"/>
      <c r="S54" s="207">
        <v>0</v>
      </c>
      <c r="T54" s="207">
        <v>0</v>
      </c>
      <c r="U54" s="207">
        <v>0</v>
      </c>
      <c r="V54" s="207">
        <v>0</v>
      </c>
      <c r="W54" s="205">
        <v>44190</v>
      </c>
      <c r="X54" s="205">
        <v>44208</v>
      </c>
      <c r="Y54" s="208">
        <v>0</v>
      </c>
      <c r="Z54" s="209">
        <v>11</v>
      </c>
      <c r="AA54" s="207">
        <v>1</v>
      </c>
      <c r="AB54" s="206" t="s">
        <v>1603</v>
      </c>
      <c r="AC54" s="210"/>
      <c r="AD54" s="211">
        <v>0</v>
      </c>
      <c r="AE54" s="216">
        <v>0</v>
      </c>
      <c r="AF54" s="190"/>
      <c r="AG54" s="191"/>
      <c r="AH54" s="191"/>
      <c r="AI54" s="191"/>
      <c r="AJ54" s="191"/>
      <c r="AK54" s="191"/>
      <c r="AL54" s="191"/>
      <c r="AM54" s="191"/>
      <c r="AN54" s="191"/>
      <c r="AO54" s="191"/>
    </row>
    <row r="55" spans="1:41" ht="12" customHeight="1" outlineLevel="4">
      <c r="A55" s="203"/>
      <c r="B55" s="203" t="s">
        <v>1570</v>
      </c>
      <c r="C55" s="203">
        <v>5</v>
      </c>
      <c r="D55" s="214" t="s">
        <v>1722</v>
      </c>
      <c r="E55" s="204"/>
      <c r="F55" s="204"/>
      <c r="G55" s="204"/>
      <c r="H55" s="204"/>
      <c r="I55" s="204" t="s">
        <v>1629</v>
      </c>
      <c r="J55" s="204"/>
      <c r="K55" s="204"/>
      <c r="L55" s="204"/>
      <c r="M55" s="204"/>
      <c r="N55" s="204"/>
      <c r="O55" s="204"/>
      <c r="P55" s="205">
        <v>44552</v>
      </c>
      <c r="Q55" s="205">
        <v>44571</v>
      </c>
      <c r="R55" s="206"/>
      <c r="S55" s="207">
        <v>14</v>
      </c>
      <c r="T55" s="207">
        <v>14</v>
      </c>
      <c r="U55" s="207">
        <v>14</v>
      </c>
      <c r="V55" s="207">
        <v>14</v>
      </c>
      <c r="W55" s="205"/>
      <c r="X55" s="205"/>
      <c r="Y55" s="208">
        <v>0</v>
      </c>
      <c r="Z55" s="209">
        <v>0</v>
      </c>
      <c r="AA55" s="207"/>
      <c r="AB55" s="206"/>
      <c r="AC55" s="210"/>
      <c r="AD55" s="211">
        <v>1</v>
      </c>
      <c r="AE55" s="247">
        <v>1</v>
      </c>
      <c r="AF55" s="190"/>
      <c r="AG55" s="191"/>
      <c r="AH55" s="191"/>
      <c r="AI55" s="191"/>
      <c r="AJ55" s="191"/>
      <c r="AK55" s="191"/>
      <c r="AL55" s="191" t="str">
        <f>"  " &amp; TEXT(AE55,"#0.00%") &amp; " " &amp; "게임 콘텐츠 기획" &amp; " " &amp; IF(P55="","",TEXT(P55,"M/D-")) &amp; IF(Q55="","",TEXT(Q55,"M/D")) &amp; " "</f>
        <v xml:space="preserve">  100.00% 게임 콘텐츠 기획 12/22-1/10 </v>
      </c>
      <c r="AM55" s="191"/>
      <c r="AN55" s="191"/>
      <c r="AO55" s="191"/>
    </row>
    <row r="56" spans="1:41" ht="12" customHeight="1" outlineLevel="5">
      <c r="A56" s="203"/>
      <c r="B56" s="203"/>
      <c r="C56" s="203">
        <v>6</v>
      </c>
      <c r="D56" s="214" t="s">
        <v>1723</v>
      </c>
      <c r="E56" s="204"/>
      <c r="F56" s="204"/>
      <c r="G56" s="204"/>
      <c r="H56" s="204"/>
      <c r="I56" s="204"/>
      <c r="J56" s="204" t="s">
        <v>1640</v>
      </c>
      <c r="K56" s="204"/>
      <c r="L56" s="204"/>
      <c r="M56" s="204"/>
      <c r="N56" s="204"/>
      <c r="O56" s="204"/>
      <c r="P56" s="205">
        <v>44552</v>
      </c>
      <c r="Q56" s="205">
        <v>44571</v>
      </c>
      <c r="R56" s="206"/>
      <c r="S56" s="207">
        <v>14</v>
      </c>
      <c r="T56" s="207">
        <v>14</v>
      </c>
      <c r="U56" s="207">
        <v>14</v>
      </c>
      <c r="V56" s="207">
        <v>14</v>
      </c>
      <c r="W56" s="205"/>
      <c r="X56" s="205"/>
      <c r="Y56" s="208"/>
      <c r="Z56" s="209">
        <v>0</v>
      </c>
      <c r="AA56" s="207"/>
      <c r="AB56" s="206" t="s">
        <v>1630</v>
      </c>
      <c r="AC56" s="210"/>
      <c r="AD56" s="211">
        <v>1</v>
      </c>
      <c r="AE56" s="213">
        <v>1</v>
      </c>
      <c r="AF56" s="190"/>
      <c r="AG56" s="191"/>
      <c r="AH56" s="191"/>
      <c r="AI56" s="191"/>
      <c r="AJ56" s="191"/>
      <c r="AK56" s="191"/>
      <c r="AL56" s="191" t="str">
        <f>"  " &amp; TEXT(AE56,"#0.00%") &amp; " " &amp; "챕터별 퍼즐 형태 기획" &amp; "(회의)" &amp; " " &amp; IF(P56="","",TEXT(P56,"M/D-")) &amp; IF(Q56="","",TEXT(Q56,"M/D")) &amp; " "</f>
        <v xml:space="preserve">  100.00% 챕터별 퍼즐 형태 기획(회의) 12/22-1/10 </v>
      </c>
      <c r="AM56" s="191"/>
      <c r="AN56" s="191"/>
      <c r="AO56" s="191"/>
    </row>
    <row r="57" spans="1:41" ht="12" customHeight="1" outlineLevel="3">
      <c r="A57" s="203"/>
      <c r="B57" s="203" t="s">
        <v>1570</v>
      </c>
      <c r="C57" s="203">
        <v>4</v>
      </c>
      <c r="D57" s="214" t="s">
        <v>1599</v>
      </c>
      <c r="E57" s="204"/>
      <c r="F57" s="204"/>
      <c r="G57" s="204"/>
      <c r="H57" s="204" t="s">
        <v>1724</v>
      </c>
      <c r="I57" s="204"/>
      <c r="J57" s="204"/>
      <c r="K57" s="204"/>
      <c r="L57" s="204"/>
      <c r="M57" s="204"/>
      <c r="N57" s="204"/>
      <c r="O57" s="204"/>
      <c r="P57" s="205">
        <v>44568</v>
      </c>
      <c r="Q57" s="205">
        <v>44571</v>
      </c>
      <c r="R57" s="206"/>
      <c r="S57" s="207">
        <v>2</v>
      </c>
      <c r="T57" s="207">
        <v>2</v>
      </c>
      <c r="U57" s="207">
        <v>2</v>
      </c>
      <c r="V57" s="207">
        <v>2</v>
      </c>
      <c r="W57" s="205"/>
      <c r="X57" s="205"/>
      <c r="Y57" s="208">
        <v>0</v>
      </c>
      <c r="Z57" s="209">
        <v>0</v>
      </c>
      <c r="AA57" s="207"/>
      <c r="AB57" s="206"/>
      <c r="AC57" s="210"/>
      <c r="AD57" s="211">
        <v>1</v>
      </c>
      <c r="AE57" s="251">
        <v>0.95</v>
      </c>
      <c r="AF57" s="190"/>
      <c r="AG57" s="191"/>
      <c r="AH57" s="191"/>
      <c r="AI57" s="191"/>
      <c r="AJ57" s="191"/>
      <c r="AK57" s="191"/>
      <c r="AL57" s="191" t="str">
        <f>"  " &amp; TEXT(AE57,"#0.00%") &amp; " " &amp; "기획서 작성" &amp; " " &amp; IF(P57="","",TEXT(P57,"M/D-")) &amp; IF(Q57="","",TEXT(Q57,"M/D")) &amp; " "</f>
        <v xml:space="preserve">  95.00% 기획서 작성 1/7-1/10 </v>
      </c>
      <c r="AM57" s="191"/>
      <c r="AN57" s="191"/>
      <c r="AO57" s="191"/>
    </row>
    <row r="58" spans="1:41" ht="12" customHeight="1" outlineLevel="4">
      <c r="A58" s="203"/>
      <c r="B58" s="203"/>
      <c r="C58" s="203">
        <v>5</v>
      </c>
      <c r="D58" s="214" t="s">
        <v>1600</v>
      </c>
      <c r="E58" s="204"/>
      <c r="F58" s="204"/>
      <c r="G58" s="204"/>
      <c r="H58" s="204"/>
      <c r="I58" s="204" t="s">
        <v>1725</v>
      </c>
      <c r="J58" s="204"/>
      <c r="K58" s="204"/>
      <c r="L58" s="204"/>
      <c r="M58" s="204"/>
      <c r="N58" s="204"/>
      <c r="O58" s="204"/>
      <c r="P58" s="205">
        <v>44568</v>
      </c>
      <c r="Q58" s="205">
        <v>44571</v>
      </c>
      <c r="R58" s="206"/>
      <c r="S58" s="207">
        <v>2</v>
      </c>
      <c r="T58" s="207">
        <v>2</v>
      </c>
      <c r="U58" s="207">
        <v>2</v>
      </c>
      <c r="V58" s="207">
        <v>2</v>
      </c>
      <c r="W58" s="205"/>
      <c r="X58" s="205"/>
      <c r="Y58" s="208"/>
      <c r="Z58" s="209">
        <v>0</v>
      </c>
      <c r="AA58" s="207"/>
      <c r="AB58" s="206" t="s">
        <v>1579</v>
      </c>
      <c r="AC58" s="210"/>
      <c r="AD58" s="211">
        <v>1</v>
      </c>
      <c r="AE58" s="250">
        <v>0.95</v>
      </c>
      <c r="AF58" s="190"/>
      <c r="AG58" s="191"/>
      <c r="AH58" s="191"/>
      <c r="AI58" s="191"/>
      <c r="AJ58" s="191"/>
      <c r="AK58" s="191"/>
      <c r="AL58" s="191" t="str">
        <f>"  " &amp; TEXT(AE58,"#0.00%") &amp; " " &amp; "전체 게임의 기획서 작성" &amp; "(권성빈)" &amp; " " &amp; IF(P58="","",TEXT(P58,"M/D-")) &amp; IF(Q58="","",TEXT(Q58,"M/D")) &amp; " "</f>
        <v xml:space="preserve">  95.00% 전체 게임의 기획서 작성(권성빈) 1/7-1/10 </v>
      </c>
      <c r="AM58" s="191"/>
      <c r="AN58" s="191"/>
      <c r="AO58" s="191"/>
    </row>
    <row r="59" spans="1:41" ht="12" customHeight="1" outlineLevel="1">
      <c r="A59" s="203"/>
      <c r="B59" s="203" t="s">
        <v>1570</v>
      </c>
      <c r="C59" s="203">
        <v>2</v>
      </c>
      <c r="D59" s="214" t="s">
        <v>1086</v>
      </c>
      <c r="E59" s="204"/>
      <c r="F59" s="204" t="s">
        <v>1605</v>
      </c>
      <c r="G59" s="204"/>
      <c r="H59" s="204"/>
      <c r="I59" s="204"/>
      <c r="J59" s="204"/>
      <c r="K59" s="204"/>
      <c r="L59" s="204"/>
      <c r="M59" s="204"/>
      <c r="N59" s="204"/>
      <c r="O59" s="204"/>
      <c r="P59" s="205">
        <v>44558</v>
      </c>
      <c r="Q59" s="205">
        <v>44586</v>
      </c>
      <c r="R59" s="206"/>
      <c r="S59" s="207">
        <v>72</v>
      </c>
      <c r="T59" s="207">
        <v>58</v>
      </c>
      <c r="U59" s="207">
        <v>21</v>
      </c>
      <c r="V59" s="207">
        <v>16</v>
      </c>
      <c r="W59" s="205"/>
      <c r="X59" s="205"/>
      <c r="Y59" s="208">
        <v>0</v>
      </c>
      <c r="Z59" s="209">
        <v>0</v>
      </c>
      <c r="AA59" s="207"/>
      <c r="AB59" s="206"/>
      <c r="AC59" s="210"/>
      <c r="AD59" s="211">
        <v>0.80555555555555558</v>
      </c>
      <c r="AE59" s="251">
        <v>0.38361111111111107</v>
      </c>
      <c r="AF59" s="190"/>
      <c r="AG59" s="191"/>
      <c r="AH59" s="191"/>
      <c r="AI59" s="191"/>
      <c r="AJ59" s="191"/>
      <c r="AK59" s="191" t="str">
        <f>"      " &amp; TEXT(AE59,"#0.00%") &amp; " " &amp; "아트 관련" &amp; " " &amp; IF(P59="","",TEXT(P59,"M/D-")) &amp; IF(Q59="","",TEXT(Q59,"M/D")) &amp; " "</f>
        <v xml:space="preserve">      38.36% 아트 관련 12/28-1/25 </v>
      </c>
      <c r="AL59" s="191"/>
      <c r="AM59" s="191"/>
      <c r="AN59" s="191"/>
      <c r="AO59" s="191"/>
    </row>
    <row r="60" spans="1:41" ht="12" customHeight="1" outlineLevel="2">
      <c r="A60" s="203"/>
      <c r="B60" s="203" t="s">
        <v>1570</v>
      </c>
      <c r="C60" s="203">
        <v>3</v>
      </c>
      <c r="D60" s="214" t="s">
        <v>1087</v>
      </c>
      <c r="E60" s="204"/>
      <c r="F60" s="204"/>
      <c r="G60" s="204" t="s">
        <v>1606</v>
      </c>
      <c r="H60" s="204"/>
      <c r="I60" s="204"/>
      <c r="J60" s="204"/>
      <c r="K60" s="204"/>
      <c r="L60" s="204"/>
      <c r="M60" s="204"/>
      <c r="N60" s="204"/>
      <c r="O60" s="204"/>
      <c r="P60" s="205">
        <v>44558</v>
      </c>
      <c r="Q60" s="205">
        <v>44585</v>
      </c>
      <c r="R60" s="206"/>
      <c r="S60" s="207">
        <v>39</v>
      </c>
      <c r="T60" s="207">
        <v>32</v>
      </c>
      <c r="U60" s="207">
        <v>20</v>
      </c>
      <c r="V60" s="207">
        <v>16</v>
      </c>
      <c r="W60" s="205"/>
      <c r="X60" s="205"/>
      <c r="Y60" s="208">
        <v>0</v>
      </c>
      <c r="Z60" s="209">
        <v>0</v>
      </c>
      <c r="AA60" s="207"/>
      <c r="AB60" s="206"/>
      <c r="AC60" s="210"/>
      <c r="AD60" s="211">
        <v>0.82051282051282048</v>
      </c>
      <c r="AE60" s="251">
        <v>0.16461538461538461</v>
      </c>
      <c r="AF60" s="190"/>
      <c r="AG60" s="191"/>
      <c r="AH60" s="191"/>
      <c r="AI60" s="191"/>
      <c r="AJ60" s="191"/>
      <c r="AK60" s="191" t="str">
        <f>"" &amp; TEXT(AE60,"#0.00%") &amp; " "</f>
        <v xml:space="preserve">16.46% </v>
      </c>
      <c r="AL60" s="191"/>
      <c r="AM60" s="191"/>
      <c r="AN60" s="191" t="str">
        <f>"  " &amp; "3D 모델 작업" &amp; " " &amp; IF(P60="","",TEXT(P60,"M/D-")) &amp; IF(Q60="","",TEXT(Q60,"M/D")) &amp; " "</f>
        <v xml:space="preserve">  3D 모델 작업 12/28-1/24 </v>
      </c>
      <c r="AO60" s="191"/>
    </row>
    <row r="61" spans="1:41" ht="12" customHeight="1" outlineLevel="3">
      <c r="A61" s="203"/>
      <c r="B61" s="203" t="s">
        <v>1570</v>
      </c>
      <c r="C61" s="203">
        <v>4</v>
      </c>
      <c r="D61" s="214" t="s">
        <v>1609</v>
      </c>
      <c r="E61" s="204"/>
      <c r="F61" s="204"/>
      <c r="G61" s="204"/>
      <c r="H61" s="204" t="s">
        <v>1608</v>
      </c>
      <c r="I61" s="204"/>
      <c r="J61" s="204"/>
      <c r="K61" s="204"/>
      <c r="L61" s="204"/>
      <c r="M61" s="204"/>
      <c r="N61" s="204"/>
      <c r="O61" s="204"/>
      <c r="P61" s="205">
        <v>44558</v>
      </c>
      <c r="Q61" s="205">
        <v>44585</v>
      </c>
      <c r="R61" s="206"/>
      <c r="S61" s="207">
        <v>39</v>
      </c>
      <c r="T61" s="207">
        <v>32</v>
      </c>
      <c r="U61" s="207">
        <v>20</v>
      </c>
      <c r="V61" s="207">
        <v>16</v>
      </c>
      <c r="W61" s="205"/>
      <c r="X61" s="205"/>
      <c r="Y61" s="208">
        <v>0</v>
      </c>
      <c r="Z61" s="209">
        <v>0</v>
      </c>
      <c r="AA61" s="207"/>
      <c r="AB61" s="206"/>
      <c r="AC61" s="210"/>
      <c r="AD61" s="211">
        <v>0.82051282051282048</v>
      </c>
      <c r="AE61" s="251">
        <v>0.16461538461538461</v>
      </c>
      <c r="AF61" s="190"/>
      <c r="AG61" s="191"/>
      <c r="AH61" s="191"/>
      <c r="AI61" s="191"/>
      <c r="AJ61" s="191"/>
      <c r="AK61" s="191" t="str">
        <f>"" &amp; TEXT(AE61,"#0.00%") &amp; " "</f>
        <v xml:space="preserve">16.46% </v>
      </c>
      <c r="AL61" s="191"/>
      <c r="AM61" s="191"/>
      <c r="AN61" s="191" t="str">
        <f>"  " &amp; "각종 사물들 작업" &amp; " " &amp; IF(P61="","",TEXT(P61,"M/D-")) &amp; IF(Q61="","",TEXT(Q61,"M/D")) &amp; " "</f>
        <v xml:space="preserve">  각종 사물들 작업 12/28-1/24 </v>
      </c>
      <c r="AO61" s="191"/>
    </row>
    <row r="62" spans="1:41" ht="12" customHeight="1" outlineLevel="4">
      <c r="A62" s="203"/>
      <c r="B62" s="203" t="s">
        <v>1570</v>
      </c>
      <c r="C62" s="203">
        <v>5</v>
      </c>
      <c r="D62" s="214" t="s">
        <v>1618</v>
      </c>
      <c r="E62" s="204"/>
      <c r="F62" s="204"/>
      <c r="G62" s="204"/>
      <c r="H62" s="204"/>
      <c r="I62" s="204" t="s">
        <v>1625</v>
      </c>
      <c r="J62" s="204"/>
      <c r="K62" s="204"/>
      <c r="L62" s="204"/>
      <c r="M62" s="204"/>
      <c r="N62" s="204"/>
      <c r="O62" s="204"/>
      <c r="P62" s="205">
        <v>44558</v>
      </c>
      <c r="Q62" s="205">
        <v>44585</v>
      </c>
      <c r="R62" s="206"/>
      <c r="S62" s="207">
        <v>39</v>
      </c>
      <c r="T62" s="207">
        <v>32</v>
      </c>
      <c r="U62" s="207">
        <v>20</v>
      </c>
      <c r="V62" s="207">
        <v>16</v>
      </c>
      <c r="W62" s="205"/>
      <c r="X62" s="205"/>
      <c r="Y62" s="208">
        <v>0</v>
      </c>
      <c r="Z62" s="209">
        <v>0</v>
      </c>
      <c r="AA62" s="207"/>
      <c r="AB62" s="206"/>
      <c r="AC62" s="210"/>
      <c r="AD62" s="211">
        <v>0.82051282051282048</v>
      </c>
      <c r="AE62" s="251">
        <v>0.16461538461538461</v>
      </c>
      <c r="AF62" s="190"/>
      <c r="AG62" s="191"/>
      <c r="AH62" s="191"/>
      <c r="AI62" s="191"/>
      <c r="AJ62" s="191"/>
      <c r="AK62" s="191" t="str">
        <f>"" &amp; TEXT(AE62,"#0.00%") &amp; " "</f>
        <v xml:space="preserve">16.46% </v>
      </c>
      <c r="AL62" s="191"/>
      <c r="AM62" s="191"/>
      <c r="AN62" s="191" t="str">
        <f>"  " &amp; "01. 튜토리얼" &amp; " " &amp; IF(P62="","",TEXT(P62,"M/D-")) &amp; IF(Q62="","",TEXT(Q62,"M/D")) &amp; " "</f>
        <v xml:space="preserve">  01. 튜토리얼 12/28-1/24 </v>
      </c>
      <c r="AO62" s="191"/>
    </row>
    <row r="63" spans="1:41" ht="12" customHeight="1" outlineLevel="5">
      <c r="A63" s="203"/>
      <c r="B63" s="203" t="s">
        <v>1570</v>
      </c>
      <c r="C63" s="203">
        <v>6</v>
      </c>
      <c r="D63" s="214" t="s">
        <v>1622</v>
      </c>
      <c r="E63" s="204"/>
      <c r="F63" s="204"/>
      <c r="G63" s="204"/>
      <c r="H63" s="204"/>
      <c r="I63" s="204"/>
      <c r="J63" s="204" t="s">
        <v>1617</v>
      </c>
      <c r="K63" s="204"/>
      <c r="L63" s="204"/>
      <c r="M63" s="204"/>
      <c r="N63" s="204"/>
      <c r="O63" s="204"/>
      <c r="P63" s="205">
        <v>44558</v>
      </c>
      <c r="Q63" s="205">
        <v>44581</v>
      </c>
      <c r="R63" s="206"/>
      <c r="S63" s="207">
        <v>32</v>
      </c>
      <c r="T63" s="207">
        <v>30</v>
      </c>
      <c r="U63" s="207">
        <v>18</v>
      </c>
      <c r="V63" s="207">
        <v>16</v>
      </c>
      <c r="W63" s="205"/>
      <c r="X63" s="205"/>
      <c r="Y63" s="208">
        <v>0</v>
      </c>
      <c r="Z63" s="209">
        <v>0</v>
      </c>
      <c r="AA63" s="207"/>
      <c r="AB63" s="206"/>
      <c r="AC63" s="210"/>
      <c r="AD63" s="211">
        <v>0.9375</v>
      </c>
      <c r="AE63" s="251">
        <v>0.200625</v>
      </c>
      <c r="AF63" s="190"/>
      <c r="AG63" s="191"/>
      <c r="AH63" s="191"/>
      <c r="AI63" s="191"/>
      <c r="AJ63" s="191"/>
      <c r="AK63" s="191" t="str">
        <f>"" &amp; TEXT(AE63,"#0.00%") &amp; " " &amp; "튜토리얼 관련 프롭 제작" &amp; " " &amp; IF(P63="","",TEXT(P63,"M/D-")) &amp; IF(Q63="","",TEXT(Q63,"M/D")) &amp; " "</f>
        <v xml:space="preserve">20.06% 튜토리얼 관련 프롭 제작 12/28-1/20 </v>
      </c>
      <c r="AL63" s="191"/>
      <c r="AM63" s="191"/>
      <c r="AN63" s="191"/>
      <c r="AO63" s="191"/>
    </row>
    <row r="64" spans="1:41" ht="12" customHeight="1" outlineLevel="6">
      <c r="A64" s="203"/>
      <c r="B64" s="203"/>
      <c r="C64" s="203">
        <v>7</v>
      </c>
      <c r="D64" s="214" t="s">
        <v>1644</v>
      </c>
      <c r="E64" s="204"/>
      <c r="F64" s="204"/>
      <c r="G64" s="204"/>
      <c r="H64" s="204"/>
      <c r="I64" s="204"/>
      <c r="J64" s="204"/>
      <c r="K64" s="204" t="s">
        <v>1639</v>
      </c>
      <c r="L64" s="204"/>
      <c r="M64" s="204"/>
      <c r="N64" s="204"/>
      <c r="O64" s="204"/>
      <c r="P64" s="205">
        <v>44558</v>
      </c>
      <c r="Q64" s="205">
        <v>44577</v>
      </c>
      <c r="R64" s="206"/>
      <c r="S64" s="207">
        <v>14</v>
      </c>
      <c r="T64" s="207">
        <v>14</v>
      </c>
      <c r="U64" s="207">
        <v>14</v>
      </c>
      <c r="V64" s="207">
        <v>14</v>
      </c>
      <c r="W64" s="205"/>
      <c r="X64" s="205"/>
      <c r="Y64" s="208"/>
      <c r="Z64" s="209">
        <v>0</v>
      </c>
      <c r="AA64" s="207"/>
      <c r="AB64" s="206" t="s">
        <v>1603</v>
      </c>
      <c r="AC64" s="210"/>
      <c r="AD64" s="211">
        <v>1</v>
      </c>
      <c r="AE64" s="250">
        <v>0.33</v>
      </c>
      <c r="AF64" s="190"/>
      <c r="AG64" s="191"/>
      <c r="AH64" s="191"/>
      <c r="AI64" s="191"/>
      <c r="AJ64" s="191"/>
      <c r="AK64" s="191" t="str">
        <f>"  " &amp; TEXT(AE64,"#0.00%") &amp; " " &amp; "러시아워 퍼즐 프롭 제작" &amp; "(황민재)" &amp; " " &amp; IF(P64="","",TEXT(P64,"M/D-")) &amp; IF(Q64="","",TEXT(Q64,"M/D")) &amp; " "</f>
        <v xml:space="preserve">  33.00% 러시아워 퍼즐 프롭 제작(황민재) 12/28-1/16 </v>
      </c>
      <c r="AL64" s="191"/>
      <c r="AM64" s="191"/>
      <c r="AN64" s="191"/>
      <c r="AO64" s="191"/>
    </row>
    <row r="65" spans="1:41" ht="12" customHeight="1" outlineLevel="6">
      <c r="A65" s="203"/>
      <c r="B65" s="203"/>
      <c r="C65" s="203">
        <v>7</v>
      </c>
      <c r="D65" s="214" t="s">
        <v>1646</v>
      </c>
      <c r="E65" s="204"/>
      <c r="F65" s="204"/>
      <c r="G65" s="204"/>
      <c r="H65" s="204"/>
      <c r="I65" s="204"/>
      <c r="J65" s="204"/>
      <c r="K65" s="204" t="s">
        <v>1645</v>
      </c>
      <c r="L65" s="204"/>
      <c r="M65" s="204"/>
      <c r="N65" s="204"/>
      <c r="O65" s="204"/>
      <c r="P65" s="205">
        <v>44558</v>
      </c>
      <c r="Q65" s="205">
        <v>44581</v>
      </c>
      <c r="R65" s="206"/>
      <c r="S65" s="207">
        <v>18</v>
      </c>
      <c r="T65" s="207">
        <v>16</v>
      </c>
      <c r="U65" s="207">
        <v>18</v>
      </c>
      <c r="V65" s="207">
        <v>16</v>
      </c>
      <c r="W65" s="205"/>
      <c r="X65" s="205"/>
      <c r="Y65" s="208"/>
      <c r="Z65" s="209">
        <v>0</v>
      </c>
      <c r="AA65" s="207"/>
      <c r="AB65" s="206" t="s">
        <v>1603</v>
      </c>
      <c r="AC65" s="210"/>
      <c r="AD65" s="211">
        <v>0.88888888888888884</v>
      </c>
      <c r="AE65" s="250">
        <v>0.1</v>
      </c>
      <c r="AF65" s="190"/>
      <c r="AG65" s="191"/>
      <c r="AH65" s="191"/>
      <c r="AI65" s="191"/>
      <c r="AJ65" s="191" t="str">
        <f>"    " &amp; TEXT(AE65,"#0.00%") &amp; " " &amp; "튜토리얼 맵 프롭" &amp; "(황민재)" &amp; " " &amp; IF(P65="","",TEXT(P65,"M/D-")) &amp; IF(Q65="","",TEXT(Q65,"M/D")) &amp; " "</f>
        <v xml:space="preserve">    10.00% 튜토리얼 맵 프롭(황민재) 12/28-1/20 </v>
      </c>
      <c r="AK65" s="191"/>
      <c r="AL65" s="191"/>
      <c r="AM65" s="191"/>
      <c r="AN65" s="191"/>
      <c r="AO65" s="191"/>
    </row>
    <row r="66" spans="1:41" ht="12" customHeight="1" outlineLevel="5">
      <c r="A66" s="204" t="s">
        <v>1639</v>
      </c>
      <c r="B66" s="203"/>
      <c r="C66" s="203">
        <v>6</v>
      </c>
      <c r="D66" s="214" t="s">
        <v>1623</v>
      </c>
      <c r="E66" s="204"/>
      <c r="F66" s="204"/>
      <c r="G66" s="204"/>
      <c r="H66" s="204"/>
      <c r="I66" s="204"/>
      <c r="J66" s="204" t="s">
        <v>1619</v>
      </c>
      <c r="K66" s="204"/>
      <c r="L66" s="204"/>
      <c r="M66" s="204"/>
      <c r="N66" s="204"/>
      <c r="O66" s="204"/>
      <c r="P66" s="205">
        <v>44578</v>
      </c>
      <c r="Q66" s="205">
        <v>44581</v>
      </c>
      <c r="R66" s="206"/>
      <c r="S66" s="207">
        <v>4</v>
      </c>
      <c r="T66" s="207">
        <v>2</v>
      </c>
      <c r="U66" s="207">
        <v>4</v>
      </c>
      <c r="V66" s="207">
        <v>2</v>
      </c>
      <c r="W66" s="205"/>
      <c r="X66" s="205"/>
      <c r="Y66" s="208"/>
      <c r="Z66" s="209">
        <v>0</v>
      </c>
      <c r="AA66" s="207"/>
      <c r="AB66" s="206" t="s">
        <v>1603</v>
      </c>
      <c r="AC66" s="210"/>
      <c r="AD66" s="211">
        <v>0.5</v>
      </c>
      <c r="AE66" s="250">
        <v>0</v>
      </c>
      <c r="AF66" s="190"/>
      <c r="AG66" s="191"/>
      <c r="AH66" s="191"/>
      <c r="AI66" s="191"/>
      <c r="AJ66" s="191"/>
      <c r="AK66" s="191"/>
      <c r="AL66" s="191"/>
      <c r="AM66" s="191" t="str">
        <f>" " &amp; TEXT(AE66,"#0.00%") &amp; " " &amp; "튜토리얼 관련 맵 제작" &amp; "(황민재)" &amp; " " &amp; IF(P66="","",TEXT(P66,"M/D-")) &amp; IF(Q66="","",TEXT(Q66,"M/D")) &amp; " "</f>
        <v xml:space="preserve"> 0.00% 튜토리얼 관련 맵 제작(황민재) 1/17-1/20 </v>
      </c>
      <c r="AN66" s="191"/>
      <c r="AO66" s="191"/>
    </row>
    <row r="67" spans="1:41" ht="12" customHeight="1" outlineLevel="5">
      <c r="A67" s="203"/>
      <c r="B67" s="203"/>
      <c r="C67" s="203">
        <v>6</v>
      </c>
      <c r="D67" s="214" t="s">
        <v>1624</v>
      </c>
      <c r="E67" s="204"/>
      <c r="F67" s="204"/>
      <c r="G67" s="204"/>
      <c r="H67" s="204"/>
      <c r="I67" s="204"/>
      <c r="J67" s="204" t="s">
        <v>1620</v>
      </c>
      <c r="K67" s="204"/>
      <c r="L67" s="204"/>
      <c r="M67" s="204"/>
      <c r="N67" s="204"/>
      <c r="O67" s="204"/>
      <c r="P67" s="205">
        <v>44581</v>
      </c>
      <c r="Q67" s="205">
        <v>44585</v>
      </c>
      <c r="R67" s="206"/>
      <c r="S67" s="207">
        <v>3</v>
      </c>
      <c r="T67" s="207">
        <v>0</v>
      </c>
      <c r="U67" s="207">
        <v>3</v>
      </c>
      <c r="V67" s="207">
        <v>0</v>
      </c>
      <c r="W67" s="205"/>
      <c r="X67" s="205"/>
      <c r="Y67" s="208"/>
      <c r="Z67" s="209">
        <v>0</v>
      </c>
      <c r="AA67" s="207"/>
      <c r="AB67" s="206" t="s">
        <v>1603</v>
      </c>
      <c r="AC67" s="210"/>
      <c r="AD67" s="211">
        <v>0</v>
      </c>
      <c r="AE67" s="213">
        <v>0</v>
      </c>
      <c r="AF67" s="190"/>
      <c r="AG67" s="191"/>
      <c r="AH67" s="191"/>
      <c r="AI67" s="191"/>
      <c r="AJ67" s="191"/>
      <c r="AK67" s="191"/>
      <c r="AL67" s="191"/>
      <c r="AM67" s="191" t="str">
        <f>"    " &amp; TEXT(AE67,"#0.00%") &amp; " " &amp; "튜토리얼 맵에 사물 배치 ( 기획 적용 )" &amp; "(황민재)" &amp; " " &amp; IF(P67="","",TEXT(P67,"M/D-")) &amp; IF(Q67="","",TEXT(Q67,"M/D")) &amp; " "</f>
        <v xml:space="preserve">    0.00% 튜토리얼 맵에 사물 배치 ( 기획 적용 )(황민재) 1/20-1/24 </v>
      </c>
      <c r="AN67" s="191"/>
      <c r="AO67" s="191"/>
    </row>
    <row r="68" spans="1:41" ht="12" customHeight="1" outlineLevel="2">
      <c r="A68" s="203"/>
      <c r="B68" s="203" t="s">
        <v>1570</v>
      </c>
      <c r="C68" s="203">
        <v>3</v>
      </c>
      <c r="D68" s="214" t="s">
        <v>1107</v>
      </c>
      <c r="E68" s="204"/>
      <c r="F68" s="204"/>
      <c r="G68" s="204" t="s">
        <v>1607</v>
      </c>
      <c r="H68" s="204"/>
      <c r="I68" s="204"/>
      <c r="J68" s="204"/>
      <c r="K68" s="204"/>
      <c r="L68" s="204"/>
      <c r="M68" s="204"/>
      <c r="N68" s="204"/>
      <c r="O68" s="204"/>
      <c r="P68" s="205">
        <v>44562</v>
      </c>
      <c r="Q68" s="205">
        <v>44586</v>
      </c>
      <c r="R68" s="206"/>
      <c r="S68" s="207">
        <v>33</v>
      </c>
      <c r="T68" s="207">
        <v>26</v>
      </c>
      <c r="U68" s="207">
        <v>17</v>
      </c>
      <c r="V68" s="207">
        <v>12</v>
      </c>
      <c r="W68" s="205"/>
      <c r="X68" s="205"/>
      <c r="Y68" s="208">
        <v>0</v>
      </c>
      <c r="Z68" s="209">
        <v>0</v>
      </c>
      <c r="AA68" s="207"/>
      <c r="AB68" s="206"/>
      <c r="AC68" s="210"/>
      <c r="AD68" s="211">
        <v>0.78787878787878785</v>
      </c>
      <c r="AE68" s="251">
        <v>0.64242424242424245</v>
      </c>
      <c r="AF68" s="190"/>
      <c r="AG68" s="191"/>
      <c r="AH68" s="191"/>
      <c r="AI68" s="191"/>
      <c r="AJ68" s="191"/>
      <c r="AK68" s="191"/>
      <c r="AL68" s="191"/>
      <c r="AM68" s="191" t="str">
        <f>" " &amp; TEXT(AE68,"#0.00%") &amp; " " &amp; "2D 이미지 작업" &amp; " " &amp; IF(P68="","",TEXT(P68,"M/D-")) &amp; IF(Q68="","",TEXT(Q68,"M/D")) &amp; " "</f>
        <v xml:space="preserve"> 64.24% 2D 이미지 작업 1/1-1/25 </v>
      </c>
      <c r="AN68" s="191"/>
      <c r="AO68" s="191"/>
    </row>
    <row r="69" spans="1:41" ht="12" customHeight="1" outlineLevel="3">
      <c r="A69" s="203"/>
      <c r="B69" s="203" t="s">
        <v>1570</v>
      </c>
      <c r="C69" s="203">
        <v>4</v>
      </c>
      <c r="D69" s="214" t="s">
        <v>1610</v>
      </c>
      <c r="E69" s="204"/>
      <c r="F69" s="204"/>
      <c r="G69" s="204"/>
      <c r="H69" s="204" t="s">
        <v>1621</v>
      </c>
      <c r="I69" s="204"/>
      <c r="J69" s="204"/>
      <c r="K69" s="204"/>
      <c r="L69" s="204"/>
      <c r="M69" s="204"/>
      <c r="N69" s="204"/>
      <c r="O69" s="204"/>
      <c r="P69" s="205">
        <v>44562</v>
      </c>
      <c r="Q69" s="205">
        <v>44586</v>
      </c>
      <c r="R69" s="206"/>
      <c r="S69" s="207">
        <v>33</v>
      </c>
      <c r="T69" s="207">
        <v>26</v>
      </c>
      <c r="U69" s="207">
        <v>17</v>
      </c>
      <c r="V69" s="207">
        <v>12</v>
      </c>
      <c r="W69" s="205"/>
      <c r="X69" s="205"/>
      <c r="Y69" s="208">
        <v>0</v>
      </c>
      <c r="Z69" s="209">
        <v>0</v>
      </c>
      <c r="AA69" s="207"/>
      <c r="AB69" s="206"/>
      <c r="AC69" s="210"/>
      <c r="AD69" s="211">
        <v>0.78787878787878785</v>
      </c>
      <c r="AE69" s="251">
        <v>0.64242424242424245</v>
      </c>
      <c r="AF69" s="190"/>
      <c r="AG69" s="191"/>
      <c r="AH69" s="191"/>
      <c r="AI69" s="191"/>
      <c r="AJ69" s="191"/>
      <c r="AK69" s="191"/>
      <c r="AL69" s="191"/>
      <c r="AM69" s="191" t="str">
        <f>" " &amp; TEXT(AE69,"#0.00%") &amp; " " &amp; "UI 디자인 및 기획" &amp; " " &amp; IF(P69="","",TEXT(P69,"M/D-")) &amp; IF(Q69="","",TEXT(Q69,"M/D")) &amp; " "</f>
        <v xml:space="preserve"> 64.24% UI 디자인 및 기획 1/1-1/25 </v>
      </c>
      <c r="AN69" s="191"/>
      <c r="AO69" s="191"/>
    </row>
    <row r="70" spans="1:41" ht="12" customHeight="1" outlineLevel="4">
      <c r="A70" s="203"/>
      <c r="B70" s="203"/>
      <c r="C70" s="203">
        <v>5</v>
      </c>
      <c r="D70" s="214" t="s">
        <v>1627</v>
      </c>
      <c r="E70" s="204"/>
      <c r="F70" s="204"/>
      <c r="G70" s="204"/>
      <c r="H70" s="204"/>
      <c r="I70" s="204" t="s">
        <v>1626</v>
      </c>
      <c r="J70" s="204"/>
      <c r="K70" s="204"/>
      <c r="L70" s="204"/>
      <c r="M70" s="204"/>
      <c r="N70" s="204"/>
      <c r="O70" s="204"/>
      <c r="P70" s="205">
        <v>44571</v>
      </c>
      <c r="Q70" s="205">
        <v>44586</v>
      </c>
      <c r="R70" s="206"/>
      <c r="S70" s="207">
        <v>12</v>
      </c>
      <c r="T70" s="207">
        <v>7</v>
      </c>
      <c r="U70" s="207">
        <v>12</v>
      </c>
      <c r="V70" s="207">
        <v>7</v>
      </c>
      <c r="W70" s="205"/>
      <c r="X70" s="205"/>
      <c r="Y70" s="208"/>
      <c r="Z70" s="209">
        <v>0</v>
      </c>
      <c r="AA70" s="207">
        <v>1</v>
      </c>
      <c r="AB70" s="206" t="s">
        <v>1704</v>
      </c>
      <c r="AC70" s="210"/>
      <c r="AD70" s="211">
        <v>0.58333333333333337</v>
      </c>
      <c r="AE70" s="248">
        <v>0.6</v>
      </c>
      <c r="AF70" s="190"/>
      <c r="AG70" s="191"/>
      <c r="AH70" s="191"/>
      <c r="AI70" s="191"/>
      <c r="AJ70" s="191"/>
      <c r="AK70" s="191"/>
      <c r="AL70" s="191"/>
      <c r="AM70" s="191" t="str">
        <f>"    " &amp; TEXT(AE70,"#0.00%") &amp; " " &amp; "타이틀 화면 UI 디자인" &amp; "(이재유 및 팀원)" &amp; " " &amp; IF(P70="","",TEXT(P70,"M/D-")) &amp; IF(Q70="","",TEXT(Q70,"M/D")) &amp; " "</f>
        <v xml:space="preserve">    60.00% 타이틀 화면 UI 디자인(이재유 및 팀원) 1/10-1/25 </v>
      </c>
      <c r="AN70" s="191"/>
      <c r="AO70" s="191"/>
    </row>
    <row r="71" spans="1:41" ht="12" customHeight="1" outlineLevel="4">
      <c r="A71" s="203"/>
      <c r="B71" s="203"/>
      <c r="C71" s="203">
        <v>5</v>
      </c>
      <c r="D71" s="214" t="s">
        <v>1628</v>
      </c>
      <c r="E71" s="204"/>
      <c r="F71" s="204"/>
      <c r="G71" s="204"/>
      <c r="H71" s="204"/>
      <c r="I71" s="204" t="s">
        <v>1661</v>
      </c>
      <c r="J71" s="204"/>
      <c r="K71" s="204"/>
      <c r="L71" s="204"/>
      <c r="M71" s="204"/>
      <c r="N71" s="204"/>
      <c r="O71" s="204"/>
      <c r="P71" s="205">
        <v>44562</v>
      </c>
      <c r="Q71" s="205">
        <v>44574</v>
      </c>
      <c r="R71" s="206"/>
      <c r="S71" s="207">
        <v>9</v>
      </c>
      <c r="T71" s="207">
        <v>9</v>
      </c>
      <c r="U71" s="207">
        <v>9</v>
      </c>
      <c r="V71" s="207">
        <v>9</v>
      </c>
      <c r="W71" s="205"/>
      <c r="X71" s="205"/>
      <c r="Y71" s="208"/>
      <c r="Z71" s="209">
        <v>0</v>
      </c>
      <c r="AA71" s="207">
        <v>1</v>
      </c>
      <c r="AB71" s="206" t="s">
        <v>1703</v>
      </c>
      <c r="AC71" s="210"/>
      <c r="AD71" s="211">
        <v>1</v>
      </c>
      <c r="AE71" s="213">
        <v>1</v>
      </c>
      <c r="AF71" s="190"/>
      <c r="AG71" s="191"/>
      <c r="AH71" s="191"/>
      <c r="AI71" s="191"/>
      <c r="AJ71" s="191"/>
      <c r="AK71" s="191"/>
      <c r="AL71" s="191" t="str">
        <f>"     " &amp; TEXT(AE71,"#0.00%") &amp; " " &amp; "인벤토리 기획" &amp; "(이재유 / 권성빈)" &amp; " " &amp; IF(P71="","",TEXT(P71,"M/D-")) &amp; IF(Q71="","",TEXT(Q71,"M/D")) &amp; " "</f>
        <v xml:space="preserve">     100.00% 인벤토리 기획(이재유 / 권성빈) 1/1-1/13 </v>
      </c>
      <c r="AM71" s="191"/>
      <c r="AN71" s="191"/>
      <c r="AO71" s="191"/>
    </row>
    <row r="72" spans="1:41" ht="12" customHeight="1" outlineLevel="4">
      <c r="A72" s="203"/>
      <c r="B72" s="203"/>
      <c r="C72" s="203">
        <v>5</v>
      </c>
      <c r="D72" s="214" t="s">
        <v>1663</v>
      </c>
      <c r="E72" s="204"/>
      <c r="F72" s="204"/>
      <c r="G72" s="204"/>
      <c r="H72" s="204"/>
      <c r="I72" s="204" t="s">
        <v>1662</v>
      </c>
      <c r="J72" s="204"/>
      <c r="K72" s="204"/>
      <c r="L72" s="204"/>
      <c r="M72" s="204"/>
      <c r="N72" s="204"/>
      <c r="O72" s="204"/>
      <c r="P72" s="205">
        <v>44573</v>
      </c>
      <c r="Q72" s="205">
        <v>44581</v>
      </c>
      <c r="R72" s="206"/>
      <c r="S72" s="207">
        <v>7</v>
      </c>
      <c r="T72" s="207">
        <v>5</v>
      </c>
      <c r="U72" s="207">
        <v>7</v>
      </c>
      <c r="V72" s="207">
        <v>5</v>
      </c>
      <c r="W72" s="205"/>
      <c r="X72" s="205"/>
      <c r="Y72" s="208"/>
      <c r="Z72" s="209">
        <v>0</v>
      </c>
      <c r="AA72" s="207">
        <v>1</v>
      </c>
      <c r="AB72" s="206" t="s">
        <v>1703</v>
      </c>
      <c r="AC72" s="210"/>
      <c r="AD72" s="211">
        <v>0.7142857142857143</v>
      </c>
      <c r="AE72" s="250">
        <v>0</v>
      </c>
      <c r="AF72" s="190"/>
      <c r="AG72" s="191"/>
      <c r="AH72" s="191"/>
      <c r="AI72" s="191"/>
      <c r="AJ72" s="191"/>
      <c r="AK72" s="191"/>
      <c r="AL72" s="191" t="str">
        <f>"   " &amp; TEXT(AE72,"#0.00%") &amp; " " &amp; "진단서 UI 기획" &amp; "(이재유 / 권성빈)" &amp; " " &amp; IF(P72="","",TEXT(P72,"M/D-")) &amp; IF(Q72="","",TEXT(Q72,"M/D")) &amp; " "</f>
        <v xml:space="preserve">   0.00% 진단서 UI 기획(이재유 / 권성빈) 1/12-1/20 </v>
      </c>
      <c r="AM72" s="191"/>
      <c r="AN72" s="191"/>
      <c r="AO72" s="191"/>
    </row>
    <row r="73" spans="1:41" ht="12" customHeight="1" outlineLevel="4">
      <c r="A73" s="203"/>
      <c r="B73" s="203"/>
      <c r="C73" s="203">
        <v>5</v>
      </c>
      <c r="D73" s="214" t="s">
        <v>1665</v>
      </c>
      <c r="E73" s="204"/>
      <c r="F73" s="204"/>
      <c r="G73" s="204"/>
      <c r="H73" s="204"/>
      <c r="I73" s="204" t="s">
        <v>1664</v>
      </c>
      <c r="J73" s="204"/>
      <c r="K73" s="204"/>
      <c r="L73" s="204"/>
      <c r="M73" s="204"/>
      <c r="N73" s="204"/>
      <c r="O73" s="204"/>
      <c r="P73" s="205">
        <v>44564</v>
      </c>
      <c r="Q73" s="205">
        <v>44568</v>
      </c>
      <c r="R73" s="206"/>
      <c r="S73" s="207">
        <v>5</v>
      </c>
      <c r="T73" s="207">
        <v>5</v>
      </c>
      <c r="U73" s="207">
        <v>5</v>
      </c>
      <c r="V73" s="207">
        <v>5</v>
      </c>
      <c r="W73" s="205"/>
      <c r="X73" s="205"/>
      <c r="Y73" s="208"/>
      <c r="Z73" s="209">
        <v>0</v>
      </c>
      <c r="AA73" s="207">
        <v>1</v>
      </c>
      <c r="AB73" s="206" t="s">
        <v>1703</v>
      </c>
      <c r="AC73" s="210"/>
      <c r="AD73" s="211">
        <v>1</v>
      </c>
      <c r="AE73" s="213">
        <v>1</v>
      </c>
      <c r="AF73" s="190"/>
      <c r="AG73" s="191"/>
      <c r="AH73" s="191"/>
      <c r="AI73" s="191"/>
      <c r="AJ73" s="191"/>
      <c r="AK73" s="191" t="str">
        <f>"      " &amp; TEXT(AE73,"#0.00%") &amp; " " &amp; "인게임 일시정지 메뉴 기획" &amp; "(이재유 / 권성빈)" &amp; " " &amp; IF(P73="","",TEXT(P73,"M/D-")) &amp; IF(Q73="","",TEXT(Q73,"M/D")) &amp; " "</f>
        <v xml:space="preserve">      100.00% 인게임 일시정지 메뉴 기획(이재유 / 권성빈) 1/3-1/7 </v>
      </c>
      <c r="AL73" s="191"/>
      <c r="AM73" s="191"/>
      <c r="AN73" s="191"/>
      <c r="AO73" s="191"/>
    </row>
    <row r="74" spans="1:41" ht="12" customHeight="1">
      <c r="A74" s="236"/>
      <c r="B74" s="236"/>
      <c r="C74" s="236">
        <v>0</v>
      </c>
      <c r="D74" s="237"/>
      <c r="E74" s="238"/>
      <c r="F74" s="238"/>
      <c r="G74" s="238"/>
      <c r="H74" s="238"/>
      <c r="I74" s="238"/>
      <c r="J74" s="238"/>
      <c r="K74" s="238"/>
      <c r="L74" s="238"/>
      <c r="M74" s="238"/>
      <c r="N74" s="238"/>
      <c r="O74" s="238"/>
      <c r="P74" s="239"/>
      <c r="Q74" s="239"/>
      <c r="R74" s="240"/>
      <c r="S74" s="241"/>
      <c r="T74" s="241"/>
      <c r="U74" s="241"/>
      <c r="V74" s="241"/>
      <c r="W74" s="239"/>
      <c r="X74" s="239"/>
      <c r="Y74" s="242"/>
      <c r="Z74" s="243">
        <v>0</v>
      </c>
      <c r="AA74" s="241"/>
      <c r="AB74" s="240"/>
      <c r="AC74" s="244"/>
      <c r="AD74" s="245"/>
      <c r="AE74" s="246"/>
      <c r="AF74" s="189"/>
      <c r="AG74" s="189"/>
      <c r="AH74" s="189"/>
      <c r="AI74" s="189"/>
      <c r="AJ74" s="189"/>
      <c r="AK74" s="189"/>
      <c r="AL74" s="189"/>
      <c r="AM74" s="189"/>
      <c r="AN74" s="189"/>
      <c r="AO74" s="189"/>
    </row>
    <row r="75" spans="1:41" ht="12" customHeight="1">
      <c r="A75" s="203"/>
      <c r="B75" s="203"/>
      <c r="C75" s="203">
        <v>0</v>
      </c>
      <c r="D75" s="214"/>
      <c r="E75" s="204"/>
      <c r="F75" s="204"/>
      <c r="G75" s="204"/>
      <c r="H75" s="204"/>
      <c r="I75" s="204"/>
      <c r="J75" s="204"/>
      <c r="K75" s="204"/>
      <c r="L75" s="204"/>
      <c r="M75" s="204"/>
      <c r="N75" s="204"/>
      <c r="O75" s="204"/>
      <c r="P75" s="205"/>
      <c r="Q75" s="205"/>
      <c r="R75" s="206"/>
      <c r="S75" s="207"/>
      <c r="T75" s="207"/>
      <c r="U75" s="207"/>
      <c r="V75" s="207"/>
      <c r="W75" s="205"/>
      <c r="X75" s="205"/>
      <c r="Y75" s="208"/>
      <c r="Z75" s="209">
        <v>0</v>
      </c>
      <c r="AA75" s="207"/>
      <c r="AB75" s="206"/>
      <c r="AC75" s="210"/>
      <c r="AD75" s="211"/>
      <c r="AE75" s="216"/>
    </row>
    <row r="76" spans="1:41" ht="12" customHeight="1">
      <c r="A76" s="203"/>
      <c r="B76" s="203"/>
      <c r="C76" s="203">
        <v>0</v>
      </c>
      <c r="D76" s="214"/>
      <c r="E76" s="204"/>
      <c r="F76" s="204"/>
      <c r="G76" s="204"/>
      <c r="H76" s="204"/>
      <c r="I76" s="204"/>
      <c r="J76" s="204"/>
      <c r="K76" s="204"/>
      <c r="L76" s="204"/>
      <c r="M76" s="204"/>
      <c r="N76" s="204"/>
      <c r="O76" s="204"/>
      <c r="P76" s="205"/>
      <c r="Q76" s="205"/>
      <c r="R76" s="206"/>
      <c r="S76" s="207"/>
      <c r="T76" s="207"/>
      <c r="U76" s="207"/>
      <c r="V76" s="207"/>
      <c r="W76" s="205"/>
      <c r="X76" s="205"/>
      <c r="Y76" s="208"/>
      <c r="Z76" s="209">
        <v>0</v>
      </c>
      <c r="AA76" s="207">
        <v>1</v>
      </c>
      <c r="AB76" s="206"/>
      <c r="AC76" s="210"/>
      <c r="AD76" s="211"/>
      <c r="AE76" s="216"/>
    </row>
    <row r="77" spans="1:41" ht="12" customHeight="1">
      <c r="A77" s="203"/>
      <c r="B77" s="203"/>
      <c r="C77" s="203">
        <v>0</v>
      </c>
      <c r="D77" s="214"/>
      <c r="E77" s="204"/>
      <c r="F77" s="204"/>
      <c r="G77" s="204"/>
      <c r="H77" s="204"/>
      <c r="I77" s="204"/>
      <c r="J77" s="204"/>
      <c r="K77" s="204"/>
      <c r="L77" s="204"/>
      <c r="M77" s="204"/>
      <c r="N77" s="204"/>
      <c r="O77" s="204"/>
      <c r="P77" s="205"/>
      <c r="Q77" s="205"/>
      <c r="R77" s="206"/>
      <c r="S77" s="207"/>
      <c r="T77" s="207"/>
      <c r="U77" s="207"/>
      <c r="V77" s="207"/>
      <c r="W77" s="205"/>
      <c r="X77" s="205"/>
      <c r="Y77" s="208"/>
      <c r="Z77" s="209">
        <v>0</v>
      </c>
      <c r="AA77" s="207"/>
      <c r="AB77" s="206"/>
      <c r="AC77" s="210"/>
      <c r="AD77" s="211"/>
      <c r="AE77" s="216"/>
    </row>
    <row r="78" spans="1:41" ht="12" customHeight="1">
      <c r="A78" s="203"/>
      <c r="B78" s="203"/>
      <c r="C78" s="203">
        <v>0</v>
      </c>
      <c r="D78" s="214"/>
      <c r="E78" s="204"/>
      <c r="F78" s="204"/>
      <c r="G78" s="204"/>
      <c r="H78" s="204"/>
      <c r="I78" s="204"/>
      <c r="J78" s="204"/>
      <c r="K78" s="204"/>
      <c r="L78" s="204"/>
      <c r="M78" s="204"/>
      <c r="N78" s="204"/>
      <c r="O78" s="204"/>
      <c r="P78" s="205"/>
      <c r="Q78" s="205"/>
      <c r="R78" s="206"/>
      <c r="S78" s="207"/>
      <c r="T78" s="207"/>
      <c r="U78" s="207"/>
      <c r="V78" s="207"/>
      <c r="W78" s="205"/>
      <c r="X78" s="205"/>
      <c r="Y78" s="208"/>
      <c r="Z78" s="209">
        <v>0</v>
      </c>
      <c r="AA78" s="207"/>
      <c r="AB78" s="206"/>
      <c r="AC78" s="210"/>
      <c r="AD78" s="211"/>
      <c r="AE78" s="216"/>
    </row>
    <row r="79" spans="1:41" ht="12" customHeight="1">
      <c r="A79" s="203"/>
      <c r="B79" s="203"/>
      <c r="C79" s="203">
        <v>0</v>
      </c>
      <c r="D79" s="214"/>
      <c r="E79" s="204"/>
      <c r="F79" s="204"/>
      <c r="G79" s="204"/>
      <c r="H79" s="204"/>
      <c r="I79" s="204"/>
      <c r="J79" s="204"/>
      <c r="K79" s="204"/>
      <c r="L79" s="204"/>
      <c r="M79" s="204"/>
      <c r="N79" s="204"/>
      <c r="O79" s="204"/>
      <c r="P79" s="205"/>
      <c r="Q79" s="205"/>
      <c r="R79" s="206"/>
      <c r="S79" s="207"/>
      <c r="T79" s="207"/>
      <c r="U79" s="207"/>
      <c r="V79" s="207"/>
      <c r="W79" s="205"/>
      <c r="X79" s="205"/>
      <c r="Y79" s="208"/>
      <c r="Z79" s="209">
        <v>0</v>
      </c>
      <c r="AA79" s="207">
        <v>1</v>
      </c>
      <c r="AB79" s="206"/>
      <c r="AC79" s="210"/>
      <c r="AD79" s="211"/>
      <c r="AE79" s="216"/>
    </row>
    <row r="80" spans="1:41" ht="12" customHeight="1">
      <c r="A80" s="203"/>
      <c r="B80" s="203"/>
      <c r="C80" s="203">
        <v>0</v>
      </c>
      <c r="D80" s="214"/>
      <c r="E80" s="204"/>
      <c r="F80" s="204"/>
      <c r="G80" s="204"/>
      <c r="H80" s="204"/>
      <c r="I80" s="204"/>
      <c r="J80" s="204"/>
      <c r="K80" s="204"/>
      <c r="L80" s="204"/>
      <c r="M80" s="204"/>
      <c r="N80" s="204"/>
      <c r="O80" s="204"/>
      <c r="P80" s="205"/>
      <c r="Q80" s="205"/>
      <c r="R80" s="206"/>
      <c r="S80" s="207"/>
      <c r="T80" s="207"/>
      <c r="U80" s="207"/>
      <c r="V80" s="207"/>
      <c r="W80" s="205"/>
      <c r="X80" s="205"/>
      <c r="Y80" s="208"/>
      <c r="Z80" s="209">
        <v>0</v>
      </c>
      <c r="AA80" s="207">
        <v>1</v>
      </c>
      <c r="AB80" s="206"/>
      <c r="AC80" s="210"/>
      <c r="AD80" s="211"/>
      <c r="AE80" s="216"/>
    </row>
    <row r="81" spans="1:31" ht="12" customHeight="1">
      <c r="A81" s="203"/>
      <c r="B81" s="203"/>
      <c r="C81" s="203">
        <v>0</v>
      </c>
      <c r="D81" s="214"/>
      <c r="E81" s="204"/>
      <c r="F81" s="204"/>
      <c r="G81" s="204"/>
      <c r="H81" s="204"/>
      <c r="I81" s="204"/>
      <c r="J81" s="204"/>
      <c r="K81" s="204"/>
      <c r="L81" s="204"/>
      <c r="M81" s="204"/>
      <c r="N81" s="204"/>
      <c r="O81" s="204"/>
      <c r="P81" s="205"/>
      <c r="Q81" s="205"/>
      <c r="R81" s="206"/>
      <c r="S81" s="207"/>
      <c r="T81" s="207"/>
      <c r="U81" s="207"/>
      <c r="V81" s="207"/>
      <c r="W81" s="205"/>
      <c r="X81" s="205"/>
      <c r="Y81" s="208"/>
      <c r="Z81" s="209">
        <v>0</v>
      </c>
      <c r="AA81" s="207">
        <v>1</v>
      </c>
      <c r="AB81" s="206"/>
      <c r="AC81" s="210"/>
      <c r="AD81" s="211"/>
      <c r="AE81" s="216"/>
    </row>
    <row r="82" spans="1:31" ht="12" customHeight="1">
      <c r="A82" s="203"/>
      <c r="B82" s="203"/>
      <c r="C82" s="203">
        <v>0</v>
      </c>
      <c r="D82" s="214"/>
      <c r="E82" s="204"/>
      <c r="F82" s="204"/>
      <c r="G82" s="204"/>
      <c r="H82" s="204"/>
      <c r="I82" s="204"/>
      <c r="J82" s="204"/>
      <c r="K82" s="204"/>
      <c r="L82" s="204"/>
      <c r="M82" s="204"/>
      <c r="N82" s="204"/>
      <c r="O82" s="204"/>
      <c r="P82" s="205"/>
      <c r="Q82" s="205"/>
      <c r="R82" s="206"/>
      <c r="S82" s="207"/>
      <c r="T82" s="207"/>
      <c r="U82" s="207"/>
      <c r="V82" s="207"/>
      <c r="W82" s="205"/>
      <c r="X82" s="205"/>
      <c r="Y82" s="208"/>
      <c r="Z82" s="209">
        <v>0</v>
      </c>
      <c r="AA82" s="207">
        <v>1</v>
      </c>
      <c r="AB82" s="206"/>
      <c r="AC82" s="210"/>
      <c r="AD82" s="211"/>
      <c r="AE82" s="216"/>
    </row>
    <row r="83" spans="1:31" ht="12" customHeight="1">
      <c r="A83" s="203"/>
      <c r="B83" s="203"/>
      <c r="C83" s="203">
        <v>0</v>
      </c>
      <c r="D83" s="214"/>
      <c r="E83" s="204"/>
      <c r="F83" s="204"/>
      <c r="G83" s="204"/>
      <c r="H83" s="204"/>
      <c r="I83" s="204"/>
      <c r="J83" s="204"/>
      <c r="K83" s="204"/>
      <c r="L83" s="204"/>
      <c r="M83" s="204"/>
      <c r="N83" s="204"/>
      <c r="O83" s="204"/>
      <c r="P83" s="205"/>
      <c r="Q83" s="205"/>
      <c r="R83" s="206"/>
      <c r="S83" s="207"/>
      <c r="T83" s="207"/>
      <c r="U83" s="207"/>
      <c r="V83" s="207"/>
      <c r="W83" s="205"/>
      <c r="X83" s="205"/>
      <c r="Y83" s="208"/>
      <c r="Z83" s="209">
        <v>0</v>
      </c>
      <c r="AA83" s="207">
        <v>1</v>
      </c>
      <c r="AB83" s="206"/>
      <c r="AC83" s="210"/>
      <c r="AD83" s="211"/>
      <c r="AE83" s="216"/>
    </row>
    <row r="84" spans="1:31" ht="12" customHeight="1">
      <c r="A84" s="203"/>
      <c r="B84" s="203"/>
      <c r="C84" s="203">
        <v>0</v>
      </c>
      <c r="D84" s="214"/>
      <c r="E84" s="204"/>
      <c r="F84" s="204"/>
      <c r="G84" s="204"/>
      <c r="H84" s="204"/>
      <c r="I84" s="235"/>
      <c r="J84" s="204"/>
      <c r="K84" s="204"/>
      <c r="L84" s="204"/>
      <c r="M84" s="204"/>
      <c r="N84" s="204"/>
      <c r="O84" s="204"/>
      <c r="P84" s="205"/>
      <c r="Q84" s="205"/>
      <c r="R84" s="206"/>
      <c r="S84" s="207"/>
      <c r="T84" s="207"/>
      <c r="U84" s="207"/>
      <c r="V84" s="207"/>
      <c r="W84" s="205"/>
      <c r="X84" s="205"/>
      <c r="Y84" s="208"/>
      <c r="Z84" s="209">
        <v>0</v>
      </c>
      <c r="AA84" s="207">
        <v>1</v>
      </c>
      <c r="AB84" s="206"/>
      <c r="AC84" s="210"/>
      <c r="AD84" s="211"/>
      <c r="AE84" s="216"/>
    </row>
    <row r="85" spans="1:31" ht="12" customHeight="1">
      <c r="A85" s="203"/>
      <c r="B85" s="203"/>
      <c r="C85" s="203">
        <v>0</v>
      </c>
      <c r="D85" s="214"/>
      <c r="E85" s="204"/>
      <c r="F85" s="204"/>
      <c r="G85" s="204"/>
      <c r="H85" s="204"/>
      <c r="I85" s="204"/>
      <c r="J85" s="204"/>
      <c r="K85" s="204"/>
      <c r="L85" s="204"/>
      <c r="M85" s="204"/>
      <c r="N85" s="204"/>
      <c r="O85" s="204"/>
      <c r="P85" s="205"/>
      <c r="Q85" s="205"/>
      <c r="R85" s="206"/>
      <c r="S85" s="207"/>
      <c r="T85" s="207"/>
      <c r="U85" s="207"/>
      <c r="V85" s="207"/>
      <c r="W85" s="205"/>
      <c r="X85" s="205"/>
      <c r="Y85" s="208"/>
      <c r="Z85" s="209">
        <v>0</v>
      </c>
      <c r="AA85" s="207"/>
      <c r="AB85" s="206"/>
      <c r="AC85" s="210"/>
      <c r="AD85" s="211"/>
      <c r="AE85" s="216"/>
    </row>
    <row r="86" spans="1:31" ht="12" customHeight="1">
      <c r="A86" s="203"/>
      <c r="B86" s="203"/>
      <c r="C86" s="203">
        <v>0</v>
      </c>
      <c r="D86" s="214"/>
      <c r="E86" s="204"/>
      <c r="F86" s="204"/>
      <c r="G86" s="204"/>
      <c r="H86" s="204"/>
      <c r="I86" s="204"/>
      <c r="J86" s="204"/>
      <c r="K86" s="204"/>
      <c r="L86" s="204"/>
      <c r="M86" s="204"/>
      <c r="N86" s="204"/>
      <c r="O86" s="204"/>
      <c r="P86" s="205"/>
      <c r="Q86" s="205"/>
      <c r="R86" s="206"/>
      <c r="S86" s="207"/>
      <c r="T86" s="207"/>
      <c r="U86" s="207"/>
      <c r="V86" s="207"/>
      <c r="W86" s="205"/>
      <c r="X86" s="205"/>
      <c r="Y86" s="208"/>
      <c r="Z86" s="209">
        <v>0</v>
      </c>
      <c r="AA86" s="207">
        <v>1</v>
      </c>
      <c r="AB86" s="206"/>
      <c r="AC86" s="210"/>
      <c r="AD86" s="211"/>
      <c r="AE86" s="216"/>
    </row>
    <row r="87" spans="1:31" ht="12" customHeight="1">
      <c r="A87" s="203"/>
      <c r="B87" s="203"/>
      <c r="C87" s="203">
        <v>0</v>
      </c>
      <c r="D87" s="214"/>
      <c r="E87" s="204"/>
      <c r="F87" s="204"/>
      <c r="G87" s="204"/>
      <c r="H87" s="204"/>
      <c r="I87" s="204"/>
      <c r="J87" s="204"/>
      <c r="K87" s="204"/>
      <c r="L87" s="204"/>
      <c r="M87" s="204"/>
      <c r="N87" s="204"/>
      <c r="O87" s="204"/>
      <c r="P87" s="205"/>
      <c r="Q87" s="205"/>
      <c r="R87" s="206"/>
      <c r="S87" s="207"/>
      <c r="T87" s="207"/>
      <c r="U87" s="207"/>
      <c r="V87" s="207"/>
      <c r="W87" s="205"/>
      <c r="X87" s="205"/>
      <c r="Y87" s="208"/>
      <c r="Z87" s="209">
        <v>0</v>
      </c>
      <c r="AA87" s="207">
        <v>1</v>
      </c>
      <c r="AB87" s="206"/>
      <c r="AC87" s="210"/>
      <c r="AD87" s="211"/>
      <c r="AE87" s="216"/>
    </row>
    <row r="88" spans="1:31" ht="12" customHeight="1">
      <c r="A88" s="203"/>
      <c r="B88" s="203"/>
      <c r="C88" s="203">
        <v>0</v>
      </c>
      <c r="D88" s="214"/>
      <c r="E88" s="204"/>
      <c r="F88" s="204"/>
      <c r="G88" s="204"/>
      <c r="H88" s="204"/>
      <c r="I88" s="204"/>
      <c r="J88" s="204"/>
      <c r="K88" s="204"/>
      <c r="L88" s="204"/>
      <c r="M88" s="204"/>
      <c r="N88" s="204"/>
      <c r="O88" s="204"/>
      <c r="P88" s="205"/>
      <c r="Q88" s="205"/>
      <c r="R88" s="206"/>
      <c r="S88" s="207"/>
      <c r="T88" s="207"/>
      <c r="U88" s="207"/>
      <c r="V88" s="207"/>
      <c r="W88" s="205"/>
      <c r="X88" s="205"/>
      <c r="Y88" s="208"/>
      <c r="Z88" s="209">
        <v>0</v>
      </c>
      <c r="AA88" s="207"/>
      <c r="AB88" s="206"/>
      <c r="AC88" s="210"/>
      <c r="AD88" s="211"/>
      <c r="AE88" s="216"/>
    </row>
    <row r="89" spans="1:31" ht="12" customHeight="1">
      <c r="A89" s="203"/>
      <c r="B89" s="203"/>
      <c r="C89" s="203">
        <v>0</v>
      </c>
      <c r="D89" s="214"/>
      <c r="E89" s="204"/>
      <c r="F89" s="204"/>
      <c r="G89" s="204"/>
      <c r="H89" s="204"/>
      <c r="I89" s="204"/>
      <c r="J89" s="204"/>
      <c r="K89" s="204"/>
      <c r="L89" s="204"/>
      <c r="M89" s="204"/>
      <c r="N89" s="204"/>
      <c r="O89" s="204"/>
      <c r="P89" s="205"/>
      <c r="Q89" s="205"/>
      <c r="R89" s="206"/>
      <c r="S89" s="207"/>
      <c r="T89" s="207"/>
      <c r="U89" s="207"/>
      <c r="V89" s="207"/>
      <c r="W89" s="205"/>
      <c r="X89" s="205"/>
      <c r="Y89" s="208"/>
      <c r="Z89" s="209">
        <v>0</v>
      </c>
      <c r="AA89" s="207"/>
      <c r="AB89" s="206"/>
      <c r="AC89" s="210"/>
      <c r="AD89" s="211"/>
      <c r="AE89" s="216"/>
    </row>
    <row r="90" spans="1:31" ht="12" customHeight="1">
      <c r="A90" s="203"/>
      <c r="B90" s="203"/>
      <c r="C90" s="203">
        <v>0</v>
      </c>
      <c r="D90" s="214"/>
      <c r="E90" s="204"/>
      <c r="F90" s="204"/>
      <c r="G90" s="204"/>
      <c r="H90" s="204"/>
      <c r="I90" s="204"/>
      <c r="J90" s="204"/>
      <c r="K90" s="204"/>
      <c r="L90" s="204"/>
      <c r="M90" s="204"/>
      <c r="N90" s="204"/>
      <c r="O90" s="204"/>
      <c r="P90" s="205"/>
      <c r="Q90" s="205"/>
      <c r="R90" s="206"/>
      <c r="S90" s="207"/>
      <c r="T90" s="207"/>
      <c r="U90" s="207"/>
      <c r="V90" s="207"/>
      <c r="W90" s="205"/>
      <c r="X90" s="205"/>
      <c r="Y90" s="208"/>
      <c r="Z90" s="209">
        <v>0</v>
      </c>
      <c r="AA90" s="207">
        <v>1</v>
      </c>
      <c r="AB90" s="206"/>
      <c r="AC90" s="210"/>
      <c r="AD90" s="211"/>
      <c r="AE90" s="216"/>
    </row>
    <row r="91" spans="1:31" ht="12" customHeight="1">
      <c r="A91" s="203"/>
      <c r="B91" s="203"/>
      <c r="C91" s="203">
        <v>0</v>
      </c>
      <c r="D91" s="214"/>
      <c r="E91" s="204"/>
      <c r="F91" s="204"/>
      <c r="G91" s="204"/>
      <c r="H91" s="204"/>
      <c r="I91" s="204"/>
      <c r="J91" s="204"/>
      <c r="K91" s="204"/>
      <c r="L91" s="204"/>
      <c r="M91" s="204"/>
      <c r="N91" s="204"/>
      <c r="O91" s="204"/>
      <c r="P91" s="205"/>
      <c r="Q91" s="205"/>
      <c r="R91" s="206"/>
      <c r="S91" s="207"/>
      <c r="T91" s="207"/>
      <c r="U91" s="207"/>
      <c r="V91" s="207"/>
      <c r="W91" s="205"/>
      <c r="X91" s="205"/>
      <c r="Y91" s="208"/>
      <c r="Z91" s="209">
        <v>0</v>
      </c>
      <c r="AA91" s="207"/>
      <c r="AB91" s="206"/>
      <c r="AC91" s="210"/>
      <c r="AD91" s="211"/>
      <c r="AE91" s="216"/>
    </row>
    <row r="92" spans="1:31" ht="12" customHeight="1">
      <c r="A92" s="203"/>
      <c r="B92" s="203"/>
      <c r="C92" s="203">
        <v>0</v>
      </c>
      <c r="D92" s="214"/>
      <c r="E92" s="204"/>
      <c r="F92" s="204"/>
      <c r="G92" s="204"/>
      <c r="H92" s="204"/>
      <c r="I92" s="204"/>
      <c r="J92" s="204"/>
      <c r="K92" s="204"/>
      <c r="L92" s="204"/>
      <c r="M92" s="204"/>
      <c r="N92" s="204"/>
      <c r="O92" s="204"/>
      <c r="P92" s="205"/>
      <c r="Q92" s="205"/>
      <c r="R92" s="206"/>
      <c r="S92" s="207"/>
      <c r="T92" s="207"/>
      <c r="U92" s="207"/>
      <c r="V92" s="207"/>
      <c r="W92" s="205"/>
      <c r="X92" s="205"/>
      <c r="Y92" s="208"/>
      <c r="Z92" s="209">
        <v>0</v>
      </c>
      <c r="AA92" s="207">
        <v>1</v>
      </c>
      <c r="AB92" s="206"/>
      <c r="AC92" s="210"/>
      <c r="AD92" s="211"/>
      <c r="AE92" s="216"/>
    </row>
    <row r="93" spans="1:31" ht="12" customHeight="1">
      <c r="A93" s="203"/>
      <c r="B93" s="203"/>
      <c r="C93" s="203">
        <v>0</v>
      </c>
      <c r="D93" s="214"/>
      <c r="E93" s="204"/>
      <c r="F93" s="204"/>
      <c r="G93" s="204"/>
      <c r="H93" s="204"/>
      <c r="I93" s="204"/>
      <c r="J93" s="204"/>
      <c r="K93" s="204"/>
      <c r="L93" s="204"/>
      <c r="M93" s="204"/>
      <c r="N93" s="204"/>
      <c r="O93" s="204"/>
      <c r="P93" s="205"/>
      <c r="Q93" s="205"/>
      <c r="R93" s="206"/>
      <c r="S93" s="207"/>
      <c r="T93" s="207"/>
      <c r="U93" s="207"/>
      <c r="V93" s="207"/>
      <c r="W93" s="205"/>
      <c r="X93" s="205"/>
      <c r="Y93" s="208"/>
      <c r="Z93" s="209">
        <v>0</v>
      </c>
      <c r="AA93" s="207">
        <v>1</v>
      </c>
      <c r="AB93" s="206"/>
      <c r="AC93" s="210"/>
      <c r="AD93" s="211"/>
      <c r="AE93" s="216"/>
    </row>
    <row r="94" spans="1:31" ht="12" customHeight="1">
      <c r="A94" s="203"/>
      <c r="B94" s="203"/>
      <c r="C94" s="203">
        <v>0</v>
      </c>
      <c r="D94" s="214"/>
      <c r="E94" s="204"/>
      <c r="F94" s="204"/>
      <c r="G94" s="204"/>
      <c r="H94" s="204"/>
      <c r="I94" s="204"/>
      <c r="J94" s="204"/>
      <c r="K94" s="204"/>
      <c r="L94" s="204"/>
      <c r="M94" s="204"/>
      <c r="N94" s="204"/>
      <c r="O94" s="204"/>
      <c r="P94" s="205"/>
      <c r="Q94" s="205"/>
      <c r="R94" s="206"/>
      <c r="S94" s="207"/>
      <c r="T94" s="207"/>
      <c r="U94" s="207"/>
      <c r="V94" s="207"/>
      <c r="W94" s="205"/>
      <c r="X94" s="205"/>
      <c r="Y94" s="208"/>
      <c r="Z94" s="209">
        <v>0</v>
      </c>
      <c r="AA94" s="207">
        <v>1</v>
      </c>
      <c r="AB94" s="206"/>
      <c r="AC94" s="210"/>
      <c r="AD94" s="211"/>
      <c r="AE94" s="216"/>
    </row>
    <row r="95" spans="1:31" ht="12" customHeight="1">
      <c r="A95" s="203"/>
      <c r="B95" s="203"/>
      <c r="C95" s="203">
        <v>0</v>
      </c>
      <c r="D95" s="214"/>
      <c r="E95" s="204"/>
      <c r="F95" s="204"/>
      <c r="G95" s="204"/>
      <c r="H95" s="204"/>
      <c r="I95" s="204"/>
      <c r="J95" s="204"/>
      <c r="K95" s="204"/>
      <c r="L95" s="204"/>
      <c r="M95" s="204"/>
      <c r="N95" s="204"/>
      <c r="O95" s="204"/>
      <c r="P95" s="205"/>
      <c r="Q95" s="205"/>
      <c r="R95" s="206"/>
      <c r="S95" s="207"/>
      <c r="T95" s="207"/>
      <c r="U95" s="207"/>
      <c r="V95" s="207"/>
      <c r="W95" s="205"/>
      <c r="X95" s="205"/>
      <c r="Y95" s="208"/>
      <c r="Z95" s="209">
        <v>0</v>
      </c>
      <c r="AA95" s="207">
        <v>1</v>
      </c>
      <c r="AB95" s="206"/>
      <c r="AC95" s="210"/>
      <c r="AD95" s="211"/>
      <c r="AE95" s="216"/>
    </row>
    <row r="96" spans="1:31" ht="12" customHeight="1">
      <c r="A96" s="203">
        <v>1</v>
      </c>
      <c r="B96" s="192"/>
      <c r="C96" s="192"/>
      <c r="D96" s="193"/>
      <c r="E96" s="194"/>
      <c r="F96" s="194"/>
      <c r="G96" s="194"/>
      <c r="H96" s="194"/>
      <c r="I96" s="194"/>
      <c r="J96" s="194"/>
      <c r="K96" s="194"/>
      <c r="L96" s="194"/>
      <c r="M96" s="194"/>
      <c r="N96" s="194"/>
      <c r="O96" s="194"/>
      <c r="P96" s="195"/>
      <c r="Q96" s="195"/>
      <c r="R96" s="196"/>
      <c r="S96" s="197"/>
      <c r="T96" s="197"/>
      <c r="U96" s="197"/>
      <c r="V96" s="197"/>
      <c r="W96" s="195"/>
      <c r="X96" s="195"/>
      <c r="Y96" s="198"/>
      <c r="Z96" s="199"/>
      <c r="AA96" s="197"/>
      <c r="AB96" s="196"/>
      <c r="AC96" s="200"/>
      <c r="AD96" s="201"/>
      <c r="AE96" s="202"/>
    </row>
    <row r="97" spans="1:1" ht="12" customHeight="1">
      <c r="A97" s="192"/>
    </row>
  </sheetData>
  <sheetProtection formatCells="0" formatColumns="0" formatRows="0" insertColumns="0" insertRows="0" insertHyperlinks="0" deleteColumns="0" deleteRows="0" sort="0" autoFilter="0" pivotTables="0"/>
  <dataConsolidate/>
  <mergeCells count="29">
    <mergeCell ref="AF3:AI3"/>
    <mergeCell ref="AF2:AI2"/>
    <mergeCell ref="AJ3:AM3"/>
    <mergeCell ref="AJ2:AM2"/>
    <mergeCell ref="AN3:AQ3"/>
    <mergeCell ref="AN2:AQ2"/>
    <mergeCell ref="AE3:AE4"/>
    <mergeCell ref="X3:X4"/>
    <mergeCell ref="Z3:Z4"/>
    <mergeCell ref="A3:A4"/>
    <mergeCell ref="B3:B4"/>
    <mergeCell ref="C3:C4"/>
    <mergeCell ref="D3:D4"/>
    <mergeCell ref="E3:N4"/>
    <mergeCell ref="Y3:Y4"/>
    <mergeCell ref="AD3:AD4"/>
    <mergeCell ref="AB3:AB4"/>
    <mergeCell ref="AA3:AA4"/>
    <mergeCell ref="AC3:AC4"/>
    <mergeCell ref="D2:F2"/>
    <mergeCell ref="O3:O4"/>
    <mergeCell ref="V3:V4"/>
    <mergeCell ref="W3:W4"/>
    <mergeCell ref="U3:U4"/>
    <mergeCell ref="P3:P4"/>
    <mergeCell ref="Q3:Q4"/>
    <mergeCell ref="S3:S4"/>
    <mergeCell ref="R3:R4"/>
    <mergeCell ref="T3:T4"/>
  </mergeCells>
  <phoneticPr fontId="4" type="noConversion"/>
  <conditionalFormatting sqref="D5:AD73">
    <cfRule type="expression" dxfId="1" priority="2">
      <formula>($B5="G")</formula>
    </cfRule>
    <cfRule type="expression" dxfId="0" priority="1">
      <formula>($AE5=1)</formula>
    </cfRule>
  </conditionalFormatting>
  <hyperlinks>
    <hyperlink ref="AF1:BJ1" r:id="rId1" display="https://xlworks.net/xlgantt-project-scheduler/" xr:uid="{2D5B57AD-E371-4830-B664-74C12F211A0B}"/>
  </hyperlinks>
  <pageMargins left="0.19685039370078741" right="0.23622047244094491" top="0.43307086614173229" bottom="0.23622047244094491" header="0.23622047244094491" footer="0.19685039370078741"/>
  <pageSetup paperSize="9" scale="60" orientation="landscape" r:id="rId2"/>
  <headerFooter alignWithMargins="0">
    <oddFooter>&amp;L&amp;"-,보통"&amp;9XLGantt ©http://xlworks.net&amp;C&amp;"-,보통"&amp;9&amp;P/&amp;N</oddFooter>
  </headerFooter>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tabColor rgb="FFFF6600"/>
    <pageSetUpPr fitToPage="1"/>
  </sheetPr>
  <dimension ref="A1:W30"/>
  <sheetViews>
    <sheetView showGridLines="0" zoomScaleNormal="100" workbookViewId="0">
      <pane ySplit="1" topLeftCell="A2" activePane="bottomLeft" state="frozenSplit"/>
      <selection pane="bottomLeft" activeCell="D32" sqref="D32"/>
    </sheetView>
  </sheetViews>
  <sheetFormatPr defaultColWidth="10" defaultRowHeight="15"/>
  <cols>
    <col min="1" max="1" width="35.375" style="57" customWidth="1"/>
    <col min="2" max="2" width="13.25" style="55" customWidth="1"/>
    <col min="3" max="3" width="9.875" style="59" customWidth="1"/>
    <col min="4" max="4" width="31.375" style="59" customWidth="1"/>
    <col min="5" max="6" width="14.125" style="59" customWidth="1"/>
    <col min="7" max="7" width="28.375" style="59" customWidth="1"/>
    <col min="8" max="9" width="10" style="59"/>
    <col min="10" max="10" width="8.875" style="59" bestFit="1" customWidth="1"/>
    <col min="11" max="19" width="10" style="59"/>
    <col min="20" max="22" width="10" style="59" customWidth="1"/>
    <col min="23" max="23" width="10" style="59" hidden="1" customWidth="1"/>
    <col min="24" max="26" width="10" style="59"/>
    <col min="27" max="27" width="0" style="59" hidden="1" customWidth="1"/>
    <col min="28" max="16384" width="10" style="59"/>
  </cols>
  <sheetData>
    <row r="1" spans="1:17" s="4" customFormat="1" ht="36.950000000000003" customHeight="1">
      <c r="A1" s="1" t="s">
        <v>1697</v>
      </c>
      <c r="B1" s="2"/>
      <c r="C1" s="2"/>
      <c r="D1" s="2"/>
      <c r="E1" s="2"/>
      <c r="F1" s="2"/>
      <c r="G1" s="2"/>
      <c r="H1" s="2"/>
      <c r="I1" s="2"/>
      <c r="J1" s="2"/>
      <c r="K1" s="2"/>
      <c r="L1" s="306"/>
      <c r="M1" s="307"/>
      <c r="N1" s="307"/>
      <c r="O1" s="3"/>
      <c r="P1" s="3"/>
      <c r="Q1" s="3"/>
    </row>
    <row r="2" spans="1:17" s="7" customFormat="1" ht="12.75">
      <c r="A2" s="5" t="s">
        <v>1427</v>
      </c>
      <c r="B2" s="6"/>
    </row>
    <row r="3" spans="1:17" s="7" customFormat="1" ht="12.75">
      <c r="A3" s="5" t="s">
        <v>1428</v>
      </c>
      <c r="B3" s="6"/>
    </row>
    <row r="4" spans="1:17" s="7" customFormat="1" ht="12.75">
      <c r="A4" s="308"/>
      <c r="B4" s="308"/>
      <c r="C4" s="8"/>
      <c r="D4" s="9"/>
      <c r="E4" s="9"/>
      <c r="F4" s="9"/>
    </row>
    <row r="5" spans="1:17" s="15" customFormat="1" ht="12.75">
      <c r="A5" s="10"/>
      <c r="B5" s="11"/>
      <c r="C5" s="12"/>
      <c r="D5" s="13"/>
      <c r="E5" s="14"/>
      <c r="F5" s="14"/>
      <c r="G5" s="14"/>
    </row>
    <row r="6" spans="1:17" s="15" customFormat="1" ht="12.75">
      <c r="A6" s="16" t="s">
        <v>1429</v>
      </c>
      <c r="B6" s="17">
        <v>191</v>
      </c>
      <c r="C6" s="15" t="s">
        <v>0</v>
      </c>
      <c r="D6" s="305" t="s">
        <v>1430</v>
      </c>
      <c r="E6" s="305"/>
      <c r="F6" s="305"/>
      <c r="G6" s="305"/>
    </row>
    <row r="7" spans="1:17" s="15" customFormat="1" ht="12.75">
      <c r="A7" s="18"/>
      <c r="B7" s="19"/>
      <c r="C7" s="20"/>
      <c r="D7" s="21"/>
      <c r="E7" s="21"/>
      <c r="F7" s="21"/>
      <c r="G7" s="21"/>
    </row>
    <row r="8" spans="1:17" s="15" customFormat="1" ht="12.75" customHeight="1">
      <c r="A8" s="22"/>
      <c r="B8" s="23"/>
      <c r="D8" s="24"/>
      <c r="E8" s="24"/>
      <c r="F8" s="24"/>
      <c r="G8" s="24"/>
      <c r="J8" s="25"/>
    </row>
    <row r="9" spans="1:17" s="15" customFormat="1" ht="12.75">
      <c r="A9" s="16" t="s">
        <v>1431</v>
      </c>
      <c r="B9" s="17">
        <v>166</v>
      </c>
      <c r="C9" s="15" t="s">
        <v>0</v>
      </c>
      <c r="D9" s="304" t="s">
        <v>1432</v>
      </c>
      <c r="E9" s="304"/>
      <c r="F9" s="304"/>
      <c r="G9" s="304"/>
    </row>
    <row r="10" spans="1:17" s="15" customFormat="1" ht="12.75">
      <c r="A10" s="26"/>
      <c r="B10" s="19"/>
      <c r="C10" s="20"/>
      <c r="D10" s="27"/>
      <c r="E10" s="27"/>
      <c r="F10" s="27"/>
      <c r="G10" s="27"/>
    </row>
    <row r="11" spans="1:17" s="15" customFormat="1" ht="13.5" customHeight="1">
      <c r="A11" s="28"/>
      <c r="B11" s="23"/>
      <c r="D11" s="24"/>
      <c r="E11" s="24"/>
      <c r="F11" s="24"/>
      <c r="G11" s="24"/>
    </row>
    <row r="12" spans="1:17" s="15" customFormat="1" ht="12.75" customHeight="1">
      <c r="A12" s="29" t="s">
        <v>1698</v>
      </c>
      <c r="B12" s="17">
        <v>129.51999999999998</v>
      </c>
      <c r="C12" s="15" t="s">
        <v>0</v>
      </c>
      <c r="D12" s="309" t="s">
        <v>1699</v>
      </c>
      <c r="E12" s="304"/>
      <c r="F12" s="304"/>
      <c r="G12" s="304"/>
    </row>
    <row r="13" spans="1:17" s="32" customFormat="1" ht="12.75">
      <c r="A13" s="30"/>
      <c r="B13" s="19"/>
      <c r="C13" s="31"/>
      <c r="D13" s="27"/>
      <c r="E13" s="27"/>
      <c r="F13" s="27"/>
      <c r="G13" s="27"/>
      <c r="K13" s="33"/>
    </row>
    <row r="14" spans="1:17" s="32" customFormat="1" ht="14.25" customHeight="1">
      <c r="A14" s="28"/>
      <c r="B14" s="34"/>
      <c r="C14" s="35"/>
      <c r="D14" s="24"/>
      <c r="E14" s="24"/>
      <c r="F14" s="24"/>
      <c r="G14" s="24"/>
    </row>
    <row r="15" spans="1:17" s="15" customFormat="1" ht="12.75" customHeight="1">
      <c r="A15" s="29" t="s">
        <v>1433</v>
      </c>
      <c r="B15" s="17"/>
      <c r="C15" s="15" t="s">
        <v>0</v>
      </c>
      <c r="D15" s="304" t="s">
        <v>1434</v>
      </c>
      <c r="E15" s="304"/>
      <c r="F15" s="304"/>
      <c r="G15" s="304"/>
    </row>
    <row r="16" spans="1:17" s="15" customFormat="1" ht="12.75">
      <c r="A16" s="30"/>
      <c r="B16" s="36"/>
      <c r="C16" s="37"/>
      <c r="D16" s="27"/>
      <c r="E16" s="27"/>
      <c r="F16" s="27"/>
      <c r="G16" s="27"/>
    </row>
    <row r="17" spans="1:7" s="32" customFormat="1" ht="12.75" customHeight="1">
      <c r="A17" s="38"/>
      <c r="B17" s="34"/>
      <c r="C17" s="35"/>
      <c r="D17" s="24"/>
      <c r="E17" s="24"/>
      <c r="F17" s="24"/>
      <c r="G17" s="24"/>
    </row>
    <row r="18" spans="1:7" s="15" customFormat="1" ht="12.75">
      <c r="A18" s="16" t="s">
        <v>1435</v>
      </c>
      <c r="B18" s="39">
        <v>0.86910994764397909</v>
      </c>
      <c r="D18" s="304" t="s">
        <v>1436</v>
      </c>
      <c r="E18" s="304"/>
      <c r="F18" s="304"/>
      <c r="G18" s="304"/>
    </row>
    <row r="19" spans="1:7" s="15" customFormat="1" ht="12.75">
      <c r="A19" s="40"/>
      <c r="B19" s="36"/>
      <c r="C19" s="37"/>
      <c r="D19" s="27"/>
      <c r="E19" s="27"/>
      <c r="F19" s="27"/>
      <c r="G19" s="27"/>
    </row>
    <row r="20" spans="1:7" s="15" customFormat="1" ht="12.75" customHeight="1">
      <c r="A20" s="41"/>
      <c r="B20" s="11"/>
      <c r="C20" s="12"/>
      <c r="D20" s="24"/>
      <c r="E20" s="24"/>
      <c r="F20" s="24"/>
      <c r="G20" s="24"/>
    </row>
    <row r="21" spans="1:7" s="15" customFormat="1" ht="12.75">
      <c r="A21" s="16" t="s">
        <v>1437</v>
      </c>
      <c r="B21" s="39">
        <v>0.67811518324607323</v>
      </c>
      <c r="D21" s="304" t="s">
        <v>1438</v>
      </c>
      <c r="E21" s="304"/>
      <c r="F21" s="304"/>
      <c r="G21" s="304"/>
    </row>
    <row r="22" spans="1:7" s="15" customFormat="1" ht="12.75">
      <c r="A22" s="42"/>
      <c r="B22" s="43"/>
      <c r="C22" s="44"/>
      <c r="D22" s="27"/>
      <c r="E22" s="27"/>
      <c r="F22" s="27"/>
      <c r="G22" s="27"/>
    </row>
    <row r="23" spans="1:7" s="15" customFormat="1" ht="13.5" customHeight="1">
      <c r="A23" s="45"/>
      <c r="B23" s="46"/>
      <c r="C23" s="47"/>
      <c r="D23" s="48"/>
      <c r="E23" s="48"/>
      <c r="F23" s="48"/>
      <c r="G23" s="48"/>
    </row>
    <row r="24" spans="1:7" s="15" customFormat="1" ht="12.75">
      <c r="A24" s="16" t="s">
        <v>1439</v>
      </c>
      <c r="B24" s="49">
        <f>ACTUAL_RATE-PLANNED_RATE</f>
        <v>-0.19099476439790586</v>
      </c>
      <c r="D24" s="305" t="s">
        <v>1440</v>
      </c>
      <c r="E24" s="305"/>
      <c r="F24" s="305"/>
      <c r="G24" s="305"/>
    </row>
    <row r="25" spans="1:7" s="15" customFormat="1" ht="12.75">
      <c r="A25" s="50"/>
      <c r="B25" s="51"/>
      <c r="C25" s="52"/>
      <c r="D25" s="53"/>
      <c r="E25" s="53"/>
      <c r="F25" s="53"/>
      <c r="G25" s="53"/>
    </row>
    <row r="26" spans="1:7" s="56" customFormat="1">
      <c r="A26" s="54"/>
      <c r="B26" s="55"/>
    </row>
    <row r="27" spans="1:7">
      <c r="B27" s="58"/>
      <c r="G27" s="57"/>
    </row>
    <row r="28" spans="1:7">
      <c r="B28" s="60"/>
    </row>
    <row r="29" spans="1:7">
      <c r="B29" s="60"/>
    </row>
    <row r="30" spans="1:7">
      <c r="B30" s="61"/>
    </row>
  </sheetData>
  <mergeCells count="9">
    <mergeCell ref="D18:G18"/>
    <mergeCell ref="D21:G21"/>
    <mergeCell ref="D24:G24"/>
    <mergeCell ref="L1:N1"/>
    <mergeCell ref="A4:B4"/>
    <mergeCell ref="D6:G6"/>
    <mergeCell ref="D9:G9"/>
    <mergeCell ref="D12:G12"/>
    <mergeCell ref="D15:G15"/>
  </mergeCells>
  <phoneticPr fontId="2" type="noConversion"/>
  <conditionalFormatting sqref="J1">
    <cfRule type="expression" dxfId="2" priority="1">
      <formula>$J1="Yes"</formula>
    </cfRule>
  </conditionalFormatting>
  <pageMargins left="0.70866141732283472" right="0.70866141732283472" top="0.74803149606299213" bottom="0.74803149606299213" header="0.31496062992125984" footer="0.31496062992125984"/>
  <pageSetup paperSize="9" scale="32"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tabColor rgb="FF198CFF"/>
  </sheetPr>
  <dimension ref="A1:L53"/>
  <sheetViews>
    <sheetView showGridLines="0" zoomScale="80" zoomScaleNormal="80" workbookViewId="0">
      <pane ySplit="6" topLeftCell="A7" activePane="bottomLeft" state="frozen"/>
      <selection pane="bottomLeft"/>
    </sheetView>
  </sheetViews>
  <sheetFormatPr defaultColWidth="9.125" defaultRowHeight="15" outlineLevelRow="2"/>
  <cols>
    <col min="1" max="1" width="20.625" style="136" customWidth="1"/>
    <col min="2" max="2" width="11.75" style="136" bestFit="1" customWidth="1"/>
    <col min="3" max="3" width="32.375" style="136" bestFit="1" customWidth="1"/>
    <col min="4" max="5" width="10.625" style="136" bestFit="1" customWidth="1"/>
    <col min="6" max="6" width="9" style="218" bestFit="1" customWidth="1"/>
    <col min="7" max="9" width="9.25" style="92" bestFit="1" customWidth="1"/>
    <col min="10" max="11" width="8.375" style="92" bestFit="1" customWidth="1"/>
    <col min="12" max="12" width="8.75" style="92" bestFit="1" customWidth="1"/>
    <col min="13" max="16384" width="9.125" style="136"/>
  </cols>
  <sheetData>
    <row r="1" spans="1:12" ht="36.950000000000003" customHeight="1">
      <c r="A1" s="62" t="s">
        <v>1529</v>
      </c>
    </row>
    <row r="2" spans="1:12">
      <c r="A2" s="136" t="s">
        <v>595</v>
      </c>
    </row>
    <row r="3" spans="1:12">
      <c r="A3" s="136" t="s">
        <v>598</v>
      </c>
    </row>
    <row r="6" spans="1:12" ht="45">
      <c r="A6" s="63" t="s">
        <v>1267</v>
      </c>
      <c r="B6" s="91" t="s">
        <v>341</v>
      </c>
      <c r="C6" s="91" t="s">
        <v>1268</v>
      </c>
      <c r="D6" s="91" t="s">
        <v>547</v>
      </c>
      <c r="E6" s="91" t="s">
        <v>548</v>
      </c>
      <c r="F6" s="219" t="s">
        <v>1530</v>
      </c>
      <c r="G6" s="220" t="s">
        <v>1531</v>
      </c>
      <c r="H6" s="220" t="s">
        <v>1532</v>
      </c>
      <c r="I6" s="220" t="s">
        <v>1533</v>
      </c>
      <c r="J6" s="220" t="s">
        <v>761</v>
      </c>
      <c r="K6" s="220" t="s">
        <v>591</v>
      </c>
      <c r="L6" s="221" t="s">
        <v>905</v>
      </c>
    </row>
    <row r="7" spans="1:12" outlineLevel="2">
      <c r="A7" s="222" t="s">
        <v>1441</v>
      </c>
      <c r="B7" s="223" t="s">
        <v>1459</v>
      </c>
      <c r="C7" s="222" t="s">
        <v>1460</v>
      </c>
      <c r="D7" s="224">
        <v>44358</v>
      </c>
      <c r="E7" s="224">
        <v>44358</v>
      </c>
      <c r="F7" s="218">
        <v>1</v>
      </c>
      <c r="G7" s="92">
        <v>1</v>
      </c>
      <c r="H7" s="92">
        <v>0</v>
      </c>
      <c r="I7" s="92">
        <v>0</v>
      </c>
      <c r="J7" s="218">
        <v>0</v>
      </c>
      <c r="K7" s="218">
        <v>0</v>
      </c>
      <c r="L7" s="218">
        <f t="shared" ref="L7:L51" si="0">K7-J7</f>
        <v>0</v>
      </c>
    </row>
    <row r="8" spans="1:12" outlineLevel="2">
      <c r="A8" s="222" t="s">
        <v>1441</v>
      </c>
      <c r="B8" s="223" t="s">
        <v>1465</v>
      </c>
      <c r="C8" s="222" t="s">
        <v>1466</v>
      </c>
      <c r="D8" s="224">
        <v>44487</v>
      </c>
      <c r="E8" s="224">
        <v>44487</v>
      </c>
      <c r="F8" s="218">
        <v>0</v>
      </c>
      <c r="G8" s="92">
        <v>0</v>
      </c>
      <c r="H8" s="92">
        <v>0</v>
      </c>
      <c r="I8" s="92">
        <v>0</v>
      </c>
      <c r="J8" s="218">
        <v>0</v>
      </c>
      <c r="K8" s="218">
        <v>0</v>
      </c>
      <c r="L8" s="218">
        <f t="shared" si="0"/>
        <v>0</v>
      </c>
    </row>
    <row r="9" spans="1:12" outlineLevel="2">
      <c r="A9" s="222" t="s">
        <v>1441</v>
      </c>
      <c r="B9" s="223" t="s">
        <v>1467</v>
      </c>
      <c r="C9" s="222" t="s">
        <v>1468</v>
      </c>
      <c r="D9" s="224">
        <v>44340</v>
      </c>
      <c r="E9" s="224">
        <v>44358</v>
      </c>
      <c r="F9" s="218">
        <v>1</v>
      </c>
      <c r="G9" s="92">
        <v>15</v>
      </c>
      <c r="H9" s="92">
        <v>7</v>
      </c>
      <c r="I9" s="92">
        <v>15</v>
      </c>
      <c r="J9" s="218">
        <v>0.46666666666666667</v>
      </c>
      <c r="K9" s="218">
        <v>1</v>
      </c>
      <c r="L9" s="218">
        <f t="shared" si="0"/>
        <v>0.53333333333333333</v>
      </c>
    </row>
    <row r="10" spans="1:12" outlineLevel="2">
      <c r="A10" s="222" t="s">
        <v>1441</v>
      </c>
      <c r="B10" s="223" t="s">
        <v>1470</v>
      </c>
      <c r="C10" s="222" t="s">
        <v>1471</v>
      </c>
      <c r="D10" s="224">
        <v>44346</v>
      </c>
      <c r="E10" s="224">
        <v>44357</v>
      </c>
      <c r="F10" s="218">
        <v>1</v>
      </c>
      <c r="G10" s="92">
        <v>9</v>
      </c>
      <c r="H10" s="92">
        <v>2</v>
      </c>
      <c r="I10" s="92">
        <v>1.8</v>
      </c>
      <c r="J10" s="218">
        <v>0.22222222222222221</v>
      </c>
      <c r="K10" s="218">
        <v>0.2</v>
      </c>
      <c r="L10" s="233">
        <f t="shared" si="0"/>
        <v>-2.2222222222222199E-2</v>
      </c>
    </row>
    <row r="11" spans="1:12" outlineLevel="2">
      <c r="A11" s="222" t="s">
        <v>1441</v>
      </c>
      <c r="B11" s="223" t="s">
        <v>1474</v>
      </c>
      <c r="C11" s="222" t="s">
        <v>1475</v>
      </c>
      <c r="D11" s="224">
        <v>44360</v>
      </c>
      <c r="E11" s="224">
        <v>44378</v>
      </c>
      <c r="F11" s="218">
        <v>1</v>
      </c>
      <c r="G11" s="92">
        <v>14</v>
      </c>
      <c r="H11" s="92">
        <v>0</v>
      </c>
      <c r="I11" s="92">
        <v>0</v>
      </c>
      <c r="J11" s="218">
        <v>0</v>
      </c>
      <c r="K11" s="218">
        <v>0</v>
      </c>
      <c r="L11" s="218">
        <f t="shared" si="0"/>
        <v>0</v>
      </c>
    </row>
    <row r="12" spans="1:12" outlineLevel="2">
      <c r="A12" s="222" t="s">
        <v>1441</v>
      </c>
      <c r="B12" s="223" t="s">
        <v>1477</v>
      </c>
      <c r="C12" s="222" t="s">
        <v>1478</v>
      </c>
      <c r="D12" s="224">
        <v>44367</v>
      </c>
      <c r="E12" s="224">
        <v>44378</v>
      </c>
      <c r="F12" s="218">
        <v>1</v>
      </c>
      <c r="G12" s="92">
        <v>9</v>
      </c>
      <c r="H12" s="92">
        <v>0</v>
      </c>
      <c r="I12" s="92">
        <v>0</v>
      </c>
      <c r="J12" s="218">
        <v>0</v>
      </c>
      <c r="K12" s="218">
        <v>0</v>
      </c>
      <c r="L12" s="218">
        <f t="shared" si="0"/>
        <v>0</v>
      </c>
    </row>
    <row r="13" spans="1:12" outlineLevel="2">
      <c r="A13" s="222" t="s">
        <v>1441</v>
      </c>
      <c r="B13" s="223" t="s">
        <v>1479</v>
      </c>
      <c r="C13" s="222" t="s">
        <v>1480</v>
      </c>
      <c r="D13" s="224">
        <v>44374</v>
      </c>
      <c r="E13" s="224">
        <v>44385</v>
      </c>
      <c r="F13" s="218">
        <v>1</v>
      </c>
      <c r="G13" s="92">
        <v>9</v>
      </c>
      <c r="H13" s="92">
        <v>0</v>
      </c>
      <c r="I13" s="92">
        <v>0</v>
      </c>
      <c r="J13" s="218">
        <v>0</v>
      </c>
      <c r="K13" s="218">
        <v>0</v>
      </c>
      <c r="L13" s="218">
        <f t="shared" si="0"/>
        <v>0</v>
      </c>
    </row>
    <row r="14" spans="1:12" outlineLevel="2">
      <c r="A14" s="222" t="s">
        <v>1441</v>
      </c>
      <c r="B14" s="223" t="s">
        <v>1481</v>
      </c>
      <c r="C14" s="222" t="s">
        <v>1482</v>
      </c>
      <c r="D14" s="224">
        <v>44374</v>
      </c>
      <c r="E14" s="224">
        <v>44392</v>
      </c>
      <c r="F14" s="218">
        <v>1</v>
      </c>
      <c r="G14" s="92">
        <v>14</v>
      </c>
      <c r="H14" s="92">
        <v>0</v>
      </c>
      <c r="I14" s="92">
        <v>0</v>
      </c>
      <c r="J14" s="218">
        <v>0</v>
      </c>
      <c r="K14" s="218">
        <v>0</v>
      </c>
      <c r="L14" s="218">
        <f t="shared" si="0"/>
        <v>0</v>
      </c>
    </row>
    <row r="15" spans="1:12" outlineLevel="2">
      <c r="A15" s="222" t="s">
        <v>1441</v>
      </c>
      <c r="B15" s="223" t="s">
        <v>1483</v>
      </c>
      <c r="C15" s="222" t="s">
        <v>1484</v>
      </c>
      <c r="D15" s="224">
        <v>44395</v>
      </c>
      <c r="E15" s="224">
        <v>44399</v>
      </c>
      <c r="F15" s="218">
        <v>1</v>
      </c>
      <c r="G15" s="92">
        <v>4</v>
      </c>
      <c r="H15" s="92">
        <v>0</v>
      </c>
      <c r="I15" s="92">
        <v>0</v>
      </c>
      <c r="J15" s="218">
        <v>0</v>
      </c>
      <c r="K15" s="218">
        <v>0</v>
      </c>
      <c r="L15" s="218">
        <f t="shared" si="0"/>
        <v>0</v>
      </c>
    </row>
    <row r="16" spans="1:12" outlineLevel="2">
      <c r="A16" s="222" t="s">
        <v>1441</v>
      </c>
      <c r="B16" s="223" t="s">
        <v>1486</v>
      </c>
      <c r="C16" s="222" t="s">
        <v>1487</v>
      </c>
      <c r="D16" s="224">
        <v>44395</v>
      </c>
      <c r="E16" s="224">
        <v>44399</v>
      </c>
      <c r="F16" s="218">
        <v>1</v>
      </c>
      <c r="G16" s="92">
        <v>4</v>
      </c>
      <c r="H16" s="92">
        <v>0</v>
      </c>
      <c r="I16" s="92">
        <v>0</v>
      </c>
      <c r="J16" s="218">
        <v>0</v>
      </c>
      <c r="K16" s="218">
        <v>0</v>
      </c>
      <c r="L16" s="218">
        <f t="shared" si="0"/>
        <v>0</v>
      </c>
    </row>
    <row r="17" spans="1:12" outlineLevel="2">
      <c r="A17" s="222" t="s">
        <v>1441</v>
      </c>
      <c r="B17" s="223" t="s">
        <v>1490</v>
      </c>
      <c r="C17" s="222" t="s">
        <v>1491</v>
      </c>
      <c r="D17" s="224">
        <v>44395</v>
      </c>
      <c r="E17" s="224">
        <v>44399</v>
      </c>
      <c r="F17" s="218">
        <v>1</v>
      </c>
      <c r="G17" s="92">
        <v>4</v>
      </c>
      <c r="H17" s="92">
        <v>0</v>
      </c>
      <c r="I17" s="92">
        <v>0</v>
      </c>
      <c r="J17" s="218">
        <v>0</v>
      </c>
      <c r="K17" s="218">
        <v>0</v>
      </c>
      <c r="L17" s="218">
        <f t="shared" si="0"/>
        <v>0</v>
      </c>
    </row>
    <row r="18" spans="1:12" outlineLevel="2">
      <c r="A18" s="222" t="s">
        <v>1441</v>
      </c>
      <c r="B18" s="223" t="s">
        <v>1492</v>
      </c>
      <c r="C18" s="222" t="s">
        <v>1493</v>
      </c>
      <c r="D18" s="224">
        <v>44402</v>
      </c>
      <c r="E18" s="224">
        <v>44406</v>
      </c>
      <c r="F18" s="218">
        <v>1</v>
      </c>
      <c r="G18" s="92">
        <v>4</v>
      </c>
      <c r="H18" s="92">
        <v>0</v>
      </c>
      <c r="I18" s="92">
        <v>0</v>
      </c>
      <c r="J18" s="218">
        <v>0</v>
      </c>
      <c r="K18" s="218">
        <v>0</v>
      </c>
      <c r="L18" s="218">
        <f t="shared" si="0"/>
        <v>0</v>
      </c>
    </row>
    <row r="19" spans="1:12" outlineLevel="2">
      <c r="A19" s="222" t="s">
        <v>1441</v>
      </c>
      <c r="B19" s="223" t="s">
        <v>1494</v>
      </c>
      <c r="C19" s="222" t="s">
        <v>1495</v>
      </c>
      <c r="D19" s="224">
        <v>44402</v>
      </c>
      <c r="E19" s="224">
        <v>44413</v>
      </c>
      <c r="F19" s="218">
        <v>1</v>
      </c>
      <c r="G19" s="92">
        <v>9</v>
      </c>
      <c r="H19" s="92">
        <v>0</v>
      </c>
      <c r="I19" s="92">
        <v>0</v>
      </c>
      <c r="J19" s="218">
        <v>0</v>
      </c>
      <c r="K19" s="218">
        <v>0</v>
      </c>
      <c r="L19" s="218">
        <f t="shared" si="0"/>
        <v>0</v>
      </c>
    </row>
    <row r="20" spans="1:12" outlineLevel="2">
      <c r="A20" s="222" t="s">
        <v>1441</v>
      </c>
      <c r="B20" s="223" t="s">
        <v>1496</v>
      </c>
      <c r="C20" s="222" t="s">
        <v>1497</v>
      </c>
      <c r="D20" s="224">
        <v>44395</v>
      </c>
      <c r="E20" s="224">
        <v>44454</v>
      </c>
      <c r="F20" s="218">
        <v>1</v>
      </c>
      <c r="G20" s="92">
        <v>43</v>
      </c>
      <c r="H20" s="92">
        <v>0</v>
      </c>
      <c r="I20" s="92">
        <v>0</v>
      </c>
      <c r="J20" s="218">
        <v>0</v>
      </c>
      <c r="K20" s="218">
        <v>0</v>
      </c>
      <c r="L20" s="218">
        <f t="shared" si="0"/>
        <v>0</v>
      </c>
    </row>
    <row r="21" spans="1:12" outlineLevel="2">
      <c r="A21" s="222" t="s">
        <v>1441</v>
      </c>
      <c r="B21" s="223" t="s">
        <v>1498</v>
      </c>
      <c r="C21" s="222" t="s">
        <v>1499</v>
      </c>
      <c r="D21" s="224">
        <v>44395</v>
      </c>
      <c r="E21" s="224">
        <v>44454</v>
      </c>
      <c r="F21" s="218">
        <v>1</v>
      </c>
      <c r="G21" s="92">
        <v>43</v>
      </c>
      <c r="H21" s="92">
        <v>0</v>
      </c>
      <c r="I21" s="92">
        <v>0</v>
      </c>
      <c r="J21" s="218">
        <v>0</v>
      </c>
      <c r="K21" s="218">
        <v>0</v>
      </c>
      <c r="L21" s="218">
        <f t="shared" si="0"/>
        <v>0</v>
      </c>
    </row>
    <row r="22" spans="1:12" outlineLevel="2">
      <c r="A22" s="222" t="s">
        <v>1441</v>
      </c>
      <c r="B22" s="223" t="s">
        <v>1500</v>
      </c>
      <c r="C22" s="222" t="s">
        <v>1501</v>
      </c>
      <c r="D22" s="224">
        <v>44409</v>
      </c>
      <c r="E22" s="224">
        <v>44454</v>
      </c>
      <c r="F22" s="218">
        <v>1</v>
      </c>
      <c r="G22" s="92">
        <v>33</v>
      </c>
      <c r="H22" s="92">
        <v>0</v>
      </c>
      <c r="I22" s="92">
        <v>0</v>
      </c>
      <c r="J22" s="218">
        <v>0</v>
      </c>
      <c r="K22" s="218">
        <v>0</v>
      </c>
      <c r="L22" s="218">
        <f t="shared" si="0"/>
        <v>0</v>
      </c>
    </row>
    <row r="23" spans="1:12" outlineLevel="2">
      <c r="A23" s="222" t="s">
        <v>1441</v>
      </c>
      <c r="B23" s="223" t="s">
        <v>1503</v>
      </c>
      <c r="C23" s="222" t="s">
        <v>1504</v>
      </c>
      <c r="D23" s="224">
        <v>44437</v>
      </c>
      <c r="E23" s="224">
        <v>44455</v>
      </c>
      <c r="F23" s="218">
        <v>1</v>
      </c>
      <c r="G23" s="92">
        <v>14</v>
      </c>
      <c r="H23" s="92">
        <v>0</v>
      </c>
      <c r="I23" s="92">
        <v>0</v>
      </c>
      <c r="J23" s="218">
        <v>0</v>
      </c>
      <c r="K23" s="218">
        <v>0</v>
      </c>
      <c r="L23" s="218">
        <f t="shared" si="0"/>
        <v>0</v>
      </c>
    </row>
    <row r="24" spans="1:12" outlineLevel="2">
      <c r="A24" s="222" t="s">
        <v>1441</v>
      </c>
      <c r="B24" s="223" t="s">
        <v>1505</v>
      </c>
      <c r="C24" s="222" t="s">
        <v>1506</v>
      </c>
      <c r="D24" s="224">
        <v>44458</v>
      </c>
      <c r="E24" s="224">
        <v>44462</v>
      </c>
      <c r="F24" s="218">
        <v>1</v>
      </c>
      <c r="G24" s="92">
        <v>1</v>
      </c>
      <c r="H24" s="92">
        <v>0</v>
      </c>
      <c r="I24" s="92">
        <v>0</v>
      </c>
      <c r="J24" s="218">
        <v>0</v>
      </c>
      <c r="K24" s="218">
        <v>0</v>
      </c>
      <c r="L24" s="218">
        <f t="shared" si="0"/>
        <v>0</v>
      </c>
    </row>
    <row r="25" spans="1:12" outlineLevel="2">
      <c r="A25" s="222" t="s">
        <v>1441</v>
      </c>
      <c r="B25" s="223" t="s">
        <v>1508</v>
      </c>
      <c r="C25" s="222" t="s">
        <v>1509</v>
      </c>
      <c r="D25" s="224">
        <v>44458</v>
      </c>
      <c r="E25" s="224">
        <v>44460</v>
      </c>
      <c r="F25" s="218">
        <v>1</v>
      </c>
      <c r="G25" s="92">
        <v>0</v>
      </c>
      <c r="H25" s="92">
        <v>0</v>
      </c>
      <c r="I25" s="92">
        <v>0</v>
      </c>
      <c r="J25" s="218">
        <v>0</v>
      </c>
      <c r="K25" s="218">
        <v>0</v>
      </c>
      <c r="L25" s="218">
        <f t="shared" si="0"/>
        <v>0</v>
      </c>
    </row>
    <row r="26" spans="1:12" outlineLevel="2">
      <c r="A26" s="222" t="s">
        <v>1441</v>
      </c>
      <c r="B26" s="223" t="s">
        <v>1511</v>
      </c>
      <c r="C26" s="222" t="s">
        <v>1512</v>
      </c>
      <c r="D26" s="224">
        <v>44462</v>
      </c>
      <c r="E26" s="224">
        <v>44464</v>
      </c>
      <c r="F26" s="218">
        <v>1</v>
      </c>
      <c r="G26" s="92">
        <v>2</v>
      </c>
      <c r="H26" s="92">
        <v>0</v>
      </c>
      <c r="I26" s="92">
        <v>0</v>
      </c>
      <c r="J26" s="218">
        <v>0</v>
      </c>
      <c r="K26" s="218">
        <v>0</v>
      </c>
      <c r="L26" s="218">
        <f t="shared" si="0"/>
        <v>0</v>
      </c>
    </row>
    <row r="27" spans="1:12" outlineLevel="2">
      <c r="A27" s="222" t="s">
        <v>1441</v>
      </c>
      <c r="B27" s="223" t="s">
        <v>1513</v>
      </c>
      <c r="C27" s="222" t="s">
        <v>1514</v>
      </c>
      <c r="D27" s="224">
        <v>44462</v>
      </c>
      <c r="E27" s="224">
        <v>44464</v>
      </c>
      <c r="F27" s="218">
        <v>1</v>
      </c>
      <c r="G27" s="92">
        <v>2</v>
      </c>
      <c r="H27" s="92">
        <v>0</v>
      </c>
      <c r="I27" s="92">
        <v>0</v>
      </c>
      <c r="J27" s="218">
        <v>0</v>
      </c>
      <c r="K27" s="218">
        <v>0</v>
      </c>
      <c r="L27" s="218">
        <f t="shared" si="0"/>
        <v>0</v>
      </c>
    </row>
    <row r="28" spans="1:12" outlineLevel="2">
      <c r="A28" s="222" t="s">
        <v>1441</v>
      </c>
      <c r="B28" s="223" t="s">
        <v>1515</v>
      </c>
      <c r="C28" s="222" t="s">
        <v>1516</v>
      </c>
      <c r="D28" s="224">
        <v>44462</v>
      </c>
      <c r="E28" s="224">
        <v>44464</v>
      </c>
      <c r="F28" s="218">
        <v>1</v>
      </c>
      <c r="G28" s="92">
        <v>2</v>
      </c>
      <c r="H28" s="92">
        <v>0</v>
      </c>
      <c r="I28" s="92">
        <v>0</v>
      </c>
      <c r="J28" s="218">
        <v>0</v>
      </c>
      <c r="K28" s="218">
        <v>0</v>
      </c>
      <c r="L28" s="218">
        <f t="shared" si="0"/>
        <v>0</v>
      </c>
    </row>
    <row r="29" spans="1:12" outlineLevel="2">
      <c r="A29" s="222" t="s">
        <v>1441</v>
      </c>
      <c r="B29" s="223" t="s">
        <v>1517</v>
      </c>
      <c r="C29" s="222" t="s">
        <v>1518</v>
      </c>
      <c r="D29" s="224">
        <v>44465</v>
      </c>
      <c r="E29" s="224">
        <v>44465</v>
      </c>
      <c r="F29" s="218">
        <v>0</v>
      </c>
      <c r="G29" s="92">
        <v>0</v>
      </c>
      <c r="H29" s="92">
        <v>0</v>
      </c>
      <c r="I29" s="92">
        <v>0</v>
      </c>
      <c r="J29" s="218">
        <v>0</v>
      </c>
      <c r="K29" s="218">
        <v>0</v>
      </c>
      <c r="L29" s="218">
        <f t="shared" si="0"/>
        <v>0</v>
      </c>
    </row>
    <row r="30" spans="1:12" outlineLevel="1">
      <c r="A30" s="225" t="s">
        <v>1534</v>
      </c>
      <c r="B30" s="226"/>
      <c r="C30" s="227"/>
      <c r="D30" s="228"/>
      <c r="E30" s="228"/>
      <c r="F30" s="229"/>
      <c r="G30" s="230">
        <f>SUBTOTAL(9,G7:G29)</f>
        <v>236</v>
      </c>
      <c r="H30" s="230">
        <f>SUBTOTAL(9,H7:H29)</f>
        <v>9</v>
      </c>
      <c r="I30" s="230">
        <f>SUBTOTAL(9,I7:I29)</f>
        <v>16.8</v>
      </c>
      <c r="J30" s="229">
        <f>H30/G30</f>
        <v>3.8135593220338986E-2</v>
      </c>
      <c r="K30" s="229">
        <f>I30/G30</f>
        <v>7.1186440677966104E-2</v>
      </c>
      <c r="L30" s="229">
        <f t="shared" si="0"/>
        <v>3.3050847457627118E-2</v>
      </c>
    </row>
    <row r="31" spans="1:12" outlineLevel="2">
      <c r="A31" s="222" t="s">
        <v>1318</v>
      </c>
      <c r="B31" s="223" t="s">
        <v>1082</v>
      </c>
      <c r="C31" s="222" t="s">
        <v>1450</v>
      </c>
      <c r="D31" s="224">
        <v>44336</v>
      </c>
      <c r="E31" s="224">
        <v>44337</v>
      </c>
      <c r="F31" s="218">
        <v>1</v>
      </c>
      <c r="G31" s="92">
        <v>2</v>
      </c>
      <c r="H31" s="92">
        <v>2</v>
      </c>
      <c r="I31" s="92">
        <v>2</v>
      </c>
      <c r="J31" s="218">
        <v>1</v>
      </c>
      <c r="K31" s="218">
        <v>1</v>
      </c>
      <c r="L31" s="218">
        <f t="shared" si="0"/>
        <v>0</v>
      </c>
    </row>
    <row r="32" spans="1:12" outlineLevel="2">
      <c r="A32" s="222" t="s">
        <v>1318</v>
      </c>
      <c r="B32" s="223" t="s">
        <v>1087</v>
      </c>
      <c r="C32" s="222" t="s">
        <v>1461</v>
      </c>
      <c r="D32" s="224">
        <v>44462</v>
      </c>
      <c r="E32" s="224">
        <v>44466</v>
      </c>
      <c r="F32" s="218">
        <v>1</v>
      </c>
      <c r="G32" s="92">
        <v>3</v>
      </c>
      <c r="H32" s="92">
        <v>0</v>
      </c>
      <c r="I32" s="92">
        <v>0</v>
      </c>
      <c r="J32" s="218">
        <v>0</v>
      </c>
      <c r="K32" s="218">
        <v>0</v>
      </c>
      <c r="L32" s="218">
        <f t="shared" si="0"/>
        <v>0</v>
      </c>
    </row>
    <row r="33" spans="1:12" outlineLevel="1">
      <c r="A33" s="225" t="s">
        <v>1535</v>
      </c>
      <c r="B33" s="226"/>
      <c r="C33" s="227"/>
      <c r="D33" s="228"/>
      <c r="E33" s="228"/>
      <c r="F33" s="229"/>
      <c r="G33" s="230">
        <f>SUBTOTAL(9,G31:G32)</f>
        <v>5</v>
      </c>
      <c r="H33" s="230">
        <f>SUBTOTAL(9,H31:H32)</f>
        <v>2</v>
      </c>
      <c r="I33" s="230">
        <f>SUBTOTAL(9,I31:I32)</f>
        <v>2</v>
      </c>
      <c r="J33" s="229">
        <f>H33/G33</f>
        <v>0.4</v>
      </c>
      <c r="K33" s="229">
        <f>I33/G33</f>
        <v>0.4</v>
      </c>
      <c r="L33" s="229">
        <f t="shared" si="0"/>
        <v>0</v>
      </c>
    </row>
    <row r="34" spans="1:12" outlineLevel="2">
      <c r="A34" s="222" t="s">
        <v>1349</v>
      </c>
      <c r="B34" s="223" t="s">
        <v>1463</v>
      </c>
      <c r="C34" s="222" t="s">
        <v>1464</v>
      </c>
      <c r="D34" s="224">
        <v>44487</v>
      </c>
      <c r="E34" s="224">
        <v>44487</v>
      </c>
      <c r="F34" s="218">
        <v>1</v>
      </c>
      <c r="G34" s="92">
        <v>1</v>
      </c>
      <c r="H34" s="92">
        <v>0</v>
      </c>
      <c r="I34" s="92">
        <v>0</v>
      </c>
      <c r="J34" s="218">
        <v>0</v>
      </c>
      <c r="K34" s="218">
        <v>0</v>
      </c>
      <c r="L34" s="218">
        <f t="shared" si="0"/>
        <v>0</v>
      </c>
    </row>
    <row r="35" spans="1:12" outlineLevel="1">
      <c r="A35" s="225" t="s">
        <v>1536</v>
      </c>
      <c r="B35" s="226"/>
      <c r="C35" s="227"/>
      <c r="D35" s="228"/>
      <c r="E35" s="228"/>
      <c r="F35" s="229"/>
      <c r="G35" s="230">
        <f>SUBTOTAL(9,G34:G34)</f>
        <v>1</v>
      </c>
      <c r="H35" s="230">
        <f>SUBTOTAL(9,H34:H34)</f>
        <v>0</v>
      </c>
      <c r="I35" s="230">
        <f>SUBTOTAL(9,I34:I34)</f>
        <v>0</v>
      </c>
      <c r="J35" s="229">
        <f>H35/G35</f>
        <v>0</v>
      </c>
      <c r="K35" s="229">
        <f>I35/G35</f>
        <v>0</v>
      </c>
      <c r="L35" s="229">
        <f t="shared" si="0"/>
        <v>0</v>
      </c>
    </row>
    <row r="36" spans="1:12" outlineLevel="2">
      <c r="A36" s="222" t="s">
        <v>1319</v>
      </c>
      <c r="B36" s="223" t="s">
        <v>1472</v>
      </c>
      <c r="C36" s="222" t="s">
        <v>1473</v>
      </c>
      <c r="D36" s="224">
        <v>44346</v>
      </c>
      <c r="E36" s="224">
        <v>44357</v>
      </c>
      <c r="F36" s="218">
        <v>1.2</v>
      </c>
      <c r="G36" s="92">
        <v>10.8</v>
      </c>
      <c r="H36" s="92">
        <v>2.4</v>
      </c>
      <c r="I36" s="92">
        <v>1.62</v>
      </c>
      <c r="J36" s="218">
        <v>0.22222222222222221</v>
      </c>
      <c r="K36" s="218">
        <v>0.15</v>
      </c>
      <c r="L36" s="233">
        <f t="shared" si="0"/>
        <v>-7.2222222222222215E-2</v>
      </c>
    </row>
    <row r="37" spans="1:12" outlineLevel="1">
      <c r="A37" s="225" t="s">
        <v>1537</v>
      </c>
      <c r="B37" s="226"/>
      <c r="C37" s="227"/>
      <c r="D37" s="228"/>
      <c r="E37" s="228"/>
      <c r="F37" s="229"/>
      <c r="G37" s="230">
        <f>SUBTOTAL(9,G36:G36)</f>
        <v>10.8</v>
      </c>
      <c r="H37" s="230">
        <f>SUBTOTAL(9,H36:H36)</f>
        <v>2.4</v>
      </c>
      <c r="I37" s="230">
        <f>SUBTOTAL(9,I36:I36)</f>
        <v>1.62</v>
      </c>
      <c r="J37" s="229">
        <f>H37/G37</f>
        <v>0.22222222222222221</v>
      </c>
      <c r="K37" s="229">
        <f>I37/G37</f>
        <v>0.15</v>
      </c>
      <c r="L37" s="234">
        <f t="shared" si="0"/>
        <v>-7.2222222222222215E-2</v>
      </c>
    </row>
    <row r="38" spans="1:12" outlineLevel="2">
      <c r="A38" s="222" t="s">
        <v>1526</v>
      </c>
      <c r="B38" s="223" t="s">
        <v>1085</v>
      </c>
      <c r="C38" s="222" t="s">
        <v>1455</v>
      </c>
      <c r="D38" s="224">
        <v>44361</v>
      </c>
      <c r="E38" s="224">
        <v>44365</v>
      </c>
      <c r="F38" s="218">
        <v>0.2</v>
      </c>
      <c r="G38" s="92">
        <v>1</v>
      </c>
      <c r="H38" s="92">
        <v>0</v>
      </c>
      <c r="I38" s="92">
        <v>0.5</v>
      </c>
      <c r="J38" s="218">
        <v>0</v>
      </c>
      <c r="K38" s="218">
        <v>0.5</v>
      </c>
      <c r="L38" s="218">
        <f t="shared" si="0"/>
        <v>0.5</v>
      </c>
    </row>
    <row r="39" spans="1:12" outlineLevel="2">
      <c r="A39" s="222" t="s">
        <v>1526</v>
      </c>
      <c r="B39" s="223" t="s">
        <v>1106</v>
      </c>
      <c r="C39" s="222" t="s">
        <v>1456</v>
      </c>
      <c r="D39" s="224">
        <v>44393</v>
      </c>
      <c r="E39" s="224">
        <v>44393</v>
      </c>
      <c r="F39" s="218">
        <v>0.2</v>
      </c>
      <c r="G39" s="92">
        <v>0.2</v>
      </c>
      <c r="H39" s="92">
        <v>0</v>
      </c>
      <c r="I39" s="92">
        <v>0</v>
      </c>
      <c r="J39" s="218">
        <v>0</v>
      </c>
      <c r="K39" s="218">
        <v>0</v>
      </c>
      <c r="L39" s="218">
        <f t="shared" si="0"/>
        <v>0</v>
      </c>
    </row>
    <row r="40" spans="1:12" outlineLevel="2">
      <c r="A40" s="222" t="s">
        <v>1526</v>
      </c>
      <c r="B40" s="223" t="s">
        <v>1457</v>
      </c>
      <c r="C40" s="222" t="s">
        <v>1458</v>
      </c>
      <c r="D40" s="224">
        <v>44429</v>
      </c>
      <c r="E40" s="224">
        <v>44454</v>
      </c>
      <c r="F40" s="218">
        <v>0.2</v>
      </c>
      <c r="G40" s="92">
        <v>3.6</v>
      </c>
      <c r="H40" s="92">
        <v>0</v>
      </c>
      <c r="I40" s="92">
        <v>0</v>
      </c>
      <c r="J40" s="218">
        <v>0</v>
      </c>
      <c r="K40" s="218">
        <v>0</v>
      </c>
      <c r="L40" s="218">
        <f t="shared" si="0"/>
        <v>0</v>
      </c>
    </row>
    <row r="41" spans="1:12" outlineLevel="1">
      <c r="A41" s="225" t="s">
        <v>1538</v>
      </c>
      <c r="B41" s="226"/>
      <c r="C41" s="227"/>
      <c r="D41" s="228"/>
      <c r="E41" s="228"/>
      <c r="F41" s="229"/>
      <c r="G41" s="230">
        <f>SUBTOTAL(9,G38:G40)</f>
        <v>4.8</v>
      </c>
      <c r="H41" s="230">
        <f>SUBTOTAL(9,H38:H40)</f>
        <v>0</v>
      </c>
      <c r="I41" s="230">
        <f>SUBTOTAL(9,I38:I40)</f>
        <v>0.5</v>
      </c>
      <c r="J41" s="229">
        <f>H41/G41</f>
        <v>0</v>
      </c>
      <c r="K41" s="229">
        <f>I41/G41</f>
        <v>0.10416666666666667</v>
      </c>
      <c r="L41" s="229">
        <f t="shared" si="0"/>
        <v>0.10416666666666667</v>
      </c>
    </row>
    <row r="42" spans="1:12" outlineLevel="2">
      <c r="A42" s="222" t="s">
        <v>1350</v>
      </c>
      <c r="B42" s="223" t="s">
        <v>1463</v>
      </c>
      <c r="C42" s="222" t="s">
        <v>1464</v>
      </c>
      <c r="D42" s="224">
        <v>44487</v>
      </c>
      <c r="E42" s="224">
        <v>44487</v>
      </c>
      <c r="F42" s="218">
        <v>1</v>
      </c>
      <c r="G42" s="92">
        <v>1</v>
      </c>
      <c r="H42" s="92">
        <v>0</v>
      </c>
      <c r="I42" s="92">
        <v>0</v>
      </c>
      <c r="J42" s="218">
        <v>0</v>
      </c>
      <c r="K42" s="218">
        <v>0</v>
      </c>
      <c r="L42" s="218">
        <f t="shared" si="0"/>
        <v>0</v>
      </c>
    </row>
    <row r="43" spans="1:12" outlineLevel="1">
      <c r="A43" s="225" t="s">
        <v>1539</v>
      </c>
      <c r="B43" s="226"/>
      <c r="C43" s="227"/>
      <c r="D43" s="228"/>
      <c r="E43" s="228"/>
      <c r="F43" s="229"/>
      <c r="G43" s="230">
        <f>SUBTOTAL(9,G42:G42)</f>
        <v>1</v>
      </c>
      <c r="H43" s="230">
        <f>SUBTOTAL(9,H42:H42)</f>
        <v>0</v>
      </c>
      <c r="I43" s="230">
        <f>SUBTOTAL(9,I42:I42)</f>
        <v>0</v>
      </c>
      <c r="J43" s="229">
        <f>H43/G43</f>
        <v>0</v>
      </c>
      <c r="K43" s="229">
        <f>I43/G43</f>
        <v>0</v>
      </c>
      <c r="L43" s="229">
        <f t="shared" si="0"/>
        <v>0</v>
      </c>
    </row>
    <row r="44" spans="1:12" outlineLevel="2">
      <c r="A44" s="222" t="s">
        <v>1317</v>
      </c>
      <c r="B44" s="223" t="s">
        <v>1082</v>
      </c>
      <c r="C44" s="222" t="s">
        <v>1450</v>
      </c>
      <c r="D44" s="224">
        <v>44336</v>
      </c>
      <c r="E44" s="224">
        <v>44337</v>
      </c>
      <c r="F44" s="218">
        <v>1</v>
      </c>
      <c r="G44" s="92">
        <v>2</v>
      </c>
      <c r="H44" s="92">
        <v>2</v>
      </c>
      <c r="I44" s="92">
        <v>2</v>
      </c>
      <c r="J44" s="218">
        <v>1</v>
      </c>
      <c r="K44" s="218">
        <v>1</v>
      </c>
      <c r="L44" s="218">
        <f t="shared" si="0"/>
        <v>0</v>
      </c>
    </row>
    <row r="45" spans="1:12" outlineLevel="2">
      <c r="A45" s="222" t="s">
        <v>1317</v>
      </c>
      <c r="B45" s="223" t="s">
        <v>1451</v>
      </c>
      <c r="C45" s="222" t="s">
        <v>1452</v>
      </c>
      <c r="D45" s="224">
        <v>44340</v>
      </c>
      <c r="E45" s="224">
        <v>44346</v>
      </c>
      <c r="F45" s="218">
        <v>1</v>
      </c>
      <c r="G45" s="92">
        <v>5</v>
      </c>
      <c r="H45" s="92">
        <v>5</v>
      </c>
      <c r="I45" s="92">
        <v>4.5</v>
      </c>
      <c r="J45" s="218">
        <v>1</v>
      </c>
      <c r="K45" s="218">
        <v>0.9</v>
      </c>
      <c r="L45" s="233">
        <f t="shared" si="0"/>
        <v>-9.9999999999999978E-2</v>
      </c>
    </row>
    <row r="46" spans="1:12" outlineLevel="2">
      <c r="A46" s="222" t="s">
        <v>1317</v>
      </c>
      <c r="B46" s="223" t="s">
        <v>1453</v>
      </c>
      <c r="C46" s="222" t="s">
        <v>1454</v>
      </c>
      <c r="D46" s="224">
        <v>44358</v>
      </c>
      <c r="E46" s="224">
        <v>44358</v>
      </c>
      <c r="F46" s="218">
        <v>0</v>
      </c>
      <c r="G46" s="92">
        <v>0</v>
      </c>
      <c r="H46" s="92">
        <v>0</v>
      </c>
      <c r="I46" s="92">
        <v>0</v>
      </c>
      <c r="J46" s="218">
        <v>0</v>
      </c>
      <c r="K46" s="218">
        <v>0</v>
      </c>
      <c r="L46" s="218">
        <f t="shared" si="0"/>
        <v>0</v>
      </c>
    </row>
    <row r="47" spans="1:12" outlineLevel="2">
      <c r="A47" s="222" t="s">
        <v>1317</v>
      </c>
      <c r="B47" s="223" t="s">
        <v>1087</v>
      </c>
      <c r="C47" s="222" t="s">
        <v>1461</v>
      </c>
      <c r="D47" s="224">
        <v>44462</v>
      </c>
      <c r="E47" s="224">
        <v>44466</v>
      </c>
      <c r="F47" s="218">
        <v>1</v>
      </c>
      <c r="G47" s="92">
        <v>3</v>
      </c>
      <c r="H47" s="92">
        <v>0</v>
      </c>
      <c r="I47" s="92">
        <v>0</v>
      </c>
      <c r="J47" s="218">
        <v>0</v>
      </c>
      <c r="K47" s="218">
        <v>0</v>
      </c>
      <c r="L47" s="218">
        <f t="shared" si="0"/>
        <v>0</v>
      </c>
    </row>
    <row r="48" spans="1:12" outlineLevel="2">
      <c r="A48" s="222" t="s">
        <v>1317</v>
      </c>
      <c r="B48" s="223" t="s">
        <v>1472</v>
      </c>
      <c r="C48" s="222" t="s">
        <v>1473</v>
      </c>
      <c r="D48" s="224">
        <v>44346</v>
      </c>
      <c r="E48" s="224">
        <v>44357</v>
      </c>
      <c r="F48" s="218">
        <v>0.5</v>
      </c>
      <c r="G48" s="92">
        <v>4.5</v>
      </c>
      <c r="H48" s="92">
        <v>1</v>
      </c>
      <c r="I48" s="92">
        <v>0.67499999999999993</v>
      </c>
      <c r="J48" s="218">
        <v>0.22222222222222221</v>
      </c>
      <c r="K48" s="218">
        <v>0.15</v>
      </c>
      <c r="L48" s="233">
        <f t="shared" si="0"/>
        <v>-7.2222222222222215E-2</v>
      </c>
    </row>
    <row r="49" spans="1:12" outlineLevel="1">
      <c r="A49" s="225" t="s">
        <v>1540</v>
      </c>
      <c r="B49" s="226"/>
      <c r="C49" s="227"/>
      <c r="D49" s="228"/>
      <c r="E49" s="228"/>
      <c r="F49" s="229"/>
      <c r="G49" s="230">
        <f>SUBTOTAL(9,G44:G48)</f>
        <v>14.5</v>
      </c>
      <c r="H49" s="230">
        <f>SUBTOTAL(9,H44:H48)</f>
        <v>8</v>
      </c>
      <c r="I49" s="230">
        <f>SUBTOTAL(9,I44:I48)</f>
        <v>7.1749999999999998</v>
      </c>
      <c r="J49" s="229">
        <f>H49/G49</f>
        <v>0.55172413793103448</v>
      </c>
      <c r="K49" s="229">
        <f>I49/G49</f>
        <v>0.49482758620689654</v>
      </c>
      <c r="L49" s="234">
        <f t="shared" si="0"/>
        <v>-5.6896551724137934E-2</v>
      </c>
    </row>
    <row r="50" spans="1:12" outlineLevel="2">
      <c r="A50" s="222" t="s">
        <v>729</v>
      </c>
      <c r="B50" s="223" t="s">
        <v>1107</v>
      </c>
      <c r="C50" s="222" t="s">
        <v>1462</v>
      </c>
      <c r="D50" s="224">
        <v>44469</v>
      </c>
      <c r="E50" s="224">
        <v>44487</v>
      </c>
      <c r="F50" s="218">
        <v>1</v>
      </c>
      <c r="G50" s="92">
        <v>13</v>
      </c>
      <c r="H50" s="92">
        <v>0</v>
      </c>
      <c r="I50" s="92">
        <v>0</v>
      </c>
      <c r="J50" s="218">
        <v>0</v>
      </c>
      <c r="K50" s="218">
        <v>0</v>
      </c>
      <c r="L50" s="218">
        <f t="shared" si="0"/>
        <v>0</v>
      </c>
    </row>
    <row r="51" spans="1:12" outlineLevel="1">
      <c r="A51" s="225" t="s">
        <v>1541</v>
      </c>
      <c r="B51" s="226"/>
      <c r="C51" s="227"/>
      <c r="D51" s="228"/>
      <c r="E51" s="228"/>
      <c r="F51" s="229"/>
      <c r="G51" s="230">
        <f>SUBTOTAL(9,G50:G50)</f>
        <v>13</v>
      </c>
      <c r="H51" s="230">
        <f>SUBTOTAL(9,H50:H50)</f>
        <v>0</v>
      </c>
      <c r="I51" s="230">
        <f>SUBTOTAL(9,I50:I50)</f>
        <v>0</v>
      </c>
      <c r="J51" s="229">
        <f>H51/G51</f>
        <v>0</v>
      </c>
      <c r="K51" s="229">
        <f>I51/G51</f>
        <v>0</v>
      </c>
      <c r="L51" s="229">
        <f t="shared" si="0"/>
        <v>0</v>
      </c>
    </row>
    <row r="52" spans="1:12" outlineLevel="1">
      <c r="J52" s="218"/>
      <c r="K52" s="218"/>
      <c r="L52" s="218"/>
    </row>
    <row r="53" spans="1:12" outlineLevel="1">
      <c r="A53" s="231" t="s">
        <v>1542</v>
      </c>
      <c r="B53" s="232"/>
      <c r="C53" s="232"/>
      <c r="D53" s="232"/>
      <c r="E53" s="232"/>
      <c r="F53" s="229"/>
      <c r="G53" s="230">
        <f>SUBTOTAL(9,G7:G52)</f>
        <v>286.10000000000002</v>
      </c>
      <c r="H53" s="230">
        <f>SUBTOTAL(9,H7:H52)</f>
        <v>21.4</v>
      </c>
      <c r="I53" s="230">
        <f>SUBTOTAL(9,I7:I52)</f>
        <v>28.095000000000002</v>
      </c>
      <c r="J53" s="229">
        <f>H53/G53</f>
        <v>7.4799021321216352E-2</v>
      </c>
      <c r="K53" s="229">
        <f>I53/G53</f>
        <v>9.8199930094372598E-2</v>
      </c>
      <c r="L53" s="229">
        <f>K53-J53</f>
        <v>2.3400908773156245E-2</v>
      </c>
    </row>
  </sheetData>
  <sortState xmlns:xlrd2="http://schemas.microsoft.com/office/spreadsheetml/2017/richdata2" ref="A7:M50">
    <sortCondition ref="A7:A56"/>
    <sortCondition ref="B7:B56"/>
  </sortState>
  <dataConsolidate/>
  <phoneticPr fontId="2" type="noConversion"/>
  <hyperlinks>
    <hyperlink ref="B44" location="Schedule!$D$7" display="1.1.1" xr:uid="{00000000-0004-0000-0400-000000000000}"/>
    <hyperlink ref="B31" location="Schedule!$D$7" display="1.1.1" xr:uid="{00000000-0004-0000-0400-000001000000}"/>
    <hyperlink ref="B45" location="Schedule!$D$9" display="1.1.2.1" xr:uid="{00000000-0004-0000-0400-000002000000}"/>
    <hyperlink ref="B46" location="Schedule!$D$10" display="1.1.2.2" xr:uid="{00000000-0004-0000-0400-000003000000}"/>
    <hyperlink ref="B38" location="Schedule!$D$12" display="1.2.1" xr:uid="{00000000-0004-0000-0400-000004000000}"/>
    <hyperlink ref="B39" location="Schedule!$D$13" display="1.2.2" xr:uid="{00000000-0004-0000-0400-000005000000}"/>
    <hyperlink ref="B40" location="Schedule!$D$14" display="1.2.3" xr:uid="{00000000-0004-0000-0400-000006000000}"/>
    <hyperlink ref="B7" location="Schedule!$D$15" display="1.2.4" xr:uid="{00000000-0004-0000-0400-000007000000}"/>
    <hyperlink ref="B32" location="Schedule!$D$17" display="1.3.1" xr:uid="{00000000-0004-0000-0400-000008000000}"/>
    <hyperlink ref="B47" location="Schedule!$D$17" display="1.3.1" xr:uid="{00000000-0004-0000-0400-000009000000}"/>
    <hyperlink ref="B50" location="Schedule!$D$18" display="1.3.2" xr:uid="{00000000-0004-0000-0400-00000A000000}"/>
    <hyperlink ref="B34" location="Schedule!$D$19" display="1.3.3" xr:uid="{00000000-0004-0000-0400-00000B000000}"/>
    <hyperlink ref="B42" location="Schedule!$D$19" display="1.3.3" xr:uid="{00000000-0004-0000-0400-00000C000000}"/>
    <hyperlink ref="B8" location="Schedule!$D$20" display="1.3.4" xr:uid="{00000000-0004-0000-0400-00000D000000}"/>
    <hyperlink ref="B9" location="Schedule!$D$24" display="2.1.1" xr:uid="{00000000-0004-0000-0400-00000E000000}"/>
    <hyperlink ref="B10" location="Schedule!$D$26" display="2.1.2.1" xr:uid="{00000000-0004-0000-0400-00000F000000}"/>
    <hyperlink ref="B36" location="Schedule!$D$27" display="2.1.2.2" xr:uid="{00000000-0004-0000-0400-000010000000}"/>
    <hyperlink ref="B48" location="Schedule!$D$27" display="2.1.2.2" xr:uid="{00000000-0004-0000-0400-000011000000}"/>
    <hyperlink ref="B11" location="Schedule!$D$29" display="2.2.1" xr:uid="{00000000-0004-0000-0400-000012000000}"/>
    <hyperlink ref="B12" location="Schedule!$D$31" display="2.2.2.1" xr:uid="{00000000-0004-0000-0400-000013000000}"/>
    <hyperlink ref="B13" location="Schedule!$D$32" display="2.2.2.2" xr:uid="{00000000-0004-0000-0400-000014000000}"/>
    <hyperlink ref="B14" location="Schedule!$D$33" display="2.2.2.3" xr:uid="{00000000-0004-0000-0400-000015000000}"/>
    <hyperlink ref="B15" location="Schedule!$D$34" display="2.2.3" xr:uid="{00000000-0004-0000-0400-000016000000}"/>
    <hyperlink ref="B16" location="Schedule!$D$37" display="2.3.1.1" xr:uid="{00000000-0004-0000-0400-000017000000}"/>
    <hyperlink ref="B17" location="Schedule!$D$40" display="2.3.1.2.1.1" xr:uid="{00000000-0004-0000-0400-000018000000}"/>
    <hyperlink ref="B18" location="Schedule!$D$41" display="2.3.1.2.1.2" xr:uid="{00000000-0004-0000-0400-000019000000}"/>
    <hyperlink ref="B19" location="Schedule!$D$42" display="2.3.1.2.1.3" xr:uid="{00000000-0004-0000-0400-00001A000000}"/>
    <hyperlink ref="B20" location="Schedule!$D$43" display="2.3.1.2.2" xr:uid="{00000000-0004-0000-0400-00001B000000}"/>
    <hyperlink ref="B21" location="Schedule!$D$44" display="2.3.1.2.3" xr:uid="{00000000-0004-0000-0400-00001C000000}"/>
    <hyperlink ref="B22" location="Schedule!$D$45" display="2.3.1.2.4" xr:uid="{00000000-0004-0000-0400-00001D000000}"/>
    <hyperlink ref="B23" location="Schedule!$D$47" display="2.3.2.1" xr:uid="{00000000-0004-0000-0400-00001E000000}"/>
    <hyperlink ref="B24" location="Schedule!$D$48" display="2.3.2.2" xr:uid="{00000000-0004-0000-0400-00001F000000}"/>
    <hyperlink ref="B25" location="Schedule!$D$51" display="2.4.1.1" xr:uid="{00000000-0004-0000-0400-000020000000}"/>
    <hyperlink ref="B26" location="Schedule!$D$53" display="2.4.2.1" xr:uid="{00000000-0004-0000-0400-000021000000}"/>
    <hyperlink ref="B27" location="Schedule!$D$54" display="2.4.2.2" xr:uid="{00000000-0004-0000-0400-000022000000}"/>
    <hyperlink ref="B28" location="Schedule!$D$55" display="2.4.2.3" xr:uid="{00000000-0004-0000-0400-000023000000}"/>
    <hyperlink ref="B29" location="Schedule!$D$56" display="2.4.2.4" xr:uid="{00000000-0004-0000-0400-000024000000}"/>
  </hyperlinks>
  <pageMargins left="0.7" right="0.7" top="0.75" bottom="0.75" header="0.3" footer="0.3"/>
  <pageSetup paperSize="9" orientation="portrait" verticalDpi="3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tabColor rgb="FFFFC000"/>
  </sheetPr>
  <dimension ref="A1:J305"/>
  <sheetViews>
    <sheetView showGridLines="0" zoomScale="85" zoomScaleNormal="85" workbookViewId="0">
      <pane ySplit="1" topLeftCell="A2" activePane="bottomLeft" state="frozenSplit"/>
      <selection pane="bottomLeft"/>
    </sheetView>
  </sheetViews>
  <sheetFormatPr defaultColWidth="10" defaultRowHeight="15"/>
  <cols>
    <col min="1" max="1" width="31.625" style="68" customWidth="1"/>
    <col min="2" max="2" width="14.5" style="68" customWidth="1"/>
    <col min="3" max="3" width="7.625" style="68" customWidth="1"/>
    <col min="4" max="4" width="21.5" style="68" customWidth="1"/>
    <col min="5" max="5" width="14.125" style="68" customWidth="1"/>
    <col min="6" max="6" width="10" style="68"/>
    <col min="7" max="7" width="24.25" style="68" customWidth="1"/>
    <col min="8" max="8" width="18.375" style="68" bestFit="1" customWidth="1"/>
    <col min="9" max="9" width="11.125" style="68" bestFit="1" customWidth="1"/>
    <col min="10" max="10" width="27.375" style="68" bestFit="1" customWidth="1"/>
    <col min="11" max="19" width="10" style="68"/>
    <col min="20" max="23" width="10" style="68" customWidth="1"/>
    <col min="24" max="26" width="10" style="68"/>
    <col min="27" max="27" width="0" style="68" hidden="1" customWidth="1"/>
    <col min="28" max="16384" width="10" style="68"/>
  </cols>
  <sheetData>
    <row r="1" spans="1:9" s="64" customFormat="1" ht="36.950000000000003" customHeight="1">
      <c r="A1" s="1" t="s">
        <v>1442</v>
      </c>
      <c r="B1" s="1"/>
      <c r="C1" s="1"/>
      <c r="D1" s="1"/>
      <c r="E1" s="1"/>
      <c r="F1" s="1"/>
      <c r="G1" s="1"/>
      <c r="H1" s="1"/>
    </row>
    <row r="2" spans="1:9" s="65" customFormat="1" ht="78.75" customHeight="1">
      <c r="A2" s="310" t="s">
        <v>1443</v>
      </c>
      <c r="B2" s="310"/>
      <c r="C2" s="310"/>
      <c r="D2" s="310"/>
      <c r="E2" s="310"/>
      <c r="F2" s="310"/>
      <c r="G2" s="310"/>
      <c r="H2" s="310"/>
    </row>
    <row r="3" spans="1:9" s="65" customFormat="1" ht="24.75" customHeight="1">
      <c r="A3" s="311" t="s">
        <v>1444</v>
      </c>
      <c r="B3" s="311"/>
      <c r="D3" s="311" t="s">
        <v>1445</v>
      </c>
      <c r="E3" s="311"/>
      <c r="G3" s="311" t="s">
        <v>1446</v>
      </c>
      <c r="H3" s="311"/>
    </row>
    <row r="4" spans="1:9" s="67" customFormat="1" ht="19.5" customHeight="1">
      <c r="A4" s="66" t="s">
        <v>1447</v>
      </c>
      <c r="B4" s="66" t="s">
        <v>1448</v>
      </c>
      <c r="D4" s="66" t="s">
        <v>1447</v>
      </c>
      <c r="E4" s="66" t="s">
        <v>1448</v>
      </c>
      <c r="G4" s="66" t="s">
        <v>1447</v>
      </c>
      <c r="H4" s="66" t="s">
        <v>1448</v>
      </c>
    </row>
    <row r="5" spans="1:9" s="97" customFormat="1" ht="16.5">
      <c r="A5" s="95" t="s">
        <v>1112</v>
      </c>
      <c r="B5" s="96">
        <v>43831</v>
      </c>
      <c r="C5" s="97" t="str">
        <f t="shared" ref="C5:C68" si="0">IF(B5&gt;0,TEXT(B5,"(aaa)"),"")</f>
        <v>(수)</v>
      </c>
      <c r="D5" s="98"/>
      <c r="E5" s="99"/>
      <c r="F5" s="97" t="str">
        <f t="shared" ref="F5:F68" si="1">IF(E5&gt;0,TEXT(E5,"(aaa)"),"")</f>
        <v/>
      </c>
      <c r="G5" s="98"/>
      <c r="H5" s="99"/>
      <c r="I5" s="97" t="str">
        <f t="shared" ref="I5:I68" si="2">IF(H5&gt;0,TEXT(H5,"(aaa)"),"")</f>
        <v/>
      </c>
    </row>
    <row r="6" spans="1:9" s="97" customFormat="1" ht="16.5">
      <c r="A6" s="95" t="s">
        <v>1113</v>
      </c>
      <c r="B6" s="96">
        <v>43854</v>
      </c>
      <c r="C6" s="97" t="str">
        <f t="shared" si="0"/>
        <v>(금)</v>
      </c>
      <c r="D6" s="98"/>
      <c r="E6" s="99"/>
      <c r="F6" s="97" t="str">
        <f t="shared" si="1"/>
        <v/>
      </c>
      <c r="G6" s="98"/>
      <c r="H6" s="99"/>
      <c r="I6" s="97" t="str">
        <f t="shared" si="2"/>
        <v/>
      </c>
    </row>
    <row r="7" spans="1:9" s="97" customFormat="1" ht="16.5">
      <c r="A7" s="95" t="s">
        <v>1300</v>
      </c>
      <c r="B7" s="96">
        <v>43857</v>
      </c>
      <c r="C7" s="97" t="str">
        <f t="shared" si="0"/>
        <v>(월)</v>
      </c>
      <c r="D7" s="98"/>
      <c r="E7" s="99"/>
      <c r="F7" s="97" t="str">
        <f t="shared" si="1"/>
        <v/>
      </c>
      <c r="G7" s="98"/>
      <c r="H7" s="99"/>
      <c r="I7" s="97" t="str">
        <f t="shared" si="2"/>
        <v/>
      </c>
    </row>
    <row r="8" spans="1:9" s="97" customFormat="1" ht="16.5">
      <c r="A8" s="95" t="s">
        <v>1301</v>
      </c>
      <c r="B8" s="96">
        <v>43936</v>
      </c>
      <c r="C8" s="97" t="str">
        <f t="shared" si="0"/>
        <v>(수)</v>
      </c>
      <c r="D8" s="98"/>
      <c r="E8" s="99"/>
      <c r="F8" s="97" t="str">
        <f t="shared" si="1"/>
        <v/>
      </c>
      <c r="G8" s="98"/>
      <c r="H8" s="99"/>
      <c r="I8" s="97" t="str">
        <f t="shared" si="2"/>
        <v/>
      </c>
    </row>
    <row r="9" spans="1:9" s="97" customFormat="1" ht="16.5">
      <c r="A9" s="95" t="s">
        <v>1302</v>
      </c>
      <c r="B9" s="96">
        <v>43951</v>
      </c>
      <c r="C9" s="97" t="str">
        <f t="shared" si="0"/>
        <v>(목)</v>
      </c>
      <c r="D9" s="98"/>
      <c r="E9" s="99"/>
      <c r="F9" s="97" t="str">
        <f t="shared" si="1"/>
        <v/>
      </c>
      <c r="G9" s="98"/>
      <c r="H9" s="99"/>
      <c r="I9" s="97" t="str">
        <f t="shared" si="2"/>
        <v/>
      </c>
    </row>
    <row r="10" spans="1:9" s="97" customFormat="1" ht="16.5">
      <c r="A10" s="95" t="s">
        <v>1303</v>
      </c>
      <c r="B10" s="96">
        <v>43956</v>
      </c>
      <c r="C10" s="97" t="str">
        <f t="shared" si="0"/>
        <v>(화)</v>
      </c>
      <c r="D10" s="98"/>
      <c r="E10" s="99"/>
      <c r="F10" s="97" t="str">
        <f t="shared" si="1"/>
        <v/>
      </c>
      <c r="G10" s="98"/>
      <c r="H10" s="99"/>
      <c r="I10" s="97" t="str">
        <f t="shared" si="2"/>
        <v/>
      </c>
    </row>
    <row r="11" spans="1:9" s="97" customFormat="1" ht="16.5">
      <c r="A11" s="95" t="s">
        <v>1308</v>
      </c>
      <c r="B11" s="96">
        <v>44060</v>
      </c>
      <c r="C11" s="97" t="str">
        <f t="shared" si="0"/>
        <v>(월)</v>
      </c>
      <c r="D11" s="98"/>
      <c r="E11" s="99"/>
      <c r="F11" s="97" t="str">
        <f t="shared" si="1"/>
        <v/>
      </c>
      <c r="G11" s="98"/>
      <c r="H11" s="99"/>
      <c r="I11" s="97" t="str">
        <f t="shared" si="2"/>
        <v/>
      </c>
    </row>
    <row r="12" spans="1:9" s="97" customFormat="1" ht="16.5">
      <c r="A12" s="95" t="s">
        <v>1304</v>
      </c>
      <c r="B12" s="96">
        <v>44104</v>
      </c>
      <c r="C12" s="97" t="str">
        <f t="shared" si="0"/>
        <v>(수)</v>
      </c>
      <c r="D12" s="98"/>
      <c r="E12" s="99"/>
      <c r="F12" s="97" t="str">
        <f t="shared" si="1"/>
        <v/>
      </c>
      <c r="G12" s="98"/>
      <c r="H12" s="99"/>
      <c r="I12" s="97" t="str">
        <f t="shared" si="2"/>
        <v/>
      </c>
    </row>
    <row r="13" spans="1:9" s="97" customFormat="1" ht="16.5">
      <c r="A13" s="95" t="s">
        <v>1305</v>
      </c>
      <c r="B13" s="96">
        <v>44105</v>
      </c>
      <c r="C13" s="97" t="str">
        <f t="shared" si="0"/>
        <v>(목)</v>
      </c>
      <c r="D13" s="98"/>
      <c r="E13" s="99"/>
      <c r="F13" s="97" t="str">
        <f t="shared" si="1"/>
        <v/>
      </c>
      <c r="G13" s="98"/>
      <c r="H13" s="99"/>
      <c r="I13" s="97" t="str">
        <f t="shared" si="2"/>
        <v/>
      </c>
    </row>
    <row r="14" spans="1:9" s="97" customFormat="1" ht="16.5">
      <c r="A14" s="95" t="s">
        <v>1304</v>
      </c>
      <c r="B14" s="96">
        <v>44106</v>
      </c>
      <c r="C14" s="97" t="str">
        <f t="shared" si="0"/>
        <v>(금)</v>
      </c>
      <c r="D14" s="98"/>
      <c r="E14" s="99"/>
      <c r="F14" s="97" t="str">
        <f t="shared" si="1"/>
        <v/>
      </c>
      <c r="G14" s="98"/>
      <c r="H14" s="99"/>
      <c r="I14" s="97" t="str">
        <f t="shared" si="2"/>
        <v/>
      </c>
    </row>
    <row r="15" spans="1:9" s="97" customFormat="1" ht="16.5">
      <c r="A15" s="95" t="s">
        <v>1306</v>
      </c>
      <c r="B15" s="96">
        <v>44113</v>
      </c>
      <c r="C15" s="97" t="str">
        <f t="shared" si="0"/>
        <v>(금)</v>
      </c>
      <c r="D15" s="98"/>
      <c r="E15" s="99"/>
      <c r="F15" s="97" t="str">
        <f t="shared" si="1"/>
        <v/>
      </c>
      <c r="G15" s="98"/>
      <c r="H15" s="99"/>
      <c r="I15" s="97" t="str">
        <f t="shared" si="2"/>
        <v/>
      </c>
    </row>
    <row r="16" spans="1:9" s="97" customFormat="1" ht="16.5">
      <c r="A16" s="95" t="s">
        <v>1307</v>
      </c>
      <c r="B16" s="96">
        <v>44190</v>
      </c>
      <c r="C16" s="97" t="str">
        <f t="shared" si="0"/>
        <v>(금)</v>
      </c>
      <c r="D16" s="98"/>
      <c r="E16" s="99"/>
      <c r="F16" s="97" t="str">
        <f t="shared" si="1"/>
        <v/>
      </c>
      <c r="G16" s="98"/>
      <c r="H16" s="99"/>
      <c r="I16" s="97" t="str">
        <f t="shared" si="2"/>
        <v/>
      </c>
    </row>
    <row r="17" spans="1:10" s="97" customFormat="1" ht="16.5">
      <c r="A17" s="95" t="s">
        <v>1309</v>
      </c>
      <c r="B17" s="96">
        <v>44197</v>
      </c>
      <c r="C17" s="97" t="str">
        <f t="shared" si="0"/>
        <v>(금)</v>
      </c>
      <c r="D17" s="98"/>
      <c r="E17" s="99"/>
      <c r="F17" s="97" t="str">
        <f t="shared" si="1"/>
        <v/>
      </c>
      <c r="G17" s="98"/>
      <c r="H17" s="99"/>
      <c r="I17" s="97" t="str">
        <f t="shared" si="2"/>
        <v/>
      </c>
    </row>
    <row r="18" spans="1:10" s="97" customFormat="1" ht="16.5">
      <c r="A18" s="95" t="s">
        <v>1310</v>
      </c>
      <c r="B18" s="96">
        <v>44238</v>
      </c>
      <c r="C18" s="97" t="str">
        <f t="shared" si="0"/>
        <v>(목)</v>
      </c>
      <c r="D18" s="98"/>
      <c r="E18" s="99"/>
      <c r="F18" s="97" t="str">
        <f t="shared" si="1"/>
        <v/>
      </c>
      <c r="G18" s="98"/>
      <c r="H18" s="99"/>
      <c r="I18" s="97" t="str">
        <f t="shared" si="2"/>
        <v/>
      </c>
    </row>
    <row r="19" spans="1:10" s="97" customFormat="1" ht="17.25">
      <c r="A19" s="95" t="s">
        <v>1311</v>
      </c>
      <c r="B19" s="96">
        <v>44239</v>
      </c>
      <c r="C19" s="97" t="str">
        <f t="shared" si="0"/>
        <v>(금)</v>
      </c>
      <c r="D19" s="98"/>
      <c r="E19" s="99"/>
      <c r="F19" s="97" t="str">
        <f t="shared" si="1"/>
        <v/>
      </c>
      <c r="G19" s="98"/>
      <c r="H19" s="99"/>
      <c r="I19" s="97" t="str">
        <f t="shared" si="2"/>
        <v/>
      </c>
      <c r="J19" s="100"/>
    </row>
    <row r="20" spans="1:10" s="97" customFormat="1" ht="17.25">
      <c r="A20" s="95" t="s">
        <v>1312</v>
      </c>
      <c r="B20" s="96">
        <v>44256</v>
      </c>
      <c r="C20" s="97" t="str">
        <f t="shared" si="0"/>
        <v>(월)</v>
      </c>
      <c r="D20" s="98"/>
      <c r="E20" s="99"/>
      <c r="F20" s="97" t="str">
        <f t="shared" si="1"/>
        <v/>
      </c>
      <c r="G20" s="98"/>
      <c r="H20" s="99"/>
      <c r="I20" s="97" t="str">
        <f t="shared" si="2"/>
        <v/>
      </c>
      <c r="J20" s="100"/>
    </row>
    <row r="21" spans="1:10" s="97" customFormat="1" ht="16.5">
      <c r="A21" s="95" t="s">
        <v>1313</v>
      </c>
      <c r="B21" s="96">
        <v>44321</v>
      </c>
      <c r="C21" s="97" t="str">
        <f t="shared" si="0"/>
        <v>(수)</v>
      </c>
      <c r="D21" s="98"/>
      <c r="E21" s="99"/>
      <c r="F21" s="97" t="str">
        <f t="shared" si="1"/>
        <v/>
      </c>
      <c r="G21" s="98"/>
      <c r="H21" s="99"/>
      <c r="I21" s="97" t="str">
        <f t="shared" si="2"/>
        <v/>
      </c>
    </row>
    <row r="22" spans="1:10" s="97" customFormat="1" ht="16.5">
      <c r="A22" s="95" t="s">
        <v>1314</v>
      </c>
      <c r="B22" s="96">
        <v>44335</v>
      </c>
      <c r="C22" s="97" t="str">
        <f t="shared" si="0"/>
        <v>(수)</v>
      </c>
      <c r="D22" s="98"/>
      <c r="E22" s="99"/>
      <c r="F22" s="97" t="str">
        <f t="shared" si="1"/>
        <v/>
      </c>
      <c r="G22" s="98"/>
      <c r="H22" s="99"/>
      <c r="I22" s="97" t="str">
        <f t="shared" si="2"/>
        <v/>
      </c>
    </row>
    <row r="23" spans="1:10" s="97" customFormat="1" ht="16.5">
      <c r="A23" s="95" t="s">
        <v>1315</v>
      </c>
      <c r="B23" s="96">
        <v>44459</v>
      </c>
      <c r="C23" s="97" t="str">
        <f t="shared" si="0"/>
        <v>(월)</v>
      </c>
      <c r="D23" s="98"/>
      <c r="E23" s="99"/>
      <c r="F23" s="97" t="str">
        <f t="shared" si="1"/>
        <v/>
      </c>
      <c r="G23" s="98"/>
      <c r="H23" s="99"/>
      <c r="I23" s="97" t="str">
        <f t="shared" si="2"/>
        <v/>
      </c>
    </row>
    <row r="24" spans="1:10" s="97" customFormat="1" ht="16.5">
      <c r="A24" s="95" t="s">
        <v>1316</v>
      </c>
      <c r="B24" s="96">
        <v>44460</v>
      </c>
      <c r="C24" s="97" t="str">
        <f t="shared" si="0"/>
        <v>(화)</v>
      </c>
      <c r="D24" s="98"/>
      <c r="E24" s="99"/>
      <c r="F24" s="97" t="str">
        <f t="shared" si="1"/>
        <v/>
      </c>
      <c r="G24" s="98"/>
      <c r="H24" s="99"/>
      <c r="I24" s="97" t="str">
        <f t="shared" si="2"/>
        <v/>
      </c>
    </row>
    <row r="25" spans="1:10" s="97" customFormat="1" ht="16.5">
      <c r="A25" s="95" t="s">
        <v>1315</v>
      </c>
      <c r="B25" s="96">
        <v>44461</v>
      </c>
      <c r="C25" s="97" t="str">
        <f t="shared" si="0"/>
        <v>(수)</v>
      </c>
      <c r="D25" s="98"/>
      <c r="E25" s="99"/>
      <c r="F25" s="97" t="str">
        <f t="shared" si="1"/>
        <v/>
      </c>
      <c r="G25" s="98"/>
      <c r="H25" s="99"/>
      <c r="I25" s="97" t="str">
        <f t="shared" si="2"/>
        <v/>
      </c>
    </row>
    <row r="26" spans="1:10" s="97" customFormat="1" ht="16.5">
      <c r="A26" s="95"/>
      <c r="B26" s="96"/>
      <c r="C26" s="97" t="str">
        <f t="shared" si="0"/>
        <v/>
      </c>
      <c r="D26" s="98"/>
      <c r="E26" s="99"/>
      <c r="F26" s="97" t="str">
        <f t="shared" si="1"/>
        <v/>
      </c>
      <c r="G26" s="98"/>
      <c r="H26" s="99"/>
      <c r="I26" s="97" t="str">
        <f t="shared" si="2"/>
        <v/>
      </c>
    </row>
    <row r="27" spans="1:10" s="97" customFormat="1" ht="16.5">
      <c r="A27" s="95"/>
      <c r="B27" s="96"/>
      <c r="C27" s="97" t="str">
        <f t="shared" si="0"/>
        <v/>
      </c>
      <c r="D27" s="98"/>
      <c r="E27" s="99"/>
      <c r="F27" s="97" t="str">
        <f t="shared" si="1"/>
        <v/>
      </c>
      <c r="G27" s="98"/>
      <c r="H27" s="99"/>
      <c r="I27" s="97" t="str">
        <f t="shared" si="2"/>
        <v/>
      </c>
    </row>
    <row r="28" spans="1:10" s="97" customFormat="1" ht="16.5">
      <c r="A28" s="95"/>
      <c r="B28" s="96"/>
      <c r="C28" s="97" t="str">
        <f t="shared" si="0"/>
        <v/>
      </c>
      <c r="D28" s="98"/>
      <c r="E28" s="99"/>
      <c r="F28" s="97" t="str">
        <f t="shared" si="1"/>
        <v/>
      </c>
      <c r="G28" s="98"/>
      <c r="H28" s="99"/>
      <c r="I28" s="97" t="str">
        <f t="shared" si="2"/>
        <v/>
      </c>
    </row>
    <row r="29" spans="1:10" s="97" customFormat="1" ht="16.5">
      <c r="A29" s="95"/>
      <c r="B29" s="96"/>
      <c r="C29" s="97" t="str">
        <f t="shared" si="0"/>
        <v/>
      </c>
      <c r="D29" s="98"/>
      <c r="E29" s="99"/>
      <c r="F29" s="97" t="str">
        <f t="shared" si="1"/>
        <v/>
      </c>
      <c r="G29" s="98"/>
      <c r="H29" s="99"/>
      <c r="I29" s="97" t="str">
        <f t="shared" si="2"/>
        <v/>
      </c>
    </row>
    <row r="30" spans="1:10" s="97" customFormat="1" ht="16.5">
      <c r="A30" s="95"/>
      <c r="B30" s="96"/>
      <c r="C30" s="97" t="str">
        <f t="shared" si="0"/>
        <v/>
      </c>
      <c r="D30" s="98"/>
      <c r="E30" s="99"/>
      <c r="F30" s="97" t="str">
        <f t="shared" si="1"/>
        <v/>
      </c>
      <c r="G30" s="98"/>
      <c r="H30" s="99"/>
      <c r="I30" s="97" t="str">
        <f t="shared" si="2"/>
        <v/>
      </c>
    </row>
    <row r="31" spans="1:10" s="97" customFormat="1" ht="16.5">
      <c r="A31" s="95"/>
      <c r="B31" s="96"/>
      <c r="C31" s="97" t="str">
        <f t="shared" si="0"/>
        <v/>
      </c>
      <c r="D31" s="98"/>
      <c r="E31" s="99"/>
      <c r="F31" s="97" t="str">
        <f t="shared" si="1"/>
        <v/>
      </c>
      <c r="G31" s="98"/>
      <c r="H31" s="99"/>
      <c r="I31" s="97" t="str">
        <f t="shared" si="2"/>
        <v/>
      </c>
    </row>
    <row r="32" spans="1:10" s="97" customFormat="1" ht="16.5">
      <c r="A32" s="95"/>
      <c r="B32" s="96"/>
      <c r="C32" s="97" t="str">
        <f t="shared" si="0"/>
        <v/>
      </c>
      <c r="D32" s="98"/>
      <c r="E32" s="99"/>
      <c r="F32" s="97" t="str">
        <f t="shared" si="1"/>
        <v/>
      </c>
      <c r="G32" s="98"/>
      <c r="H32" s="99"/>
      <c r="I32" s="97" t="str">
        <f t="shared" si="2"/>
        <v/>
      </c>
    </row>
    <row r="33" spans="1:9" s="97" customFormat="1" ht="16.5">
      <c r="A33" s="95"/>
      <c r="B33" s="96"/>
      <c r="C33" s="97" t="str">
        <f t="shared" si="0"/>
        <v/>
      </c>
      <c r="D33" s="98"/>
      <c r="E33" s="99"/>
      <c r="F33" s="97" t="str">
        <f t="shared" si="1"/>
        <v/>
      </c>
      <c r="G33" s="98"/>
      <c r="H33" s="99"/>
      <c r="I33" s="97" t="str">
        <f t="shared" si="2"/>
        <v/>
      </c>
    </row>
    <row r="34" spans="1:9" s="97" customFormat="1" ht="16.5">
      <c r="A34" s="95"/>
      <c r="B34" s="96"/>
      <c r="C34" s="97" t="str">
        <f t="shared" si="0"/>
        <v/>
      </c>
      <c r="D34" s="98"/>
      <c r="E34" s="99"/>
      <c r="F34" s="97" t="str">
        <f t="shared" si="1"/>
        <v/>
      </c>
      <c r="G34" s="98"/>
      <c r="H34" s="99"/>
      <c r="I34" s="97" t="str">
        <f t="shared" si="2"/>
        <v/>
      </c>
    </row>
    <row r="35" spans="1:9" s="97" customFormat="1" ht="16.5">
      <c r="A35" s="95"/>
      <c r="B35" s="96"/>
      <c r="C35" s="97" t="str">
        <f t="shared" si="0"/>
        <v/>
      </c>
      <c r="D35" s="98"/>
      <c r="E35" s="99"/>
      <c r="F35" s="97" t="str">
        <f t="shared" si="1"/>
        <v/>
      </c>
      <c r="G35" s="98"/>
      <c r="H35" s="99"/>
      <c r="I35" s="97" t="str">
        <f t="shared" si="2"/>
        <v/>
      </c>
    </row>
    <row r="36" spans="1:9" s="97" customFormat="1" ht="16.5">
      <c r="A36" s="95"/>
      <c r="B36" s="96"/>
      <c r="C36" s="97" t="str">
        <f t="shared" si="0"/>
        <v/>
      </c>
      <c r="D36" s="98"/>
      <c r="E36" s="99"/>
      <c r="F36" s="97" t="str">
        <f t="shared" si="1"/>
        <v/>
      </c>
      <c r="G36" s="98"/>
      <c r="H36" s="99"/>
      <c r="I36" s="97" t="str">
        <f t="shared" si="2"/>
        <v/>
      </c>
    </row>
    <row r="37" spans="1:9" s="97" customFormat="1" ht="16.5">
      <c r="A37" s="95"/>
      <c r="B37" s="96"/>
      <c r="C37" s="97" t="str">
        <f t="shared" si="0"/>
        <v/>
      </c>
      <c r="D37" s="98"/>
      <c r="E37" s="99"/>
      <c r="F37" s="97" t="str">
        <f t="shared" si="1"/>
        <v/>
      </c>
      <c r="G37" s="98"/>
      <c r="H37" s="99"/>
      <c r="I37" s="97" t="str">
        <f t="shared" si="2"/>
        <v/>
      </c>
    </row>
    <row r="38" spans="1:9" s="97" customFormat="1" ht="16.5">
      <c r="A38" s="95"/>
      <c r="B38" s="96"/>
      <c r="C38" s="97" t="str">
        <f t="shared" si="0"/>
        <v/>
      </c>
      <c r="D38" s="98"/>
      <c r="E38" s="99"/>
      <c r="F38" s="97" t="str">
        <f t="shared" si="1"/>
        <v/>
      </c>
      <c r="G38" s="98"/>
      <c r="H38" s="99"/>
      <c r="I38" s="97" t="str">
        <f t="shared" si="2"/>
        <v/>
      </c>
    </row>
    <row r="39" spans="1:9" s="97" customFormat="1" ht="16.5">
      <c r="A39" s="95"/>
      <c r="B39" s="96"/>
      <c r="C39" s="97" t="str">
        <f t="shared" si="0"/>
        <v/>
      </c>
      <c r="D39" s="98"/>
      <c r="E39" s="99"/>
      <c r="F39" s="97" t="str">
        <f t="shared" si="1"/>
        <v/>
      </c>
      <c r="G39" s="98"/>
      <c r="H39" s="99"/>
      <c r="I39" s="97" t="str">
        <f t="shared" si="2"/>
        <v/>
      </c>
    </row>
    <row r="40" spans="1:9" s="97" customFormat="1" ht="16.5">
      <c r="A40" s="95"/>
      <c r="B40" s="96"/>
      <c r="C40" s="97" t="str">
        <f t="shared" si="0"/>
        <v/>
      </c>
      <c r="D40" s="98"/>
      <c r="E40" s="99"/>
      <c r="F40" s="97" t="str">
        <f t="shared" si="1"/>
        <v/>
      </c>
      <c r="G40" s="98"/>
      <c r="H40" s="99"/>
      <c r="I40" s="97" t="str">
        <f t="shared" si="2"/>
        <v/>
      </c>
    </row>
    <row r="41" spans="1:9" s="97" customFormat="1" ht="16.5">
      <c r="A41" s="95"/>
      <c r="B41" s="96"/>
      <c r="C41" s="97" t="str">
        <f t="shared" si="0"/>
        <v/>
      </c>
      <c r="D41" s="98"/>
      <c r="E41" s="99"/>
      <c r="F41" s="97" t="str">
        <f t="shared" si="1"/>
        <v/>
      </c>
      <c r="G41" s="98"/>
      <c r="H41" s="99"/>
      <c r="I41" s="97" t="str">
        <f t="shared" si="2"/>
        <v/>
      </c>
    </row>
    <row r="42" spans="1:9" s="97" customFormat="1" ht="16.5">
      <c r="A42" s="95"/>
      <c r="B42" s="96"/>
      <c r="C42" s="97" t="str">
        <f t="shared" si="0"/>
        <v/>
      </c>
      <c r="D42" s="98"/>
      <c r="E42" s="99"/>
      <c r="F42" s="97" t="str">
        <f t="shared" si="1"/>
        <v/>
      </c>
      <c r="G42" s="98"/>
      <c r="H42" s="99"/>
      <c r="I42" s="97" t="str">
        <f t="shared" si="2"/>
        <v/>
      </c>
    </row>
    <row r="43" spans="1:9" s="97" customFormat="1" ht="16.5">
      <c r="A43" s="95"/>
      <c r="B43" s="96"/>
      <c r="C43" s="97" t="str">
        <f t="shared" si="0"/>
        <v/>
      </c>
      <c r="D43" s="98"/>
      <c r="E43" s="99"/>
      <c r="F43" s="97" t="str">
        <f t="shared" si="1"/>
        <v/>
      </c>
      <c r="G43" s="98"/>
      <c r="H43" s="99"/>
      <c r="I43" s="97" t="str">
        <f t="shared" si="2"/>
        <v/>
      </c>
    </row>
    <row r="44" spans="1:9" s="97" customFormat="1" ht="16.5">
      <c r="A44" s="95"/>
      <c r="B44" s="96"/>
      <c r="C44" s="97" t="str">
        <f t="shared" si="0"/>
        <v/>
      </c>
      <c r="D44" s="98"/>
      <c r="E44" s="99"/>
      <c r="F44" s="97" t="str">
        <f t="shared" si="1"/>
        <v/>
      </c>
      <c r="G44" s="98"/>
      <c r="H44" s="99"/>
      <c r="I44" s="97" t="str">
        <f t="shared" si="2"/>
        <v/>
      </c>
    </row>
    <row r="45" spans="1:9" s="97" customFormat="1" ht="16.5">
      <c r="A45" s="95"/>
      <c r="B45" s="96"/>
      <c r="C45" s="97" t="str">
        <f t="shared" si="0"/>
        <v/>
      </c>
      <c r="D45" s="98"/>
      <c r="E45" s="99"/>
      <c r="F45" s="97" t="str">
        <f t="shared" si="1"/>
        <v/>
      </c>
      <c r="G45" s="98"/>
      <c r="H45" s="99"/>
      <c r="I45" s="97" t="str">
        <f t="shared" si="2"/>
        <v/>
      </c>
    </row>
    <row r="46" spans="1:9" s="97" customFormat="1" ht="16.5">
      <c r="A46" s="95"/>
      <c r="B46" s="96"/>
      <c r="C46" s="97" t="str">
        <f t="shared" si="0"/>
        <v/>
      </c>
      <c r="D46" s="98"/>
      <c r="E46" s="99"/>
      <c r="F46" s="97" t="str">
        <f t="shared" si="1"/>
        <v/>
      </c>
      <c r="G46" s="98"/>
      <c r="H46" s="99"/>
      <c r="I46" s="97" t="str">
        <f t="shared" si="2"/>
        <v/>
      </c>
    </row>
    <row r="47" spans="1:9" s="97" customFormat="1" ht="16.5">
      <c r="A47" s="95"/>
      <c r="B47" s="96"/>
      <c r="C47" s="97" t="str">
        <f t="shared" si="0"/>
        <v/>
      </c>
      <c r="D47" s="98"/>
      <c r="E47" s="99"/>
      <c r="F47" s="97" t="str">
        <f t="shared" si="1"/>
        <v/>
      </c>
      <c r="G47" s="98"/>
      <c r="H47" s="99"/>
      <c r="I47" s="97" t="str">
        <f t="shared" si="2"/>
        <v/>
      </c>
    </row>
    <row r="48" spans="1:9" s="97" customFormat="1" ht="16.5">
      <c r="A48" s="95"/>
      <c r="B48" s="96"/>
      <c r="C48" s="97" t="str">
        <f t="shared" si="0"/>
        <v/>
      </c>
      <c r="D48" s="98"/>
      <c r="E48" s="99"/>
      <c r="F48" s="97" t="str">
        <f t="shared" si="1"/>
        <v/>
      </c>
      <c r="G48" s="98"/>
      <c r="H48" s="99"/>
      <c r="I48" s="97" t="str">
        <f t="shared" si="2"/>
        <v/>
      </c>
    </row>
    <row r="49" spans="1:9" s="97" customFormat="1" ht="16.5">
      <c r="A49" s="95"/>
      <c r="B49" s="96"/>
      <c r="C49" s="97" t="str">
        <f t="shared" si="0"/>
        <v/>
      </c>
      <c r="D49" s="98"/>
      <c r="E49" s="99"/>
      <c r="F49" s="97" t="str">
        <f t="shared" si="1"/>
        <v/>
      </c>
      <c r="G49" s="98"/>
      <c r="H49" s="99"/>
      <c r="I49" s="97" t="str">
        <f t="shared" si="2"/>
        <v/>
      </c>
    </row>
    <row r="50" spans="1:9" s="97" customFormat="1" ht="16.5">
      <c r="A50" s="95"/>
      <c r="B50" s="96"/>
      <c r="C50" s="97" t="str">
        <f t="shared" si="0"/>
        <v/>
      </c>
      <c r="D50" s="98"/>
      <c r="E50" s="99"/>
      <c r="F50" s="97" t="str">
        <f t="shared" si="1"/>
        <v/>
      </c>
      <c r="G50" s="98"/>
      <c r="H50" s="99"/>
      <c r="I50" s="97" t="str">
        <f t="shared" si="2"/>
        <v/>
      </c>
    </row>
    <row r="51" spans="1:9" s="97" customFormat="1" ht="16.5">
      <c r="A51" s="95"/>
      <c r="B51" s="96"/>
      <c r="C51" s="97" t="str">
        <f t="shared" si="0"/>
        <v/>
      </c>
      <c r="D51" s="98"/>
      <c r="E51" s="99"/>
      <c r="F51" s="97" t="str">
        <f t="shared" si="1"/>
        <v/>
      </c>
      <c r="G51" s="98"/>
      <c r="H51" s="99"/>
      <c r="I51" s="97" t="str">
        <f t="shared" si="2"/>
        <v/>
      </c>
    </row>
    <row r="52" spans="1:9" s="97" customFormat="1" ht="16.5">
      <c r="A52" s="95"/>
      <c r="B52" s="96"/>
      <c r="C52" s="97" t="str">
        <f t="shared" si="0"/>
        <v/>
      </c>
      <c r="D52" s="98"/>
      <c r="E52" s="99"/>
      <c r="F52" s="97" t="str">
        <f t="shared" si="1"/>
        <v/>
      </c>
      <c r="G52" s="98"/>
      <c r="H52" s="99"/>
      <c r="I52" s="97" t="str">
        <f t="shared" si="2"/>
        <v/>
      </c>
    </row>
    <row r="53" spans="1:9" s="97" customFormat="1" ht="16.5">
      <c r="A53" s="95"/>
      <c r="B53" s="96"/>
      <c r="C53" s="97" t="str">
        <f t="shared" si="0"/>
        <v/>
      </c>
      <c r="D53" s="98"/>
      <c r="E53" s="99"/>
      <c r="F53" s="97" t="str">
        <f t="shared" si="1"/>
        <v/>
      </c>
      <c r="G53" s="98"/>
      <c r="H53" s="99"/>
      <c r="I53" s="97" t="str">
        <f t="shared" si="2"/>
        <v/>
      </c>
    </row>
    <row r="54" spans="1:9" s="97" customFormat="1" ht="16.5">
      <c r="A54" s="95"/>
      <c r="B54" s="96"/>
      <c r="C54" s="97" t="str">
        <f t="shared" si="0"/>
        <v/>
      </c>
      <c r="D54" s="98"/>
      <c r="E54" s="99"/>
      <c r="F54" s="97" t="str">
        <f t="shared" si="1"/>
        <v/>
      </c>
      <c r="G54" s="98"/>
      <c r="H54" s="99"/>
      <c r="I54" s="97" t="str">
        <f t="shared" si="2"/>
        <v/>
      </c>
    </row>
    <row r="55" spans="1:9" s="97" customFormat="1" ht="16.5">
      <c r="A55" s="95"/>
      <c r="B55" s="96"/>
      <c r="C55" s="97" t="str">
        <f t="shared" si="0"/>
        <v/>
      </c>
      <c r="D55" s="98"/>
      <c r="E55" s="99"/>
      <c r="F55" s="97" t="str">
        <f t="shared" si="1"/>
        <v/>
      </c>
      <c r="G55" s="98"/>
      <c r="H55" s="99"/>
      <c r="I55" s="97" t="str">
        <f t="shared" si="2"/>
        <v/>
      </c>
    </row>
    <row r="56" spans="1:9" s="97" customFormat="1" ht="16.5">
      <c r="A56" s="95"/>
      <c r="B56" s="96"/>
      <c r="C56" s="97" t="str">
        <f t="shared" si="0"/>
        <v/>
      </c>
      <c r="D56" s="98"/>
      <c r="E56" s="99"/>
      <c r="F56" s="97" t="str">
        <f t="shared" si="1"/>
        <v/>
      </c>
      <c r="G56" s="98"/>
      <c r="H56" s="99"/>
      <c r="I56" s="97" t="str">
        <f t="shared" si="2"/>
        <v/>
      </c>
    </row>
    <row r="57" spans="1:9" s="97" customFormat="1" ht="16.5">
      <c r="A57" s="95"/>
      <c r="B57" s="96"/>
      <c r="C57" s="97" t="str">
        <f t="shared" si="0"/>
        <v/>
      </c>
      <c r="D57" s="98"/>
      <c r="E57" s="99"/>
      <c r="F57" s="97" t="str">
        <f t="shared" si="1"/>
        <v/>
      </c>
      <c r="G57" s="98"/>
      <c r="H57" s="99"/>
      <c r="I57" s="97" t="str">
        <f t="shared" si="2"/>
        <v/>
      </c>
    </row>
    <row r="58" spans="1:9" s="97" customFormat="1" ht="16.5">
      <c r="A58" s="95"/>
      <c r="B58" s="96"/>
      <c r="C58" s="97" t="str">
        <f t="shared" si="0"/>
        <v/>
      </c>
      <c r="D58" s="98"/>
      <c r="E58" s="99"/>
      <c r="F58" s="97" t="str">
        <f t="shared" si="1"/>
        <v/>
      </c>
      <c r="G58" s="98"/>
      <c r="H58" s="99"/>
      <c r="I58" s="97" t="str">
        <f t="shared" si="2"/>
        <v/>
      </c>
    </row>
    <row r="59" spans="1:9" s="97" customFormat="1" ht="16.5">
      <c r="A59" s="95"/>
      <c r="B59" s="96"/>
      <c r="C59" s="97" t="str">
        <f t="shared" si="0"/>
        <v/>
      </c>
      <c r="D59" s="98"/>
      <c r="E59" s="99"/>
      <c r="F59" s="97" t="str">
        <f t="shared" si="1"/>
        <v/>
      </c>
      <c r="G59" s="98"/>
      <c r="H59" s="99"/>
      <c r="I59" s="97" t="str">
        <f t="shared" si="2"/>
        <v/>
      </c>
    </row>
    <row r="60" spans="1:9" s="97" customFormat="1" ht="16.5">
      <c r="A60" s="95"/>
      <c r="B60" s="96"/>
      <c r="C60" s="97" t="str">
        <f t="shared" si="0"/>
        <v/>
      </c>
      <c r="D60" s="98"/>
      <c r="E60" s="99"/>
      <c r="F60" s="97" t="str">
        <f t="shared" si="1"/>
        <v/>
      </c>
      <c r="G60" s="98"/>
      <c r="H60" s="99"/>
      <c r="I60" s="97" t="str">
        <f t="shared" si="2"/>
        <v/>
      </c>
    </row>
    <row r="61" spans="1:9" s="97" customFormat="1" ht="16.5">
      <c r="A61" s="95"/>
      <c r="B61" s="96"/>
      <c r="C61" s="97" t="str">
        <f t="shared" si="0"/>
        <v/>
      </c>
      <c r="D61" s="98"/>
      <c r="E61" s="99"/>
      <c r="F61" s="97" t="str">
        <f t="shared" si="1"/>
        <v/>
      </c>
      <c r="G61" s="98"/>
      <c r="H61" s="99"/>
      <c r="I61" s="97" t="str">
        <f t="shared" si="2"/>
        <v/>
      </c>
    </row>
    <row r="62" spans="1:9" s="97" customFormat="1" ht="16.5">
      <c r="A62" s="95"/>
      <c r="B62" s="96"/>
      <c r="C62" s="97" t="str">
        <f t="shared" si="0"/>
        <v/>
      </c>
      <c r="D62" s="98"/>
      <c r="E62" s="99"/>
      <c r="F62" s="97" t="str">
        <f t="shared" si="1"/>
        <v/>
      </c>
      <c r="G62" s="98"/>
      <c r="H62" s="99"/>
      <c r="I62" s="97" t="str">
        <f t="shared" si="2"/>
        <v/>
      </c>
    </row>
    <row r="63" spans="1:9" s="97" customFormat="1" ht="16.5">
      <c r="A63" s="95"/>
      <c r="B63" s="96"/>
      <c r="C63" s="97" t="str">
        <f t="shared" si="0"/>
        <v/>
      </c>
      <c r="D63" s="98"/>
      <c r="E63" s="99"/>
      <c r="F63" s="97" t="str">
        <f t="shared" si="1"/>
        <v/>
      </c>
      <c r="G63" s="98"/>
      <c r="H63" s="99"/>
      <c r="I63" s="97" t="str">
        <f t="shared" si="2"/>
        <v/>
      </c>
    </row>
    <row r="64" spans="1:9" s="97" customFormat="1" ht="16.5">
      <c r="A64" s="95"/>
      <c r="B64" s="96"/>
      <c r="C64" s="97" t="str">
        <f t="shared" si="0"/>
        <v/>
      </c>
      <c r="D64" s="98"/>
      <c r="E64" s="99"/>
      <c r="F64" s="97" t="str">
        <f t="shared" si="1"/>
        <v/>
      </c>
      <c r="G64" s="98"/>
      <c r="H64" s="99"/>
      <c r="I64" s="97" t="str">
        <f t="shared" si="2"/>
        <v/>
      </c>
    </row>
    <row r="65" spans="1:9" s="97" customFormat="1" ht="16.5">
      <c r="A65" s="95"/>
      <c r="B65" s="96"/>
      <c r="C65" s="97" t="str">
        <f t="shared" si="0"/>
        <v/>
      </c>
      <c r="D65" s="98"/>
      <c r="E65" s="99"/>
      <c r="F65" s="97" t="str">
        <f t="shared" si="1"/>
        <v/>
      </c>
      <c r="G65" s="98"/>
      <c r="H65" s="99"/>
      <c r="I65" s="97" t="str">
        <f t="shared" si="2"/>
        <v/>
      </c>
    </row>
    <row r="66" spans="1:9" s="97" customFormat="1" ht="16.5">
      <c r="A66" s="95"/>
      <c r="B66" s="96"/>
      <c r="C66" s="97" t="str">
        <f t="shared" si="0"/>
        <v/>
      </c>
      <c r="D66" s="98"/>
      <c r="E66" s="99"/>
      <c r="F66" s="97" t="str">
        <f t="shared" si="1"/>
        <v/>
      </c>
      <c r="G66" s="98"/>
      <c r="H66" s="99"/>
      <c r="I66" s="97" t="str">
        <f t="shared" si="2"/>
        <v/>
      </c>
    </row>
    <row r="67" spans="1:9" s="97" customFormat="1" ht="16.5">
      <c r="A67" s="95"/>
      <c r="B67" s="96"/>
      <c r="C67" s="97" t="str">
        <f t="shared" si="0"/>
        <v/>
      </c>
      <c r="D67" s="98"/>
      <c r="E67" s="99"/>
      <c r="F67" s="97" t="str">
        <f t="shared" si="1"/>
        <v/>
      </c>
      <c r="G67" s="98"/>
      <c r="H67" s="99"/>
      <c r="I67" s="97" t="str">
        <f t="shared" si="2"/>
        <v/>
      </c>
    </row>
    <row r="68" spans="1:9" s="97" customFormat="1" ht="16.5">
      <c r="A68" s="95"/>
      <c r="B68" s="96"/>
      <c r="C68" s="97" t="str">
        <f t="shared" si="0"/>
        <v/>
      </c>
      <c r="D68" s="98"/>
      <c r="E68" s="99"/>
      <c r="F68" s="97" t="str">
        <f t="shared" si="1"/>
        <v/>
      </c>
      <c r="G68" s="98"/>
      <c r="H68" s="99"/>
      <c r="I68" s="97" t="str">
        <f t="shared" si="2"/>
        <v/>
      </c>
    </row>
    <row r="69" spans="1:9" s="97" customFormat="1" ht="16.5">
      <c r="A69" s="95"/>
      <c r="B69" s="96"/>
      <c r="C69" s="97" t="str">
        <f t="shared" ref="C69:C132" si="3">IF(B69&gt;0,TEXT(B69,"(aaa)"),"")</f>
        <v/>
      </c>
      <c r="D69" s="98"/>
      <c r="E69" s="99"/>
      <c r="F69" s="97" t="str">
        <f t="shared" ref="F69:F132" si="4">IF(E69&gt;0,TEXT(E69,"(aaa)"),"")</f>
        <v/>
      </c>
      <c r="G69" s="98"/>
      <c r="H69" s="99"/>
      <c r="I69" s="97" t="str">
        <f t="shared" ref="I69:I132" si="5">IF(H69&gt;0,TEXT(H69,"(aaa)"),"")</f>
        <v/>
      </c>
    </row>
    <row r="70" spans="1:9" s="97" customFormat="1" ht="16.5">
      <c r="A70" s="95"/>
      <c r="B70" s="96"/>
      <c r="C70" s="97" t="str">
        <f t="shared" si="3"/>
        <v/>
      </c>
      <c r="D70" s="98"/>
      <c r="E70" s="99"/>
      <c r="F70" s="97" t="str">
        <f t="shared" si="4"/>
        <v/>
      </c>
      <c r="G70" s="98"/>
      <c r="H70" s="99"/>
      <c r="I70" s="97" t="str">
        <f t="shared" si="5"/>
        <v/>
      </c>
    </row>
    <row r="71" spans="1:9" s="97" customFormat="1" ht="16.5">
      <c r="A71" s="95"/>
      <c r="B71" s="96"/>
      <c r="C71" s="97" t="str">
        <f t="shared" si="3"/>
        <v/>
      </c>
      <c r="D71" s="98"/>
      <c r="E71" s="99"/>
      <c r="F71" s="97" t="str">
        <f t="shared" si="4"/>
        <v/>
      </c>
      <c r="G71" s="98"/>
      <c r="H71" s="99"/>
      <c r="I71" s="97" t="str">
        <f t="shared" si="5"/>
        <v/>
      </c>
    </row>
    <row r="72" spans="1:9" s="97" customFormat="1" ht="16.5">
      <c r="A72" s="95"/>
      <c r="B72" s="96"/>
      <c r="C72" s="97" t="str">
        <f t="shared" si="3"/>
        <v/>
      </c>
      <c r="D72" s="98"/>
      <c r="E72" s="99"/>
      <c r="F72" s="97" t="str">
        <f t="shared" si="4"/>
        <v/>
      </c>
      <c r="G72" s="98"/>
      <c r="H72" s="99"/>
      <c r="I72" s="97" t="str">
        <f t="shared" si="5"/>
        <v/>
      </c>
    </row>
    <row r="73" spans="1:9" s="97" customFormat="1" ht="16.5">
      <c r="A73" s="95"/>
      <c r="B73" s="96"/>
      <c r="C73" s="97" t="str">
        <f t="shared" si="3"/>
        <v/>
      </c>
      <c r="D73" s="98"/>
      <c r="E73" s="99"/>
      <c r="F73" s="97" t="str">
        <f t="shared" si="4"/>
        <v/>
      </c>
      <c r="G73" s="98"/>
      <c r="H73" s="99"/>
      <c r="I73" s="97" t="str">
        <f t="shared" si="5"/>
        <v/>
      </c>
    </row>
    <row r="74" spans="1:9" s="97" customFormat="1" ht="16.5">
      <c r="A74" s="95"/>
      <c r="B74" s="96"/>
      <c r="C74" s="97" t="str">
        <f t="shared" si="3"/>
        <v/>
      </c>
      <c r="D74" s="98"/>
      <c r="E74" s="99"/>
      <c r="F74" s="97" t="str">
        <f t="shared" si="4"/>
        <v/>
      </c>
      <c r="G74" s="98"/>
      <c r="H74" s="99"/>
      <c r="I74" s="97" t="str">
        <f t="shared" si="5"/>
        <v/>
      </c>
    </row>
    <row r="75" spans="1:9" s="97" customFormat="1" ht="16.5">
      <c r="A75" s="95"/>
      <c r="B75" s="96"/>
      <c r="C75" s="97" t="str">
        <f t="shared" si="3"/>
        <v/>
      </c>
      <c r="D75" s="98"/>
      <c r="E75" s="99"/>
      <c r="F75" s="97" t="str">
        <f t="shared" si="4"/>
        <v/>
      </c>
      <c r="G75" s="98"/>
      <c r="H75" s="99"/>
      <c r="I75" s="97" t="str">
        <f t="shared" si="5"/>
        <v/>
      </c>
    </row>
    <row r="76" spans="1:9" s="97" customFormat="1" ht="16.5">
      <c r="A76" s="95"/>
      <c r="B76" s="96"/>
      <c r="C76" s="97" t="str">
        <f t="shared" si="3"/>
        <v/>
      </c>
      <c r="D76" s="98"/>
      <c r="E76" s="99"/>
      <c r="F76" s="97" t="str">
        <f t="shared" si="4"/>
        <v/>
      </c>
      <c r="G76" s="98"/>
      <c r="H76" s="99"/>
      <c r="I76" s="97" t="str">
        <f t="shared" si="5"/>
        <v/>
      </c>
    </row>
    <row r="77" spans="1:9" s="97" customFormat="1" ht="16.5">
      <c r="A77" s="95"/>
      <c r="B77" s="96"/>
      <c r="C77" s="97" t="str">
        <f t="shared" si="3"/>
        <v/>
      </c>
      <c r="D77" s="98"/>
      <c r="E77" s="99"/>
      <c r="F77" s="97" t="str">
        <f t="shared" si="4"/>
        <v/>
      </c>
      <c r="G77" s="98"/>
      <c r="H77" s="99"/>
      <c r="I77" s="97" t="str">
        <f t="shared" si="5"/>
        <v/>
      </c>
    </row>
    <row r="78" spans="1:9" s="97" customFormat="1" ht="16.5">
      <c r="A78" s="95"/>
      <c r="B78" s="96"/>
      <c r="C78" s="97" t="str">
        <f t="shared" si="3"/>
        <v/>
      </c>
      <c r="D78" s="98"/>
      <c r="E78" s="99"/>
      <c r="F78" s="97" t="str">
        <f t="shared" si="4"/>
        <v/>
      </c>
      <c r="G78" s="98"/>
      <c r="H78" s="99"/>
      <c r="I78" s="97" t="str">
        <f t="shared" si="5"/>
        <v/>
      </c>
    </row>
    <row r="79" spans="1:9" s="97" customFormat="1" ht="16.5">
      <c r="A79" s="95"/>
      <c r="B79" s="96"/>
      <c r="C79" s="97" t="str">
        <f t="shared" si="3"/>
        <v/>
      </c>
      <c r="D79" s="98"/>
      <c r="E79" s="99"/>
      <c r="F79" s="97" t="str">
        <f t="shared" si="4"/>
        <v/>
      </c>
      <c r="G79" s="98"/>
      <c r="H79" s="99"/>
      <c r="I79" s="97" t="str">
        <f t="shared" si="5"/>
        <v/>
      </c>
    </row>
    <row r="80" spans="1:9" s="97" customFormat="1" ht="16.5">
      <c r="A80" s="95"/>
      <c r="B80" s="96"/>
      <c r="C80" s="97" t="str">
        <f t="shared" si="3"/>
        <v/>
      </c>
      <c r="D80" s="98"/>
      <c r="E80" s="99"/>
      <c r="F80" s="97" t="str">
        <f t="shared" si="4"/>
        <v/>
      </c>
      <c r="G80" s="98"/>
      <c r="H80" s="99"/>
      <c r="I80" s="97" t="str">
        <f t="shared" si="5"/>
        <v/>
      </c>
    </row>
    <row r="81" spans="1:9" s="97" customFormat="1" ht="16.5">
      <c r="A81" s="95"/>
      <c r="B81" s="96"/>
      <c r="C81" s="97" t="str">
        <f t="shared" si="3"/>
        <v/>
      </c>
      <c r="D81" s="98"/>
      <c r="E81" s="99"/>
      <c r="F81" s="97" t="str">
        <f t="shared" si="4"/>
        <v/>
      </c>
      <c r="G81" s="98"/>
      <c r="H81" s="99"/>
      <c r="I81" s="97" t="str">
        <f t="shared" si="5"/>
        <v/>
      </c>
    </row>
    <row r="82" spans="1:9" s="97" customFormat="1" ht="16.5">
      <c r="A82" s="95"/>
      <c r="B82" s="96"/>
      <c r="C82" s="97" t="str">
        <f t="shared" si="3"/>
        <v/>
      </c>
      <c r="D82" s="98"/>
      <c r="E82" s="99"/>
      <c r="F82" s="97" t="str">
        <f t="shared" si="4"/>
        <v/>
      </c>
      <c r="G82" s="98"/>
      <c r="H82" s="99"/>
      <c r="I82" s="97" t="str">
        <f t="shared" si="5"/>
        <v/>
      </c>
    </row>
    <row r="83" spans="1:9" s="97" customFormat="1" ht="16.5">
      <c r="A83" s="95"/>
      <c r="B83" s="96"/>
      <c r="C83" s="97" t="str">
        <f t="shared" si="3"/>
        <v/>
      </c>
      <c r="D83" s="98"/>
      <c r="E83" s="99"/>
      <c r="F83" s="97" t="str">
        <f t="shared" si="4"/>
        <v/>
      </c>
      <c r="G83" s="98"/>
      <c r="H83" s="99"/>
      <c r="I83" s="97" t="str">
        <f t="shared" si="5"/>
        <v/>
      </c>
    </row>
    <row r="84" spans="1:9" s="97" customFormat="1" ht="16.5">
      <c r="A84" s="95"/>
      <c r="B84" s="96"/>
      <c r="C84" s="97" t="str">
        <f t="shared" si="3"/>
        <v/>
      </c>
      <c r="D84" s="98"/>
      <c r="E84" s="99"/>
      <c r="F84" s="97" t="str">
        <f t="shared" si="4"/>
        <v/>
      </c>
      <c r="G84" s="98"/>
      <c r="H84" s="99"/>
      <c r="I84" s="97" t="str">
        <f t="shared" si="5"/>
        <v/>
      </c>
    </row>
    <row r="85" spans="1:9" s="97" customFormat="1" ht="16.5">
      <c r="A85" s="95"/>
      <c r="B85" s="96"/>
      <c r="C85" s="97" t="str">
        <f t="shared" si="3"/>
        <v/>
      </c>
      <c r="D85" s="98"/>
      <c r="E85" s="99"/>
      <c r="F85" s="97" t="str">
        <f t="shared" si="4"/>
        <v/>
      </c>
      <c r="G85" s="98"/>
      <c r="H85" s="99"/>
      <c r="I85" s="97" t="str">
        <f t="shared" si="5"/>
        <v/>
      </c>
    </row>
    <row r="86" spans="1:9" s="97" customFormat="1" ht="16.5">
      <c r="A86" s="95"/>
      <c r="B86" s="96"/>
      <c r="C86" s="97" t="str">
        <f t="shared" si="3"/>
        <v/>
      </c>
      <c r="D86" s="98"/>
      <c r="E86" s="99"/>
      <c r="F86" s="97" t="str">
        <f t="shared" si="4"/>
        <v/>
      </c>
      <c r="G86" s="98"/>
      <c r="H86" s="99"/>
      <c r="I86" s="97" t="str">
        <f t="shared" si="5"/>
        <v/>
      </c>
    </row>
    <row r="87" spans="1:9" s="97" customFormat="1" ht="16.5">
      <c r="A87" s="95"/>
      <c r="B87" s="96"/>
      <c r="C87" s="97" t="str">
        <f t="shared" si="3"/>
        <v/>
      </c>
      <c r="D87" s="98"/>
      <c r="E87" s="99"/>
      <c r="F87" s="97" t="str">
        <f t="shared" si="4"/>
        <v/>
      </c>
      <c r="G87" s="98"/>
      <c r="H87" s="99"/>
      <c r="I87" s="97" t="str">
        <f t="shared" si="5"/>
        <v/>
      </c>
    </row>
    <row r="88" spans="1:9" s="97" customFormat="1" ht="16.5">
      <c r="A88" s="95"/>
      <c r="B88" s="96"/>
      <c r="C88" s="97" t="str">
        <f t="shared" si="3"/>
        <v/>
      </c>
      <c r="D88" s="98"/>
      <c r="E88" s="99"/>
      <c r="F88" s="97" t="str">
        <f t="shared" si="4"/>
        <v/>
      </c>
      <c r="G88" s="98"/>
      <c r="H88" s="99"/>
      <c r="I88" s="97" t="str">
        <f t="shared" si="5"/>
        <v/>
      </c>
    </row>
    <row r="89" spans="1:9" s="97" customFormat="1" ht="16.5">
      <c r="A89" s="95"/>
      <c r="B89" s="96"/>
      <c r="C89" s="97" t="str">
        <f t="shared" si="3"/>
        <v/>
      </c>
      <c r="D89" s="98"/>
      <c r="E89" s="99"/>
      <c r="F89" s="97" t="str">
        <f t="shared" si="4"/>
        <v/>
      </c>
      <c r="G89" s="98"/>
      <c r="H89" s="99"/>
      <c r="I89" s="97" t="str">
        <f t="shared" si="5"/>
        <v/>
      </c>
    </row>
    <row r="90" spans="1:9" s="97" customFormat="1" ht="16.5">
      <c r="A90" s="95"/>
      <c r="B90" s="96"/>
      <c r="C90" s="97" t="str">
        <f t="shared" si="3"/>
        <v/>
      </c>
      <c r="D90" s="98"/>
      <c r="E90" s="99"/>
      <c r="F90" s="97" t="str">
        <f t="shared" si="4"/>
        <v/>
      </c>
      <c r="G90" s="98"/>
      <c r="H90" s="99"/>
      <c r="I90" s="97" t="str">
        <f t="shared" si="5"/>
        <v/>
      </c>
    </row>
    <row r="91" spans="1:9" s="97" customFormat="1" ht="16.5">
      <c r="A91" s="95"/>
      <c r="B91" s="96"/>
      <c r="C91" s="97" t="str">
        <f t="shared" si="3"/>
        <v/>
      </c>
      <c r="D91" s="98"/>
      <c r="E91" s="99"/>
      <c r="F91" s="97" t="str">
        <f t="shared" si="4"/>
        <v/>
      </c>
      <c r="G91" s="98"/>
      <c r="H91" s="99"/>
      <c r="I91" s="97" t="str">
        <f t="shared" si="5"/>
        <v/>
      </c>
    </row>
    <row r="92" spans="1:9" s="97" customFormat="1" ht="16.5">
      <c r="A92" s="95"/>
      <c r="B92" s="96"/>
      <c r="C92" s="97" t="str">
        <f t="shared" si="3"/>
        <v/>
      </c>
      <c r="D92" s="98"/>
      <c r="E92" s="99"/>
      <c r="F92" s="97" t="str">
        <f t="shared" si="4"/>
        <v/>
      </c>
      <c r="G92" s="98"/>
      <c r="H92" s="99"/>
      <c r="I92" s="97" t="str">
        <f t="shared" si="5"/>
        <v/>
      </c>
    </row>
    <row r="93" spans="1:9" s="97" customFormat="1" ht="16.5">
      <c r="A93" s="95"/>
      <c r="B93" s="96"/>
      <c r="C93" s="97" t="str">
        <f t="shared" si="3"/>
        <v/>
      </c>
      <c r="D93" s="98"/>
      <c r="E93" s="99"/>
      <c r="F93" s="97" t="str">
        <f t="shared" si="4"/>
        <v/>
      </c>
      <c r="G93" s="98"/>
      <c r="H93" s="99"/>
      <c r="I93" s="97" t="str">
        <f t="shared" si="5"/>
        <v/>
      </c>
    </row>
    <row r="94" spans="1:9" s="97" customFormat="1" ht="16.5">
      <c r="A94" s="95"/>
      <c r="B94" s="96"/>
      <c r="C94" s="97" t="str">
        <f t="shared" si="3"/>
        <v/>
      </c>
      <c r="D94" s="98"/>
      <c r="E94" s="99"/>
      <c r="F94" s="97" t="str">
        <f t="shared" si="4"/>
        <v/>
      </c>
      <c r="G94" s="98"/>
      <c r="H94" s="99"/>
      <c r="I94" s="97" t="str">
        <f t="shared" si="5"/>
        <v/>
      </c>
    </row>
    <row r="95" spans="1:9" s="97" customFormat="1" ht="16.5">
      <c r="A95" s="95"/>
      <c r="B95" s="96"/>
      <c r="C95" s="97" t="str">
        <f t="shared" si="3"/>
        <v/>
      </c>
      <c r="D95" s="98"/>
      <c r="E95" s="99"/>
      <c r="F95" s="97" t="str">
        <f t="shared" si="4"/>
        <v/>
      </c>
      <c r="G95" s="98"/>
      <c r="H95" s="99"/>
      <c r="I95" s="97" t="str">
        <f t="shared" si="5"/>
        <v/>
      </c>
    </row>
    <row r="96" spans="1:9" s="97" customFormat="1" ht="16.5">
      <c r="A96" s="95"/>
      <c r="B96" s="96"/>
      <c r="C96" s="97" t="str">
        <f t="shared" si="3"/>
        <v/>
      </c>
      <c r="D96" s="98"/>
      <c r="E96" s="99"/>
      <c r="F96" s="97" t="str">
        <f t="shared" si="4"/>
        <v/>
      </c>
      <c r="G96" s="98"/>
      <c r="H96" s="99"/>
      <c r="I96" s="97" t="str">
        <f t="shared" si="5"/>
        <v/>
      </c>
    </row>
    <row r="97" spans="1:9" s="97" customFormat="1" ht="16.5">
      <c r="A97" s="95"/>
      <c r="B97" s="96"/>
      <c r="C97" s="97" t="str">
        <f t="shared" si="3"/>
        <v/>
      </c>
      <c r="D97" s="98"/>
      <c r="E97" s="99"/>
      <c r="F97" s="97" t="str">
        <f t="shared" si="4"/>
        <v/>
      </c>
      <c r="G97" s="98"/>
      <c r="H97" s="99"/>
      <c r="I97" s="97" t="str">
        <f t="shared" si="5"/>
        <v/>
      </c>
    </row>
    <row r="98" spans="1:9" s="97" customFormat="1" ht="16.5">
      <c r="A98" s="95"/>
      <c r="B98" s="96"/>
      <c r="C98" s="97" t="str">
        <f t="shared" si="3"/>
        <v/>
      </c>
      <c r="D98" s="98"/>
      <c r="E98" s="99"/>
      <c r="F98" s="97" t="str">
        <f t="shared" si="4"/>
        <v/>
      </c>
      <c r="G98" s="98"/>
      <c r="H98" s="99"/>
      <c r="I98" s="97" t="str">
        <f t="shared" si="5"/>
        <v/>
      </c>
    </row>
    <row r="99" spans="1:9" s="97" customFormat="1" ht="16.5">
      <c r="A99" s="95"/>
      <c r="B99" s="96"/>
      <c r="C99" s="97" t="str">
        <f t="shared" si="3"/>
        <v/>
      </c>
      <c r="D99" s="98"/>
      <c r="E99" s="99"/>
      <c r="F99" s="97" t="str">
        <f t="shared" si="4"/>
        <v/>
      </c>
      <c r="G99" s="98"/>
      <c r="H99" s="99"/>
      <c r="I99" s="97" t="str">
        <f t="shared" si="5"/>
        <v/>
      </c>
    </row>
    <row r="100" spans="1:9" s="97" customFormat="1" ht="16.5">
      <c r="A100" s="95"/>
      <c r="B100" s="96"/>
      <c r="C100" s="97" t="str">
        <f t="shared" si="3"/>
        <v/>
      </c>
      <c r="D100" s="98"/>
      <c r="E100" s="99"/>
      <c r="F100" s="97" t="str">
        <f t="shared" si="4"/>
        <v/>
      </c>
      <c r="G100" s="98"/>
      <c r="H100" s="99"/>
      <c r="I100" s="97" t="str">
        <f t="shared" si="5"/>
        <v/>
      </c>
    </row>
    <row r="101" spans="1:9" s="97" customFormat="1" ht="16.5">
      <c r="A101" s="95"/>
      <c r="B101" s="96"/>
      <c r="C101" s="97" t="str">
        <f t="shared" si="3"/>
        <v/>
      </c>
      <c r="D101" s="98"/>
      <c r="E101" s="99"/>
      <c r="F101" s="97" t="str">
        <f t="shared" si="4"/>
        <v/>
      </c>
      <c r="G101" s="98"/>
      <c r="H101" s="99"/>
      <c r="I101" s="97" t="str">
        <f t="shared" si="5"/>
        <v/>
      </c>
    </row>
    <row r="102" spans="1:9" s="97" customFormat="1" ht="16.5">
      <c r="A102" s="95"/>
      <c r="B102" s="96"/>
      <c r="C102" s="97" t="str">
        <f t="shared" si="3"/>
        <v/>
      </c>
      <c r="D102" s="98"/>
      <c r="E102" s="99"/>
      <c r="F102" s="97" t="str">
        <f t="shared" si="4"/>
        <v/>
      </c>
      <c r="G102" s="98"/>
      <c r="H102" s="99"/>
      <c r="I102" s="97" t="str">
        <f t="shared" si="5"/>
        <v/>
      </c>
    </row>
    <row r="103" spans="1:9" s="97" customFormat="1" ht="16.5">
      <c r="A103" s="95"/>
      <c r="B103" s="96"/>
      <c r="C103" s="97" t="str">
        <f t="shared" si="3"/>
        <v/>
      </c>
      <c r="D103" s="98"/>
      <c r="E103" s="99"/>
      <c r="F103" s="97" t="str">
        <f t="shared" si="4"/>
        <v/>
      </c>
      <c r="G103" s="98"/>
      <c r="H103" s="99"/>
      <c r="I103" s="97" t="str">
        <f t="shared" si="5"/>
        <v/>
      </c>
    </row>
    <row r="104" spans="1:9" s="97" customFormat="1" ht="16.5">
      <c r="A104" s="95"/>
      <c r="B104" s="96"/>
      <c r="C104" s="97" t="str">
        <f t="shared" si="3"/>
        <v/>
      </c>
      <c r="D104" s="98"/>
      <c r="E104" s="99"/>
      <c r="F104" s="97" t="str">
        <f t="shared" si="4"/>
        <v/>
      </c>
      <c r="G104" s="98"/>
      <c r="H104" s="99"/>
      <c r="I104" s="97" t="str">
        <f t="shared" si="5"/>
        <v/>
      </c>
    </row>
    <row r="105" spans="1:9" s="97" customFormat="1" ht="16.5">
      <c r="A105" s="95"/>
      <c r="B105" s="96"/>
      <c r="C105" s="97" t="str">
        <f t="shared" si="3"/>
        <v/>
      </c>
      <c r="D105" s="98"/>
      <c r="E105" s="99"/>
      <c r="F105" s="97" t="str">
        <f t="shared" si="4"/>
        <v/>
      </c>
      <c r="G105" s="98"/>
      <c r="H105" s="99"/>
      <c r="I105" s="97" t="str">
        <f t="shared" si="5"/>
        <v/>
      </c>
    </row>
    <row r="106" spans="1:9" s="97" customFormat="1" ht="16.5">
      <c r="A106" s="95"/>
      <c r="B106" s="96"/>
      <c r="C106" s="97" t="str">
        <f t="shared" si="3"/>
        <v/>
      </c>
      <c r="D106" s="98"/>
      <c r="E106" s="99"/>
      <c r="F106" s="97" t="str">
        <f t="shared" si="4"/>
        <v/>
      </c>
      <c r="G106" s="98"/>
      <c r="H106" s="99"/>
      <c r="I106" s="97" t="str">
        <f t="shared" si="5"/>
        <v/>
      </c>
    </row>
    <row r="107" spans="1:9" s="97" customFormat="1" ht="16.5">
      <c r="A107" s="95"/>
      <c r="B107" s="96"/>
      <c r="C107" s="97" t="str">
        <f t="shared" si="3"/>
        <v/>
      </c>
      <c r="D107" s="98"/>
      <c r="E107" s="99"/>
      <c r="F107" s="97" t="str">
        <f t="shared" si="4"/>
        <v/>
      </c>
      <c r="G107" s="98"/>
      <c r="H107" s="99"/>
      <c r="I107" s="97" t="str">
        <f t="shared" si="5"/>
        <v/>
      </c>
    </row>
    <row r="108" spans="1:9" s="97" customFormat="1" ht="16.5">
      <c r="A108" s="95"/>
      <c r="B108" s="96"/>
      <c r="C108" s="97" t="str">
        <f t="shared" si="3"/>
        <v/>
      </c>
      <c r="D108" s="98"/>
      <c r="E108" s="99"/>
      <c r="F108" s="97" t="str">
        <f t="shared" si="4"/>
        <v/>
      </c>
      <c r="G108" s="98"/>
      <c r="H108" s="99"/>
      <c r="I108" s="97" t="str">
        <f t="shared" si="5"/>
        <v/>
      </c>
    </row>
    <row r="109" spans="1:9" s="97" customFormat="1" ht="16.5">
      <c r="A109" s="95"/>
      <c r="B109" s="96"/>
      <c r="C109" s="97" t="str">
        <f t="shared" si="3"/>
        <v/>
      </c>
      <c r="D109" s="98"/>
      <c r="E109" s="99"/>
      <c r="F109" s="97" t="str">
        <f t="shared" si="4"/>
        <v/>
      </c>
      <c r="G109" s="98"/>
      <c r="H109" s="99"/>
      <c r="I109" s="97" t="str">
        <f t="shared" si="5"/>
        <v/>
      </c>
    </row>
    <row r="110" spans="1:9" s="97" customFormat="1" ht="16.5">
      <c r="A110" s="95"/>
      <c r="B110" s="96"/>
      <c r="C110" s="97" t="str">
        <f t="shared" si="3"/>
        <v/>
      </c>
      <c r="D110" s="98"/>
      <c r="E110" s="99"/>
      <c r="F110" s="97" t="str">
        <f t="shared" si="4"/>
        <v/>
      </c>
      <c r="G110" s="98"/>
      <c r="H110" s="99"/>
      <c r="I110" s="97" t="str">
        <f t="shared" si="5"/>
        <v/>
      </c>
    </row>
    <row r="111" spans="1:9" s="97" customFormat="1" ht="16.5">
      <c r="A111" s="95"/>
      <c r="B111" s="96"/>
      <c r="C111" s="97" t="str">
        <f t="shared" si="3"/>
        <v/>
      </c>
      <c r="D111" s="98"/>
      <c r="E111" s="99"/>
      <c r="F111" s="97" t="str">
        <f t="shared" si="4"/>
        <v/>
      </c>
      <c r="G111" s="98"/>
      <c r="H111" s="99"/>
      <c r="I111" s="97" t="str">
        <f t="shared" si="5"/>
        <v/>
      </c>
    </row>
    <row r="112" spans="1:9" s="97" customFormat="1" ht="16.5">
      <c r="A112" s="95"/>
      <c r="B112" s="96"/>
      <c r="C112" s="97" t="str">
        <f t="shared" si="3"/>
        <v/>
      </c>
      <c r="D112" s="98"/>
      <c r="E112" s="99"/>
      <c r="F112" s="97" t="str">
        <f t="shared" si="4"/>
        <v/>
      </c>
      <c r="G112" s="98"/>
      <c r="H112" s="99"/>
      <c r="I112" s="97" t="str">
        <f t="shared" si="5"/>
        <v/>
      </c>
    </row>
    <row r="113" spans="1:9" s="97" customFormat="1" ht="16.5">
      <c r="A113" s="95"/>
      <c r="B113" s="96"/>
      <c r="C113" s="97" t="str">
        <f t="shared" si="3"/>
        <v/>
      </c>
      <c r="D113" s="98"/>
      <c r="E113" s="99"/>
      <c r="F113" s="97" t="str">
        <f t="shared" si="4"/>
        <v/>
      </c>
      <c r="G113" s="98"/>
      <c r="H113" s="99"/>
      <c r="I113" s="97" t="str">
        <f t="shared" si="5"/>
        <v/>
      </c>
    </row>
    <row r="114" spans="1:9" s="97" customFormat="1" ht="16.5">
      <c r="A114" s="95"/>
      <c r="B114" s="96"/>
      <c r="C114" s="97" t="str">
        <f t="shared" si="3"/>
        <v/>
      </c>
      <c r="D114" s="98"/>
      <c r="E114" s="99"/>
      <c r="F114" s="97" t="str">
        <f t="shared" si="4"/>
        <v/>
      </c>
      <c r="G114" s="98"/>
      <c r="H114" s="99"/>
      <c r="I114" s="97" t="str">
        <f t="shared" si="5"/>
        <v/>
      </c>
    </row>
    <row r="115" spans="1:9" s="97" customFormat="1" ht="16.5">
      <c r="A115" s="95"/>
      <c r="B115" s="96"/>
      <c r="C115" s="97" t="str">
        <f t="shared" si="3"/>
        <v/>
      </c>
      <c r="D115" s="98"/>
      <c r="E115" s="99"/>
      <c r="F115" s="97" t="str">
        <f t="shared" si="4"/>
        <v/>
      </c>
      <c r="G115" s="98"/>
      <c r="H115" s="99"/>
      <c r="I115" s="97" t="str">
        <f t="shared" si="5"/>
        <v/>
      </c>
    </row>
    <row r="116" spans="1:9" s="97" customFormat="1" ht="16.5">
      <c r="A116" s="95"/>
      <c r="B116" s="96"/>
      <c r="C116" s="97" t="str">
        <f t="shared" si="3"/>
        <v/>
      </c>
      <c r="D116" s="98"/>
      <c r="E116" s="99"/>
      <c r="F116" s="97" t="str">
        <f t="shared" si="4"/>
        <v/>
      </c>
      <c r="G116" s="98"/>
      <c r="H116" s="99"/>
      <c r="I116" s="97" t="str">
        <f t="shared" si="5"/>
        <v/>
      </c>
    </row>
    <row r="117" spans="1:9" s="97" customFormat="1" ht="16.5">
      <c r="A117" s="95"/>
      <c r="B117" s="96"/>
      <c r="C117" s="97" t="str">
        <f t="shared" si="3"/>
        <v/>
      </c>
      <c r="D117" s="98"/>
      <c r="E117" s="99"/>
      <c r="F117" s="97" t="str">
        <f t="shared" si="4"/>
        <v/>
      </c>
      <c r="G117" s="98"/>
      <c r="H117" s="99"/>
      <c r="I117" s="97" t="str">
        <f t="shared" si="5"/>
        <v/>
      </c>
    </row>
    <row r="118" spans="1:9" s="97" customFormat="1" ht="16.5">
      <c r="A118" s="95"/>
      <c r="B118" s="96"/>
      <c r="C118" s="97" t="str">
        <f t="shared" si="3"/>
        <v/>
      </c>
      <c r="D118" s="98"/>
      <c r="E118" s="99"/>
      <c r="F118" s="97" t="str">
        <f t="shared" si="4"/>
        <v/>
      </c>
      <c r="G118" s="98"/>
      <c r="H118" s="99"/>
      <c r="I118" s="97" t="str">
        <f t="shared" si="5"/>
        <v/>
      </c>
    </row>
    <row r="119" spans="1:9" s="97" customFormat="1" ht="16.5">
      <c r="A119" s="95"/>
      <c r="B119" s="96"/>
      <c r="C119" s="97" t="str">
        <f t="shared" si="3"/>
        <v/>
      </c>
      <c r="D119" s="98"/>
      <c r="E119" s="99"/>
      <c r="F119" s="97" t="str">
        <f t="shared" si="4"/>
        <v/>
      </c>
      <c r="G119" s="98"/>
      <c r="H119" s="99"/>
      <c r="I119" s="97" t="str">
        <f t="shared" si="5"/>
        <v/>
      </c>
    </row>
    <row r="120" spans="1:9" s="97" customFormat="1" ht="16.5">
      <c r="A120" s="95"/>
      <c r="B120" s="96"/>
      <c r="C120" s="97" t="str">
        <f t="shared" si="3"/>
        <v/>
      </c>
      <c r="D120" s="98"/>
      <c r="E120" s="99"/>
      <c r="F120" s="97" t="str">
        <f t="shared" si="4"/>
        <v/>
      </c>
      <c r="G120" s="98"/>
      <c r="H120" s="99"/>
      <c r="I120" s="97" t="str">
        <f t="shared" si="5"/>
        <v/>
      </c>
    </row>
    <row r="121" spans="1:9" s="97" customFormat="1" ht="16.5">
      <c r="A121" s="95"/>
      <c r="B121" s="96"/>
      <c r="C121" s="97" t="str">
        <f t="shared" si="3"/>
        <v/>
      </c>
      <c r="D121" s="98"/>
      <c r="E121" s="99"/>
      <c r="F121" s="97" t="str">
        <f t="shared" si="4"/>
        <v/>
      </c>
      <c r="G121" s="98"/>
      <c r="H121" s="99"/>
      <c r="I121" s="97" t="str">
        <f t="shared" si="5"/>
        <v/>
      </c>
    </row>
    <row r="122" spans="1:9" s="97" customFormat="1" ht="16.5">
      <c r="A122" s="95"/>
      <c r="B122" s="96"/>
      <c r="C122" s="97" t="str">
        <f t="shared" si="3"/>
        <v/>
      </c>
      <c r="D122" s="98"/>
      <c r="E122" s="99"/>
      <c r="F122" s="97" t="str">
        <f t="shared" si="4"/>
        <v/>
      </c>
      <c r="G122" s="98"/>
      <c r="H122" s="99"/>
      <c r="I122" s="97" t="str">
        <f t="shared" si="5"/>
        <v/>
      </c>
    </row>
    <row r="123" spans="1:9" s="97" customFormat="1" ht="16.5">
      <c r="A123" s="95"/>
      <c r="B123" s="101"/>
      <c r="C123" s="97" t="str">
        <f t="shared" si="3"/>
        <v/>
      </c>
      <c r="D123" s="98"/>
      <c r="E123" s="99"/>
      <c r="F123" s="97" t="str">
        <f t="shared" si="4"/>
        <v/>
      </c>
      <c r="G123" s="98"/>
      <c r="H123" s="99"/>
      <c r="I123" s="97" t="str">
        <f t="shared" si="5"/>
        <v/>
      </c>
    </row>
    <row r="124" spans="1:9" s="97" customFormat="1" ht="16.5">
      <c r="A124" s="95"/>
      <c r="B124" s="96"/>
      <c r="C124" s="97" t="str">
        <f t="shared" si="3"/>
        <v/>
      </c>
      <c r="D124" s="98"/>
      <c r="E124" s="99"/>
      <c r="F124" s="97" t="str">
        <f t="shared" si="4"/>
        <v/>
      </c>
      <c r="G124" s="98"/>
      <c r="H124" s="99"/>
      <c r="I124" s="97" t="str">
        <f t="shared" si="5"/>
        <v/>
      </c>
    </row>
    <row r="125" spans="1:9" s="97" customFormat="1" ht="16.5">
      <c r="A125" s="95"/>
      <c r="B125" s="96"/>
      <c r="C125" s="97" t="str">
        <f t="shared" si="3"/>
        <v/>
      </c>
      <c r="D125" s="98"/>
      <c r="E125" s="99"/>
      <c r="F125" s="97" t="str">
        <f t="shared" si="4"/>
        <v/>
      </c>
      <c r="G125" s="98"/>
      <c r="H125" s="99"/>
      <c r="I125" s="97" t="str">
        <f t="shared" si="5"/>
        <v/>
      </c>
    </row>
    <row r="126" spans="1:9" s="97" customFormat="1" ht="16.5">
      <c r="A126" s="95"/>
      <c r="B126" s="96"/>
      <c r="C126" s="97" t="str">
        <f t="shared" si="3"/>
        <v/>
      </c>
      <c r="D126" s="98"/>
      <c r="E126" s="99"/>
      <c r="F126" s="97" t="str">
        <f t="shared" si="4"/>
        <v/>
      </c>
      <c r="G126" s="98"/>
      <c r="H126" s="99"/>
      <c r="I126" s="97" t="str">
        <f t="shared" si="5"/>
        <v/>
      </c>
    </row>
    <row r="127" spans="1:9" s="97" customFormat="1" ht="16.5">
      <c r="A127" s="95"/>
      <c r="B127" s="96"/>
      <c r="C127" s="97" t="str">
        <f t="shared" si="3"/>
        <v/>
      </c>
      <c r="D127" s="98"/>
      <c r="E127" s="99"/>
      <c r="F127" s="97" t="str">
        <f t="shared" si="4"/>
        <v/>
      </c>
      <c r="G127" s="98"/>
      <c r="H127" s="99"/>
      <c r="I127" s="97" t="str">
        <f t="shared" si="5"/>
        <v/>
      </c>
    </row>
    <row r="128" spans="1:9" s="97" customFormat="1" ht="16.5">
      <c r="A128" s="95"/>
      <c r="B128" s="96"/>
      <c r="C128" s="97" t="str">
        <f t="shared" si="3"/>
        <v/>
      </c>
      <c r="D128" s="98"/>
      <c r="E128" s="99"/>
      <c r="F128" s="97" t="str">
        <f t="shared" si="4"/>
        <v/>
      </c>
      <c r="G128" s="98"/>
      <c r="H128" s="99"/>
      <c r="I128" s="97" t="str">
        <f t="shared" si="5"/>
        <v/>
      </c>
    </row>
    <row r="129" spans="1:9" s="97" customFormat="1" ht="16.5">
      <c r="A129" s="95"/>
      <c r="B129" s="96"/>
      <c r="C129" s="97" t="str">
        <f t="shared" si="3"/>
        <v/>
      </c>
      <c r="D129" s="98"/>
      <c r="E129" s="99"/>
      <c r="F129" s="97" t="str">
        <f t="shared" si="4"/>
        <v/>
      </c>
      <c r="G129" s="98"/>
      <c r="H129" s="99"/>
      <c r="I129" s="97" t="str">
        <f t="shared" si="5"/>
        <v/>
      </c>
    </row>
    <row r="130" spans="1:9" s="97" customFormat="1" ht="16.5">
      <c r="A130" s="95"/>
      <c r="B130" s="96"/>
      <c r="C130" s="97" t="str">
        <f t="shared" si="3"/>
        <v/>
      </c>
      <c r="D130" s="98"/>
      <c r="E130" s="99"/>
      <c r="F130" s="97" t="str">
        <f t="shared" si="4"/>
        <v/>
      </c>
      <c r="G130" s="98"/>
      <c r="H130" s="99"/>
      <c r="I130" s="97" t="str">
        <f t="shared" si="5"/>
        <v/>
      </c>
    </row>
    <row r="131" spans="1:9" s="97" customFormat="1" ht="16.5">
      <c r="A131" s="95"/>
      <c r="B131" s="96"/>
      <c r="C131" s="97" t="str">
        <f t="shared" si="3"/>
        <v/>
      </c>
      <c r="D131" s="98"/>
      <c r="E131" s="99"/>
      <c r="F131" s="97" t="str">
        <f t="shared" si="4"/>
        <v/>
      </c>
      <c r="G131" s="98"/>
      <c r="H131" s="99"/>
      <c r="I131" s="97" t="str">
        <f t="shared" si="5"/>
        <v/>
      </c>
    </row>
    <row r="132" spans="1:9" s="97" customFormat="1" ht="16.5">
      <c r="A132" s="95"/>
      <c r="B132" s="96"/>
      <c r="C132" s="97" t="str">
        <f t="shared" si="3"/>
        <v/>
      </c>
      <c r="D132" s="98"/>
      <c r="E132" s="99"/>
      <c r="F132" s="97" t="str">
        <f t="shared" si="4"/>
        <v/>
      </c>
      <c r="G132" s="98"/>
      <c r="H132" s="99"/>
      <c r="I132" s="97" t="str">
        <f t="shared" si="5"/>
        <v/>
      </c>
    </row>
    <row r="133" spans="1:9" s="97" customFormat="1" ht="16.5">
      <c r="A133" s="95"/>
      <c r="B133" s="96"/>
      <c r="C133" s="97" t="str">
        <f t="shared" ref="C133:C196" si="6">IF(B133&gt;0,TEXT(B133,"(aaa)"),"")</f>
        <v/>
      </c>
      <c r="D133" s="98"/>
      <c r="E133" s="99"/>
      <c r="F133" s="97" t="str">
        <f t="shared" ref="F133:F196" si="7">IF(E133&gt;0,TEXT(E133,"(aaa)"),"")</f>
        <v/>
      </c>
      <c r="G133" s="98"/>
      <c r="H133" s="99"/>
      <c r="I133" s="97" t="str">
        <f t="shared" ref="I133:I196" si="8">IF(H133&gt;0,TEXT(H133,"(aaa)"),"")</f>
        <v/>
      </c>
    </row>
    <row r="134" spans="1:9" s="97" customFormat="1" ht="16.5">
      <c r="A134" s="95"/>
      <c r="B134" s="96"/>
      <c r="C134" s="97" t="str">
        <f t="shared" si="6"/>
        <v/>
      </c>
      <c r="D134" s="98"/>
      <c r="E134" s="99"/>
      <c r="F134" s="97" t="str">
        <f t="shared" si="7"/>
        <v/>
      </c>
      <c r="G134" s="98"/>
      <c r="H134" s="99"/>
      <c r="I134" s="97" t="str">
        <f t="shared" si="8"/>
        <v/>
      </c>
    </row>
    <row r="135" spans="1:9" s="97" customFormat="1" ht="16.5">
      <c r="A135" s="95"/>
      <c r="B135" s="96"/>
      <c r="C135" s="97" t="str">
        <f t="shared" si="6"/>
        <v/>
      </c>
      <c r="D135" s="98"/>
      <c r="E135" s="99"/>
      <c r="F135" s="97" t="str">
        <f t="shared" si="7"/>
        <v/>
      </c>
      <c r="G135" s="98"/>
      <c r="H135" s="99"/>
      <c r="I135" s="97" t="str">
        <f t="shared" si="8"/>
        <v/>
      </c>
    </row>
    <row r="136" spans="1:9" s="97" customFormat="1" ht="16.5">
      <c r="A136" s="95"/>
      <c r="B136" s="96"/>
      <c r="C136" s="97" t="str">
        <f t="shared" si="6"/>
        <v/>
      </c>
      <c r="D136" s="98"/>
      <c r="E136" s="99"/>
      <c r="F136" s="97" t="str">
        <f t="shared" si="7"/>
        <v/>
      </c>
      <c r="G136" s="98"/>
      <c r="H136" s="99"/>
      <c r="I136" s="97" t="str">
        <f t="shared" si="8"/>
        <v/>
      </c>
    </row>
    <row r="137" spans="1:9" s="97" customFormat="1" ht="16.5">
      <c r="A137" s="95"/>
      <c r="B137" s="96"/>
      <c r="C137" s="97" t="str">
        <f t="shared" si="6"/>
        <v/>
      </c>
      <c r="D137" s="98"/>
      <c r="E137" s="99"/>
      <c r="F137" s="97" t="str">
        <f t="shared" si="7"/>
        <v/>
      </c>
      <c r="G137" s="98"/>
      <c r="H137" s="99"/>
      <c r="I137" s="97" t="str">
        <f t="shared" si="8"/>
        <v/>
      </c>
    </row>
    <row r="138" spans="1:9" s="97" customFormat="1" ht="16.5">
      <c r="A138" s="95"/>
      <c r="B138" s="96"/>
      <c r="C138" s="97" t="str">
        <f t="shared" si="6"/>
        <v/>
      </c>
      <c r="D138" s="98"/>
      <c r="E138" s="99"/>
      <c r="F138" s="97" t="str">
        <f t="shared" si="7"/>
        <v/>
      </c>
      <c r="G138" s="98"/>
      <c r="H138" s="99"/>
      <c r="I138" s="97" t="str">
        <f t="shared" si="8"/>
        <v/>
      </c>
    </row>
    <row r="139" spans="1:9" s="97" customFormat="1" ht="16.5">
      <c r="A139" s="95"/>
      <c r="B139" s="96"/>
      <c r="C139" s="97" t="str">
        <f t="shared" si="6"/>
        <v/>
      </c>
      <c r="D139" s="98"/>
      <c r="E139" s="99"/>
      <c r="F139" s="97" t="str">
        <f t="shared" si="7"/>
        <v/>
      </c>
      <c r="G139" s="98"/>
      <c r="H139" s="99"/>
      <c r="I139" s="97" t="str">
        <f t="shared" si="8"/>
        <v/>
      </c>
    </row>
    <row r="140" spans="1:9" s="97" customFormat="1" ht="16.5">
      <c r="A140" s="95"/>
      <c r="B140" s="96"/>
      <c r="C140" s="97" t="str">
        <f t="shared" si="6"/>
        <v/>
      </c>
      <c r="D140" s="98"/>
      <c r="E140" s="99"/>
      <c r="F140" s="97" t="str">
        <f t="shared" si="7"/>
        <v/>
      </c>
      <c r="G140" s="98"/>
      <c r="H140" s="99"/>
      <c r="I140" s="97" t="str">
        <f t="shared" si="8"/>
        <v/>
      </c>
    </row>
    <row r="141" spans="1:9" s="97" customFormat="1" ht="16.5">
      <c r="A141" s="95"/>
      <c r="B141" s="96"/>
      <c r="C141" s="97" t="str">
        <f t="shared" si="6"/>
        <v/>
      </c>
      <c r="D141" s="98"/>
      <c r="E141" s="99"/>
      <c r="F141" s="97" t="str">
        <f t="shared" si="7"/>
        <v/>
      </c>
      <c r="G141" s="98"/>
      <c r="H141" s="99"/>
      <c r="I141" s="97" t="str">
        <f t="shared" si="8"/>
        <v/>
      </c>
    </row>
    <row r="142" spans="1:9" s="97" customFormat="1" ht="16.5">
      <c r="A142" s="95"/>
      <c r="B142" s="96"/>
      <c r="C142" s="97" t="str">
        <f t="shared" si="6"/>
        <v/>
      </c>
      <c r="D142" s="98"/>
      <c r="E142" s="99"/>
      <c r="F142" s="97" t="str">
        <f t="shared" si="7"/>
        <v/>
      </c>
      <c r="G142" s="98"/>
      <c r="H142" s="99"/>
      <c r="I142" s="97" t="str">
        <f t="shared" si="8"/>
        <v/>
      </c>
    </row>
    <row r="143" spans="1:9" s="97" customFormat="1" ht="16.5">
      <c r="A143" s="95"/>
      <c r="B143" s="96"/>
      <c r="C143" s="97" t="str">
        <f t="shared" si="6"/>
        <v/>
      </c>
      <c r="D143" s="98"/>
      <c r="E143" s="99"/>
      <c r="F143" s="97" t="str">
        <f t="shared" si="7"/>
        <v/>
      </c>
      <c r="G143" s="98"/>
      <c r="H143" s="99"/>
      <c r="I143" s="97" t="str">
        <f t="shared" si="8"/>
        <v/>
      </c>
    </row>
    <row r="144" spans="1:9" s="97" customFormat="1" ht="16.5">
      <c r="A144" s="95"/>
      <c r="B144" s="96"/>
      <c r="C144" s="97" t="str">
        <f t="shared" si="6"/>
        <v/>
      </c>
      <c r="D144" s="98"/>
      <c r="E144" s="99"/>
      <c r="F144" s="97" t="str">
        <f t="shared" si="7"/>
        <v/>
      </c>
      <c r="G144" s="98"/>
      <c r="H144" s="99"/>
      <c r="I144" s="97" t="str">
        <f t="shared" si="8"/>
        <v/>
      </c>
    </row>
    <row r="145" spans="1:9" s="97" customFormat="1" ht="16.5">
      <c r="A145" s="95"/>
      <c r="B145" s="96"/>
      <c r="C145" s="97" t="str">
        <f t="shared" si="6"/>
        <v/>
      </c>
      <c r="D145" s="98"/>
      <c r="E145" s="99"/>
      <c r="F145" s="97" t="str">
        <f t="shared" si="7"/>
        <v/>
      </c>
      <c r="G145" s="98"/>
      <c r="H145" s="99"/>
      <c r="I145" s="97" t="str">
        <f t="shared" si="8"/>
        <v/>
      </c>
    </row>
    <row r="146" spans="1:9" s="97" customFormat="1" ht="16.5">
      <c r="A146" s="95"/>
      <c r="B146" s="96"/>
      <c r="C146" s="97" t="str">
        <f t="shared" si="6"/>
        <v/>
      </c>
      <c r="D146" s="98"/>
      <c r="E146" s="99"/>
      <c r="F146" s="97" t="str">
        <f t="shared" si="7"/>
        <v/>
      </c>
      <c r="G146" s="98"/>
      <c r="H146" s="99"/>
      <c r="I146" s="97" t="str">
        <f t="shared" si="8"/>
        <v/>
      </c>
    </row>
    <row r="147" spans="1:9" s="97" customFormat="1" ht="16.5">
      <c r="A147" s="95"/>
      <c r="B147" s="96"/>
      <c r="C147" s="97" t="str">
        <f t="shared" si="6"/>
        <v/>
      </c>
      <c r="D147" s="98"/>
      <c r="E147" s="99"/>
      <c r="F147" s="97" t="str">
        <f t="shared" si="7"/>
        <v/>
      </c>
      <c r="G147" s="98"/>
      <c r="H147" s="99"/>
      <c r="I147" s="97" t="str">
        <f t="shared" si="8"/>
        <v/>
      </c>
    </row>
    <row r="148" spans="1:9" s="97" customFormat="1" ht="16.5">
      <c r="A148" s="95"/>
      <c r="B148" s="96"/>
      <c r="C148" s="97" t="str">
        <f t="shared" si="6"/>
        <v/>
      </c>
      <c r="D148" s="98"/>
      <c r="E148" s="99"/>
      <c r="F148" s="97" t="str">
        <f t="shared" si="7"/>
        <v/>
      </c>
      <c r="G148" s="98"/>
      <c r="H148" s="99"/>
      <c r="I148" s="97" t="str">
        <f t="shared" si="8"/>
        <v/>
      </c>
    </row>
    <row r="149" spans="1:9" s="97" customFormat="1" ht="16.5">
      <c r="A149" s="95"/>
      <c r="B149" s="96"/>
      <c r="C149" s="97" t="str">
        <f t="shared" si="6"/>
        <v/>
      </c>
      <c r="D149" s="98"/>
      <c r="E149" s="99"/>
      <c r="F149" s="97" t="str">
        <f t="shared" si="7"/>
        <v/>
      </c>
      <c r="G149" s="98"/>
      <c r="H149" s="99"/>
      <c r="I149" s="97" t="str">
        <f t="shared" si="8"/>
        <v/>
      </c>
    </row>
    <row r="150" spans="1:9" s="97" customFormat="1" ht="16.5">
      <c r="A150" s="95"/>
      <c r="B150" s="96"/>
      <c r="C150" s="97" t="str">
        <f t="shared" si="6"/>
        <v/>
      </c>
      <c r="D150" s="98"/>
      <c r="E150" s="99"/>
      <c r="F150" s="97" t="str">
        <f t="shared" si="7"/>
        <v/>
      </c>
      <c r="G150" s="98"/>
      <c r="H150" s="99"/>
      <c r="I150" s="97" t="str">
        <f t="shared" si="8"/>
        <v/>
      </c>
    </row>
    <row r="151" spans="1:9" s="97" customFormat="1" ht="16.5">
      <c r="A151" s="95"/>
      <c r="B151" s="96"/>
      <c r="C151" s="97" t="str">
        <f t="shared" si="6"/>
        <v/>
      </c>
      <c r="D151" s="98"/>
      <c r="E151" s="99"/>
      <c r="F151" s="97" t="str">
        <f t="shared" si="7"/>
        <v/>
      </c>
      <c r="G151" s="98"/>
      <c r="H151" s="99"/>
      <c r="I151" s="97" t="str">
        <f t="shared" si="8"/>
        <v/>
      </c>
    </row>
    <row r="152" spans="1:9" s="97" customFormat="1" ht="16.5">
      <c r="A152" s="95"/>
      <c r="B152" s="96"/>
      <c r="C152" s="97" t="str">
        <f t="shared" si="6"/>
        <v/>
      </c>
      <c r="D152" s="98"/>
      <c r="E152" s="99"/>
      <c r="F152" s="97" t="str">
        <f t="shared" si="7"/>
        <v/>
      </c>
      <c r="G152" s="98"/>
      <c r="H152" s="99"/>
      <c r="I152" s="97" t="str">
        <f t="shared" si="8"/>
        <v/>
      </c>
    </row>
    <row r="153" spans="1:9" s="97" customFormat="1" ht="16.5">
      <c r="A153" s="95"/>
      <c r="B153" s="96"/>
      <c r="C153" s="97" t="str">
        <f t="shared" si="6"/>
        <v/>
      </c>
      <c r="D153" s="98"/>
      <c r="E153" s="99"/>
      <c r="F153" s="97" t="str">
        <f t="shared" si="7"/>
        <v/>
      </c>
      <c r="G153" s="98"/>
      <c r="H153" s="99"/>
      <c r="I153" s="97" t="str">
        <f t="shared" si="8"/>
        <v/>
      </c>
    </row>
    <row r="154" spans="1:9" s="97" customFormat="1" ht="16.5">
      <c r="A154" s="95"/>
      <c r="B154" s="96"/>
      <c r="C154" s="97" t="str">
        <f t="shared" si="6"/>
        <v/>
      </c>
      <c r="D154" s="98"/>
      <c r="E154" s="99"/>
      <c r="F154" s="97" t="str">
        <f t="shared" si="7"/>
        <v/>
      </c>
      <c r="G154" s="98"/>
      <c r="H154" s="99"/>
      <c r="I154" s="97" t="str">
        <f t="shared" si="8"/>
        <v/>
      </c>
    </row>
    <row r="155" spans="1:9" s="97" customFormat="1" ht="16.5">
      <c r="A155" s="95"/>
      <c r="B155" s="96"/>
      <c r="C155" s="97" t="str">
        <f t="shared" si="6"/>
        <v/>
      </c>
      <c r="D155" s="98"/>
      <c r="E155" s="99"/>
      <c r="F155" s="97" t="str">
        <f t="shared" si="7"/>
        <v/>
      </c>
      <c r="G155" s="98"/>
      <c r="H155" s="99"/>
      <c r="I155" s="97" t="str">
        <f t="shared" si="8"/>
        <v/>
      </c>
    </row>
    <row r="156" spans="1:9" s="97" customFormat="1" ht="16.5">
      <c r="A156" s="95"/>
      <c r="B156" s="96"/>
      <c r="C156" s="97" t="str">
        <f t="shared" si="6"/>
        <v/>
      </c>
      <c r="D156" s="98"/>
      <c r="E156" s="99"/>
      <c r="F156" s="97" t="str">
        <f t="shared" si="7"/>
        <v/>
      </c>
      <c r="G156" s="98"/>
      <c r="H156" s="99"/>
      <c r="I156" s="97" t="str">
        <f t="shared" si="8"/>
        <v/>
      </c>
    </row>
    <row r="157" spans="1:9" s="97" customFormat="1" ht="16.5">
      <c r="A157" s="95"/>
      <c r="B157" s="96"/>
      <c r="C157" s="97" t="str">
        <f t="shared" si="6"/>
        <v/>
      </c>
      <c r="D157" s="98"/>
      <c r="E157" s="99"/>
      <c r="F157" s="97" t="str">
        <f t="shared" si="7"/>
        <v/>
      </c>
      <c r="G157" s="98"/>
      <c r="H157" s="99"/>
      <c r="I157" s="97" t="str">
        <f t="shared" si="8"/>
        <v/>
      </c>
    </row>
    <row r="158" spans="1:9" s="97" customFormat="1" ht="16.5">
      <c r="A158" s="95"/>
      <c r="B158" s="96"/>
      <c r="C158" s="97" t="str">
        <f t="shared" si="6"/>
        <v/>
      </c>
      <c r="D158" s="98"/>
      <c r="E158" s="99"/>
      <c r="F158" s="97" t="str">
        <f t="shared" si="7"/>
        <v/>
      </c>
      <c r="G158" s="98"/>
      <c r="H158" s="99"/>
      <c r="I158" s="97" t="str">
        <f t="shared" si="8"/>
        <v/>
      </c>
    </row>
    <row r="159" spans="1:9" s="97" customFormat="1" ht="16.5">
      <c r="A159" s="95"/>
      <c r="B159" s="96"/>
      <c r="C159" s="97" t="str">
        <f t="shared" si="6"/>
        <v/>
      </c>
      <c r="D159" s="98"/>
      <c r="E159" s="99"/>
      <c r="F159" s="97" t="str">
        <f t="shared" si="7"/>
        <v/>
      </c>
      <c r="G159" s="98"/>
      <c r="H159" s="99"/>
      <c r="I159" s="97" t="str">
        <f t="shared" si="8"/>
        <v/>
      </c>
    </row>
    <row r="160" spans="1:9" s="97" customFormat="1" ht="16.5">
      <c r="A160" s="95"/>
      <c r="B160" s="96"/>
      <c r="C160" s="97" t="str">
        <f t="shared" si="6"/>
        <v/>
      </c>
      <c r="D160" s="98"/>
      <c r="E160" s="99"/>
      <c r="F160" s="97" t="str">
        <f t="shared" si="7"/>
        <v/>
      </c>
      <c r="G160" s="98"/>
      <c r="H160" s="99"/>
      <c r="I160" s="97" t="str">
        <f t="shared" si="8"/>
        <v/>
      </c>
    </row>
    <row r="161" spans="1:9" s="97" customFormat="1" ht="16.5">
      <c r="A161" s="95"/>
      <c r="B161" s="96"/>
      <c r="C161" s="97" t="str">
        <f t="shared" si="6"/>
        <v/>
      </c>
      <c r="D161" s="98"/>
      <c r="E161" s="99"/>
      <c r="F161" s="97" t="str">
        <f t="shared" si="7"/>
        <v/>
      </c>
      <c r="G161" s="98"/>
      <c r="H161" s="99"/>
      <c r="I161" s="97" t="str">
        <f t="shared" si="8"/>
        <v/>
      </c>
    </row>
    <row r="162" spans="1:9" s="97" customFormat="1" ht="16.5">
      <c r="A162" s="95"/>
      <c r="B162" s="96"/>
      <c r="C162" s="97" t="str">
        <f t="shared" si="6"/>
        <v/>
      </c>
      <c r="D162" s="98"/>
      <c r="E162" s="99"/>
      <c r="F162" s="97" t="str">
        <f t="shared" si="7"/>
        <v/>
      </c>
      <c r="G162" s="98"/>
      <c r="H162" s="99"/>
      <c r="I162" s="97" t="str">
        <f t="shared" si="8"/>
        <v/>
      </c>
    </row>
    <row r="163" spans="1:9" s="97" customFormat="1" ht="16.5">
      <c r="A163" s="95"/>
      <c r="B163" s="96"/>
      <c r="C163" s="97" t="str">
        <f t="shared" si="6"/>
        <v/>
      </c>
      <c r="D163" s="98"/>
      <c r="E163" s="99"/>
      <c r="F163" s="97" t="str">
        <f t="shared" si="7"/>
        <v/>
      </c>
      <c r="G163" s="98"/>
      <c r="H163" s="99"/>
      <c r="I163" s="97" t="str">
        <f t="shared" si="8"/>
        <v/>
      </c>
    </row>
    <row r="164" spans="1:9" s="97" customFormat="1" ht="16.5">
      <c r="A164" s="95"/>
      <c r="B164" s="96"/>
      <c r="C164" s="97" t="str">
        <f t="shared" si="6"/>
        <v/>
      </c>
      <c r="D164" s="98"/>
      <c r="E164" s="99"/>
      <c r="F164" s="97" t="str">
        <f t="shared" si="7"/>
        <v/>
      </c>
      <c r="G164" s="98"/>
      <c r="H164" s="99"/>
      <c r="I164" s="97" t="str">
        <f t="shared" si="8"/>
        <v/>
      </c>
    </row>
    <row r="165" spans="1:9" s="97" customFormat="1" ht="16.5">
      <c r="A165" s="95"/>
      <c r="B165" s="96"/>
      <c r="C165" s="97" t="str">
        <f t="shared" si="6"/>
        <v/>
      </c>
      <c r="D165" s="98"/>
      <c r="E165" s="99"/>
      <c r="F165" s="97" t="str">
        <f t="shared" si="7"/>
        <v/>
      </c>
      <c r="G165" s="98"/>
      <c r="H165" s="99"/>
      <c r="I165" s="97" t="str">
        <f t="shared" si="8"/>
        <v/>
      </c>
    </row>
    <row r="166" spans="1:9" s="97" customFormat="1" ht="16.5">
      <c r="A166" s="95"/>
      <c r="B166" s="96"/>
      <c r="C166" s="97" t="str">
        <f t="shared" si="6"/>
        <v/>
      </c>
      <c r="D166" s="98"/>
      <c r="E166" s="99"/>
      <c r="F166" s="97" t="str">
        <f t="shared" si="7"/>
        <v/>
      </c>
      <c r="G166" s="98"/>
      <c r="H166" s="99"/>
      <c r="I166" s="97" t="str">
        <f t="shared" si="8"/>
        <v/>
      </c>
    </row>
    <row r="167" spans="1:9" s="97" customFormat="1" ht="16.5">
      <c r="A167" s="95"/>
      <c r="B167" s="96"/>
      <c r="C167" s="97" t="str">
        <f t="shared" si="6"/>
        <v/>
      </c>
      <c r="D167" s="98"/>
      <c r="E167" s="99"/>
      <c r="F167" s="97" t="str">
        <f t="shared" si="7"/>
        <v/>
      </c>
      <c r="G167" s="98"/>
      <c r="H167" s="99"/>
      <c r="I167" s="97" t="str">
        <f t="shared" si="8"/>
        <v/>
      </c>
    </row>
    <row r="168" spans="1:9" s="97" customFormat="1" ht="16.5">
      <c r="A168" s="95"/>
      <c r="B168" s="96"/>
      <c r="C168" s="97" t="str">
        <f t="shared" si="6"/>
        <v/>
      </c>
      <c r="D168" s="98"/>
      <c r="E168" s="99"/>
      <c r="F168" s="97" t="str">
        <f t="shared" si="7"/>
        <v/>
      </c>
      <c r="G168" s="98"/>
      <c r="H168" s="99"/>
      <c r="I168" s="97" t="str">
        <f t="shared" si="8"/>
        <v/>
      </c>
    </row>
    <row r="169" spans="1:9" s="97" customFormat="1" ht="16.5">
      <c r="A169" s="95"/>
      <c r="B169" s="96"/>
      <c r="C169" s="97" t="str">
        <f t="shared" si="6"/>
        <v/>
      </c>
      <c r="D169" s="98"/>
      <c r="E169" s="99"/>
      <c r="F169" s="97" t="str">
        <f t="shared" si="7"/>
        <v/>
      </c>
      <c r="G169" s="98"/>
      <c r="H169" s="99"/>
      <c r="I169" s="97" t="str">
        <f t="shared" si="8"/>
        <v/>
      </c>
    </row>
    <row r="170" spans="1:9" s="97" customFormat="1" ht="16.5">
      <c r="A170" s="95"/>
      <c r="B170" s="96"/>
      <c r="C170" s="97" t="str">
        <f t="shared" si="6"/>
        <v/>
      </c>
      <c r="D170" s="98"/>
      <c r="E170" s="99"/>
      <c r="F170" s="97" t="str">
        <f t="shared" si="7"/>
        <v/>
      </c>
      <c r="G170" s="98"/>
      <c r="H170" s="99"/>
      <c r="I170" s="97" t="str">
        <f t="shared" si="8"/>
        <v/>
      </c>
    </row>
    <row r="171" spans="1:9" s="97" customFormat="1" ht="16.5">
      <c r="A171" s="95"/>
      <c r="B171" s="96"/>
      <c r="C171" s="97" t="str">
        <f t="shared" si="6"/>
        <v/>
      </c>
      <c r="D171" s="98"/>
      <c r="E171" s="99"/>
      <c r="F171" s="97" t="str">
        <f t="shared" si="7"/>
        <v/>
      </c>
      <c r="G171" s="98"/>
      <c r="H171" s="99"/>
      <c r="I171" s="97" t="str">
        <f t="shared" si="8"/>
        <v/>
      </c>
    </row>
    <row r="172" spans="1:9" s="97" customFormat="1" ht="16.5">
      <c r="A172" s="95"/>
      <c r="B172" s="96"/>
      <c r="C172" s="97" t="str">
        <f t="shared" si="6"/>
        <v/>
      </c>
      <c r="D172" s="98"/>
      <c r="E172" s="99"/>
      <c r="F172" s="97" t="str">
        <f t="shared" si="7"/>
        <v/>
      </c>
      <c r="G172" s="98"/>
      <c r="H172" s="99"/>
      <c r="I172" s="97" t="str">
        <f t="shared" si="8"/>
        <v/>
      </c>
    </row>
    <row r="173" spans="1:9" s="97" customFormat="1" ht="16.5">
      <c r="A173" s="95"/>
      <c r="B173" s="96"/>
      <c r="C173" s="97" t="str">
        <f t="shared" si="6"/>
        <v/>
      </c>
      <c r="D173" s="98"/>
      <c r="E173" s="99"/>
      <c r="F173" s="97" t="str">
        <f t="shared" si="7"/>
        <v/>
      </c>
      <c r="G173" s="98"/>
      <c r="H173" s="99"/>
      <c r="I173" s="97" t="str">
        <f t="shared" si="8"/>
        <v/>
      </c>
    </row>
    <row r="174" spans="1:9" s="97" customFormat="1" ht="16.5">
      <c r="A174" s="95"/>
      <c r="B174" s="96"/>
      <c r="C174" s="97" t="str">
        <f t="shared" si="6"/>
        <v/>
      </c>
      <c r="D174" s="98"/>
      <c r="E174" s="99"/>
      <c r="F174" s="97" t="str">
        <f t="shared" si="7"/>
        <v/>
      </c>
      <c r="G174" s="98"/>
      <c r="H174" s="99"/>
      <c r="I174" s="97" t="str">
        <f t="shared" si="8"/>
        <v/>
      </c>
    </row>
    <row r="175" spans="1:9" s="97" customFormat="1" ht="16.5">
      <c r="A175" s="95"/>
      <c r="B175" s="96"/>
      <c r="C175" s="97" t="str">
        <f t="shared" si="6"/>
        <v/>
      </c>
      <c r="D175" s="98"/>
      <c r="E175" s="99"/>
      <c r="F175" s="97" t="str">
        <f t="shared" si="7"/>
        <v/>
      </c>
      <c r="G175" s="98"/>
      <c r="H175" s="99"/>
      <c r="I175" s="97" t="str">
        <f t="shared" si="8"/>
        <v/>
      </c>
    </row>
    <row r="176" spans="1:9" s="97" customFormat="1" ht="16.5">
      <c r="A176" s="95"/>
      <c r="B176" s="96"/>
      <c r="C176" s="97" t="str">
        <f t="shared" si="6"/>
        <v/>
      </c>
      <c r="D176" s="98"/>
      <c r="E176" s="99"/>
      <c r="F176" s="97" t="str">
        <f t="shared" si="7"/>
        <v/>
      </c>
      <c r="G176" s="98"/>
      <c r="H176" s="99"/>
      <c r="I176" s="97" t="str">
        <f t="shared" si="8"/>
        <v/>
      </c>
    </row>
    <row r="177" spans="1:9" s="97" customFormat="1" ht="16.5">
      <c r="A177" s="95"/>
      <c r="B177" s="96"/>
      <c r="C177" s="97" t="str">
        <f t="shared" si="6"/>
        <v/>
      </c>
      <c r="D177" s="98"/>
      <c r="E177" s="99"/>
      <c r="F177" s="97" t="str">
        <f t="shared" si="7"/>
        <v/>
      </c>
      <c r="G177" s="98"/>
      <c r="H177" s="99"/>
      <c r="I177" s="97" t="str">
        <f t="shared" si="8"/>
        <v/>
      </c>
    </row>
    <row r="178" spans="1:9" s="97" customFormat="1" ht="16.5">
      <c r="A178" s="95"/>
      <c r="B178" s="96"/>
      <c r="C178" s="97" t="str">
        <f t="shared" si="6"/>
        <v/>
      </c>
      <c r="D178" s="98"/>
      <c r="E178" s="99"/>
      <c r="F178" s="97" t="str">
        <f t="shared" si="7"/>
        <v/>
      </c>
      <c r="G178" s="98"/>
      <c r="H178" s="99"/>
      <c r="I178" s="97" t="str">
        <f t="shared" si="8"/>
        <v/>
      </c>
    </row>
    <row r="179" spans="1:9" s="97" customFormat="1" ht="16.5">
      <c r="A179" s="95"/>
      <c r="B179" s="96"/>
      <c r="C179" s="97" t="str">
        <f t="shared" si="6"/>
        <v/>
      </c>
      <c r="D179" s="98"/>
      <c r="E179" s="99"/>
      <c r="F179" s="97" t="str">
        <f t="shared" si="7"/>
        <v/>
      </c>
      <c r="G179" s="98"/>
      <c r="H179" s="99"/>
      <c r="I179" s="97" t="str">
        <f t="shared" si="8"/>
        <v/>
      </c>
    </row>
    <row r="180" spans="1:9" s="97" customFormat="1" ht="16.5">
      <c r="A180" s="95"/>
      <c r="B180" s="96"/>
      <c r="C180" s="97" t="str">
        <f t="shared" si="6"/>
        <v/>
      </c>
      <c r="D180" s="98"/>
      <c r="E180" s="99"/>
      <c r="F180" s="97" t="str">
        <f t="shared" si="7"/>
        <v/>
      </c>
      <c r="G180" s="98"/>
      <c r="H180" s="99"/>
      <c r="I180" s="97" t="str">
        <f t="shared" si="8"/>
        <v/>
      </c>
    </row>
    <row r="181" spans="1:9" s="97" customFormat="1" ht="16.5">
      <c r="A181" s="95"/>
      <c r="B181" s="96"/>
      <c r="C181" s="97" t="str">
        <f t="shared" si="6"/>
        <v/>
      </c>
      <c r="D181" s="98"/>
      <c r="E181" s="99"/>
      <c r="F181" s="97" t="str">
        <f t="shared" si="7"/>
        <v/>
      </c>
      <c r="G181" s="98"/>
      <c r="H181" s="99"/>
      <c r="I181" s="97" t="str">
        <f t="shared" si="8"/>
        <v/>
      </c>
    </row>
    <row r="182" spans="1:9" s="97" customFormat="1" ht="16.5">
      <c r="A182" s="95"/>
      <c r="B182" s="96"/>
      <c r="C182" s="97" t="str">
        <f t="shared" si="6"/>
        <v/>
      </c>
      <c r="D182" s="98"/>
      <c r="E182" s="99"/>
      <c r="F182" s="97" t="str">
        <f t="shared" si="7"/>
        <v/>
      </c>
      <c r="G182" s="98"/>
      <c r="H182" s="99"/>
      <c r="I182" s="97" t="str">
        <f t="shared" si="8"/>
        <v/>
      </c>
    </row>
    <row r="183" spans="1:9" s="97" customFormat="1" ht="16.5">
      <c r="A183" s="95"/>
      <c r="B183" s="96"/>
      <c r="C183" s="97" t="str">
        <f t="shared" si="6"/>
        <v/>
      </c>
      <c r="D183" s="98"/>
      <c r="E183" s="99"/>
      <c r="F183" s="97" t="str">
        <f t="shared" si="7"/>
        <v/>
      </c>
      <c r="G183" s="98"/>
      <c r="H183" s="99"/>
      <c r="I183" s="97" t="str">
        <f t="shared" si="8"/>
        <v/>
      </c>
    </row>
    <row r="184" spans="1:9" s="97" customFormat="1" ht="16.5">
      <c r="A184" s="95"/>
      <c r="B184" s="96"/>
      <c r="C184" s="97" t="str">
        <f t="shared" si="6"/>
        <v/>
      </c>
      <c r="D184" s="98"/>
      <c r="E184" s="99"/>
      <c r="F184" s="97" t="str">
        <f t="shared" si="7"/>
        <v/>
      </c>
      <c r="G184" s="98"/>
      <c r="H184" s="99"/>
      <c r="I184" s="97" t="str">
        <f t="shared" si="8"/>
        <v/>
      </c>
    </row>
    <row r="185" spans="1:9" s="97" customFormat="1" ht="16.5">
      <c r="A185" s="95"/>
      <c r="B185" s="96"/>
      <c r="C185" s="97" t="str">
        <f t="shared" si="6"/>
        <v/>
      </c>
      <c r="D185" s="98"/>
      <c r="E185" s="99"/>
      <c r="F185" s="97" t="str">
        <f t="shared" si="7"/>
        <v/>
      </c>
      <c r="G185" s="98"/>
      <c r="H185" s="99"/>
      <c r="I185" s="97" t="str">
        <f t="shared" si="8"/>
        <v/>
      </c>
    </row>
    <row r="186" spans="1:9" s="97" customFormat="1" ht="16.5">
      <c r="A186" s="95"/>
      <c r="B186" s="96"/>
      <c r="C186" s="97" t="str">
        <f t="shared" si="6"/>
        <v/>
      </c>
      <c r="D186" s="98"/>
      <c r="E186" s="99"/>
      <c r="F186" s="97" t="str">
        <f t="shared" si="7"/>
        <v/>
      </c>
      <c r="G186" s="98"/>
      <c r="H186" s="99"/>
      <c r="I186" s="97" t="str">
        <f t="shared" si="8"/>
        <v/>
      </c>
    </row>
    <row r="187" spans="1:9" s="97" customFormat="1" ht="16.5">
      <c r="A187" s="95"/>
      <c r="B187" s="96"/>
      <c r="C187" s="97" t="str">
        <f t="shared" si="6"/>
        <v/>
      </c>
      <c r="D187" s="98"/>
      <c r="E187" s="99"/>
      <c r="F187" s="97" t="str">
        <f t="shared" si="7"/>
        <v/>
      </c>
      <c r="G187" s="98"/>
      <c r="H187" s="99"/>
      <c r="I187" s="97" t="str">
        <f t="shared" si="8"/>
        <v/>
      </c>
    </row>
    <row r="188" spans="1:9" s="97" customFormat="1" ht="16.5">
      <c r="A188" s="95"/>
      <c r="B188" s="96"/>
      <c r="C188" s="97" t="str">
        <f t="shared" si="6"/>
        <v/>
      </c>
      <c r="D188" s="98"/>
      <c r="E188" s="99"/>
      <c r="F188" s="97" t="str">
        <f t="shared" si="7"/>
        <v/>
      </c>
      <c r="G188" s="98"/>
      <c r="H188" s="99"/>
      <c r="I188" s="97" t="str">
        <f t="shared" si="8"/>
        <v/>
      </c>
    </row>
    <row r="189" spans="1:9" s="97" customFormat="1" ht="16.5">
      <c r="A189" s="95"/>
      <c r="B189" s="96"/>
      <c r="C189" s="97" t="str">
        <f t="shared" si="6"/>
        <v/>
      </c>
      <c r="D189" s="98"/>
      <c r="E189" s="99"/>
      <c r="F189" s="97" t="str">
        <f t="shared" si="7"/>
        <v/>
      </c>
      <c r="G189" s="98"/>
      <c r="H189" s="99"/>
      <c r="I189" s="97" t="str">
        <f t="shared" si="8"/>
        <v/>
      </c>
    </row>
    <row r="190" spans="1:9" s="97" customFormat="1" ht="16.5">
      <c r="A190" s="95"/>
      <c r="B190" s="96"/>
      <c r="C190" s="97" t="str">
        <f t="shared" si="6"/>
        <v/>
      </c>
      <c r="D190" s="98"/>
      <c r="E190" s="99"/>
      <c r="F190" s="97" t="str">
        <f t="shared" si="7"/>
        <v/>
      </c>
      <c r="G190" s="98"/>
      <c r="H190" s="99"/>
      <c r="I190" s="97" t="str">
        <f t="shared" si="8"/>
        <v/>
      </c>
    </row>
    <row r="191" spans="1:9" s="97" customFormat="1" ht="16.5">
      <c r="A191" s="95"/>
      <c r="B191" s="96"/>
      <c r="C191" s="97" t="str">
        <f t="shared" si="6"/>
        <v/>
      </c>
      <c r="D191" s="98"/>
      <c r="E191" s="99"/>
      <c r="F191" s="97" t="str">
        <f t="shared" si="7"/>
        <v/>
      </c>
      <c r="G191" s="98"/>
      <c r="H191" s="99"/>
      <c r="I191" s="97" t="str">
        <f t="shared" si="8"/>
        <v/>
      </c>
    </row>
    <row r="192" spans="1:9" s="97" customFormat="1" ht="16.5">
      <c r="A192" s="95"/>
      <c r="B192" s="96"/>
      <c r="C192" s="97" t="str">
        <f t="shared" si="6"/>
        <v/>
      </c>
      <c r="D192" s="98"/>
      <c r="E192" s="99"/>
      <c r="F192" s="97" t="str">
        <f t="shared" si="7"/>
        <v/>
      </c>
      <c r="G192" s="98"/>
      <c r="H192" s="99"/>
      <c r="I192" s="97" t="str">
        <f t="shared" si="8"/>
        <v/>
      </c>
    </row>
    <row r="193" spans="1:9" s="97" customFormat="1" ht="16.5">
      <c r="A193" s="95"/>
      <c r="B193" s="96"/>
      <c r="C193" s="97" t="str">
        <f t="shared" si="6"/>
        <v/>
      </c>
      <c r="D193" s="98"/>
      <c r="E193" s="99"/>
      <c r="F193" s="97" t="str">
        <f t="shared" si="7"/>
        <v/>
      </c>
      <c r="G193" s="98"/>
      <c r="H193" s="99"/>
      <c r="I193" s="97" t="str">
        <f t="shared" si="8"/>
        <v/>
      </c>
    </row>
    <row r="194" spans="1:9" s="97" customFormat="1" ht="16.5">
      <c r="A194" s="95"/>
      <c r="B194" s="96"/>
      <c r="C194" s="97" t="str">
        <f t="shared" si="6"/>
        <v/>
      </c>
      <c r="D194" s="98"/>
      <c r="E194" s="99"/>
      <c r="F194" s="97" t="str">
        <f t="shared" si="7"/>
        <v/>
      </c>
      <c r="G194" s="98"/>
      <c r="H194" s="99"/>
      <c r="I194" s="97" t="str">
        <f t="shared" si="8"/>
        <v/>
      </c>
    </row>
    <row r="195" spans="1:9" s="97" customFormat="1" ht="16.5">
      <c r="A195" s="95"/>
      <c r="B195" s="96"/>
      <c r="C195" s="97" t="str">
        <f t="shared" si="6"/>
        <v/>
      </c>
      <c r="D195" s="98"/>
      <c r="E195" s="99"/>
      <c r="F195" s="97" t="str">
        <f t="shared" si="7"/>
        <v/>
      </c>
      <c r="G195" s="98"/>
      <c r="H195" s="99"/>
      <c r="I195" s="97" t="str">
        <f t="shared" si="8"/>
        <v/>
      </c>
    </row>
    <row r="196" spans="1:9" s="97" customFormat="1" ht="16.5">
      <c r="A196" s="95"/>
      <c r="B196" s="96"/>
      <c r="C196" s="97" t="str">
        <f t="shared" si="6"/>
        <v/>
      </c>
      <c r="D196" s="98"/>
      <c r="E196" s="99"/>
      <c r="F196" s="97" t="str">
        <f t="shared" si="7"/>
        <v/>
      </c>
      <c r="G196" s="98"/>
      <c r="H196" s="99"/>
      <c r="I196" s="97" t="str">
        <f t="shared" si="8"/>
        <v/>
      </c>
    </row>
    <row r="197" spans="1:9" s="97" customFormat="1" ht="16.5">
      <c r="A197" s="95"/>
      <c r="B197" s="96"/>
      <c r="C197" s="97" t="str">
        <f t="shared" ref="C197:C260" si="9">IF(B197&gt;0,TEXT(B197,"(aaa)"),"")</f>
        <v/>
      </c>
      <c r="D197" s="98"/>
      <c r="E197" s="99"/>
      <c r="F197" s="97" t="str">
        <f t="shared" ref="F197:F260" si="10">IF(E197&gt;0,TEXT(E197,"(aaa)"),"")</f>
        <v/>
      </c>
      <c r="G197" s="98"/>
      <c r="H197" s="99"/>
      <c r="I197" s="97" t="str">
        <f t="shared" ref="I197:I260" si="11">IF(H197&gt;0,TEXT(H197,"(aaa)"),"")</f>
        <v/>
      </c>
    </row>
    <row r="198" spans="1:9" s="97" customFormat="1" ht="16.5">
      <c r="A198" s="95"/>
      <c r="B198" s="96"/>
      <c r="C198" s="97" t="str">
        <f t="shared" si="9"/>
        <v/>
      </c>
      <c r="D198" s="98"/>
      <c r="E198" s="99"/>
      <c r="F198" s="97" t="str">
        <f t="shared" si="10"/>
        <v/>
      </c>
      <c r="G198" s="98"/>
      <c r="H198" s="99"/>
      <c r="I198" s="97" t="str">
        <f t="shared" si="11"/>
        <v/>
      </c>
    </row>
    <row r="199" spans="1:9" s="97" customFormat="1" ht="16.5">
      <c r="A199" s="95"/>
      <c r="B199" s="96"/>
      <c r="C199" s="97" t="str">
        <f t="shared" si="9"/>
        <v/>
      </c>
      <c r="D199" s="98"/>
      <c r="E199" s="99"/>
      <c r="F199" s="97" t="str">
        <f t="shared" si="10"/>
        <v/>
      </c>
      <c r="G199" s="98"/>
      <c r="H199" s="99"/>
      <c r="I199" s="97" t="str">
        <f t="shared" si="11"/>
        <v/>
      </c>
    </row>
    <row r="200" spans="1:9" s="97" customFormat="1" ht="16.5">
      <c r="A200" s="95"/>
      <c r="B200" s="96"/>
      <c r="C200" s="97" t="str">
        <f t="shared" si="9"/>
        <v/>
      </c>
      <c r="D200" s="98"/>
      <c r="E200" s="99"/>
      <c r="F200" s="97" t="str">
        <f t="shared" si="10"/>
        <v/>
      </c>
      <c r="G200" s="98"/>
      <c r="H200" s="99"/>
      <c r="I200" s="97" t="str">
        <f t="shared" si="11"/>
        <v/>
      </c>
    </row>
    <row r="201" spans="1:9" s="97" customFormat="1" ht="16.5">
      <c r="A201" s="95"/>
      <c r="B201" s="96"/>
      <c r="C201" s="97" t="str">
        <f t="shared" si="9"/>
        <v/>
      </c>
      <c r="D201" s="98"/>
      <c r="E201" s="99"/>
      <c r="F201" s="97" t="str">
        <f t="shared" si="10"/>
        <v/>
      </c>
      <c r="G201" s="98"/>
      <c r="H201" s="99"/>
      <c r="I201" s="97" t="str">
        <f t="shared" si="11"/>
        <v/>
      </c>
    </row>
    <row r="202" spans="1:9" s="97" customFormat="1" ht="16.5">
      <c r="A202" s="95"/>
      <c r="B202" s="96"/>
      <c r="C202" s="97" t="str">
        <f t="shared" si="9"/>
        <v/>
      </c>
      <c r="D202" s="98"/>
      <c r="E202" s="99"/>
      <c r="F202" s="97" t="str">
        <f t="shared" si="10"/>
        <v/>
      </c>
      <c r="G202" s="98"/>
      <c r="H202" s="99"/>
      <c r="I202" s="97" t="str">
        <f t="shared" si="11"/>
        <v/>
      </c>
    </row>
    <row r="203" spans="1:9" s="97" customFormat="1" ht="16.5">
      <c r="A203" s="95"/>
      <c r="B203" s="96"/>
      <c r="C203" s="97" t="str">
        <f t="shared" si="9"/>
        <v/>
      </c>
      <c r="D203" s="98"/>
      <c r="E203" s="99"/>
      <c r="F203" s="97" t="str">
        <f t="shared" si="10"/>
        <v/>
      </c>
      <c r="G203" s="98"/>
      <c r="H203" s="99"/>
      <c r="I203" s="97" t="str">
        <f t="shared" si="11"/>
        <v/>
      </c>
    </row>
    <row r="204" spans="1:9" s="97" customFormat="1" ht="16.5">
      <c r="A204" s="95"/>
      <c r="B204" s="96"/>
      <c r="C204" s="97" t="str">
        <f t="shared" si="9"/>
        <v/>
      </c>
      <c r="D204" s="98"/>
      <c r="E204" s="99"/>
      <c r="F204" s="97" t="str">
        <f t="shared" si="10"/>
        <v/>
      </c>
      <c r="G204" s="98"/>
      <c r="H204" s="99"/>
      <c r="I204" s="97" t="str">
        <f t="shared" si="11"/>
        <v/>
      </c>
    </row>
    <row r="205" spans="1:9" s="97" customFormat="1" ht="16.5">
      <c r="A205" s="95"/>
      <c r="B205" s="96"/>
      <c r="C205" s="97" t="str">
        <f t="shared" si="9"/>
        <v/>
      </c>
      <c r="D205" s="98"/>
      <c r="E205" s="99"/>
      <c r="F205" s="97" t="str">
        <f t="shared" si="10"/>
        <v/>
      </c>
      <c r="G205" s="98"/>
      <c r="H205" s="99"/>
      <c r="I205" s="97" t="str">
        <f t="shared" si="11"/>
        <v/>
      </c>
    </row>
    <row r="206" spans="1:9" s="97" customFormat="1" ht="16.5">
      <c r="A206" s="95"/>
      <c r="B206" s="96"/>
      <c r="C206" s="97" t="str">
        <f t="shared" si="9"/>
        <v/>
      </c>
      <c r="D206" s="98"/>
      <c r="E206" s="99"/>
      <c r="F206" s="97" t="str">
        <f t="shared" si="10"/>
        <v/>
      </c>
      <c r="G206" s="98"/>
      <c r="H206" s="99"/>
      <c r="I206" s="97" t="str">
        <f t="shared" si="11"/>
        <v/>
      </c>
    </row>
    <row r="207" spans="1:9" s="97" customFormat="1" ht="16.5">
      <c r="A207" s="95"/>
      <c r="B207" s="96"/>
      <c r="C207" s="97" t="str">
        <f t="shared" si="9"/>
        <v/>
      </c>
      <c r="D207" s="98"/>
      <c r="E207" s="99"/>
      <c r="F207" s="97" t="str">
        <f t="shared" si="10"/>
        <v/>
      </c>
      <c r="G207" s="98"/>
      <c r="H207" s="99"/>
      <c r="I207" s="97" t="str">
        <f t="shared" si="11"/>
        <v/>
      </c>
    </row>
    <row r="208" spans="1:9" s="97" customFormat="1" ht="16.5">
      <c r="A208" s="95"/>
      <c r="B208" s="96"/>
      <c r="C208" s="97" t="str">
        <f t="shared" si="9"/>
        <v/>
      </c>
      <c r="D208" s="98"/>
      <c r="E208" s="99"/>
      <c r="F208" s="97" t="str">
        <f t="shared" si="10"/>
        <v/>
      </c>
      <c r="G208" s="98"/>
      <c r="H208" s="99"/>
      <c r="I208" s="97" t="str">
        <f t="shared" si="11"/>
        <v/>
      </c>
    </row>
    <row r="209" spans="1:9" s="97" customFormat="1" ht="16.5">
      <c r="A209" s="95"/>
      <c r="B209" s="96"/>
      <c r="C209" s="97" t="str">
        <f t="shared" si="9"/>
        <v/>
      </c>
      <c r="D209" s="98"/>
      <c r="E209" s="99"/>
      <c r="F209" s="97" t="str">
        <f t="shared" si="10"/>
        <v/>
      </c>
      <c r="G209" s="98"/>
      <c r="H209" s="99"/>
      <c r="I209" s="97" t="str">
        <f t="shared" si="11"/>
        <v/>
      </c>
    </row>
    <row r="210" spans="1:9" s="97" customFormat="1" ht="16.5">
      <c r="A210" s="95"/>
      <c r="B210" s="96"/>
      <c r="C210" s="97" t="str">
        <f t="shared" si="9"/>
        <v/>
      </c>
      <c r="D210" s="98"/>
      <c r="E210" s="99"/>
      <c r="F210" s="97" t="str">
        <f t="shared" si="10"/>
        <v/>
      </c>
      <c r="G210" s="98"/>
      <c r="H210" s="99"/>
      <c r="I210" s="97" t="str">
        <f t="shared" si="11"/>
        <v/>
      </c>
    </row>
    <row r="211" spans="1:9" s="97" customFormat="1" ht="16.5">
      <c r="A211" s="95"/>
      <c r="B211" s="96"/>
      <c r="C211" s="97" t="str">
        <f t="shared" si="9"/>
        <v/>
      </c>
      <c r="D211" s="98"/>
      <c r="E211" s="99"/>
      <c r="F211" s="97" t="str">
        <f t="shared" si="10"/>
        <v/>
      </c>
      <c r="G211" s="98"/>
      <c r="H211" s="99"/>
      <c r="I211" s="97" t="str">
        <f t="shared" si="11"/>
        <v/>
      </c>
    </row>
    <row r="212" spans="1:9" s="97" customFormat="1" ht="16.5">
      <c r="A212" s="95"/>
      <c r="B212" s="96"/>
      <c r="C212" s="97" t="str">
        <f t="shared" si="9"/>
        <v/>
      </c>
      <c r="D212" s="98"/>
      <c r="E212" s="99"/>
      <c r="F212" s="97" t="str">
        <f t="shared" si="10"/>
        <v/>
      </c>
      <c r="G212" s="98"/>
      <c r="H212" s="99"/>
      <c r="I212" s="97" t="str">
        <f t="shared" si="11"/>
        <v/>
      </c>
    </row>
    <row r="213" spans="1:9" s="97" customFormat="1" ht="16.5">
      <c r="A213" s="95"/>
      <c r="B213" s="96"/>
      <c r="C213" s="97" t="str">
        <f t="shared" si="9"/>
        <v/>
      </c>
      <c r="D213" s="98"/>
      <c r="E213" s="99"/>
      <c r="F213" s="97" t="str">
        <f t="shared" si="10"/>
        <v/>
      </c>
      <c r="G213" s="98"/>
      <c r="H213" s="99"/>
      <c r="I213" s="97" t="str">
        <f t="shared" si="11"/>
        <v/>
      </c>
    </row>
    <row r="214" spans="1:9" s="97" customFormat="1" ht="16.5">
      <c r="A214" s="95"/>
      <c r="B214" s="96"/>
      <c r="C214" s="97" t="str">
        <f t="shared" si="9"/>
        <v/>
      </c>
      <c r="D214" s="98"/>
      <c r="E214" s="99"/>
      <c r="F214" s="97" t="str">
        <f t="shared" si="10"/>
        <v/>
      </c>
      <c r="G214" s="98"/>
      <c r="H214" s="99"/>
      <c r="I214" s="97" t="str">
        <f t="shared" si="11"/>
        <v/>
      </c>
    </row>
    <row r="215" spans="1:9" s="97" customFormat="1" ht="16.5">
      <c r="A215" s="95"/>
      <c r="B215" s="96"/>
      <c r="C215" s="97" t="str">
        <f t="shared" si="9"/>
        <v/>
      </c>
      <c r="D215" s="98"/>
      <c r="E215" s="99"/>
      <c r="F215" s="97" t="str">
        <f t="shared" si="10"/>
        <v/>
      </c>
      <c r="G215" s="98"/>
      <c r="H215" s="99"/>
      <c r="I215" s="97" t="str">
        <f t="shared" si="11"/>
        <v/>
      </c>
    </row>
    <row r="216" spans="1:9" s="97" customFormat="1" ht="16.5">
      <c r="A216" s="95"/>
      <c r="B216" s="96"/>
      <c r="C216" s="97" t="str">
        <f t="shared" si="9"/>
        <v/>
      </c>
      <c r="D216" s="98"/>
      <c r="E216" s="99"/>
      <c r="F216" s="97" t="str">
        <f t="shared" si="10"/>
        <v/>
      </c>
      <c r="G216" s="98"/>
      <c r="H216" s="99"/>
      <c r="I216" s="97" t="str">
        <f t="shared" si="11"/>
        <v/>
      </c>
    </row>
    <row r="217" spans="1:9" s="97" customFormat="1" ht="16.5">
      <c r="A217" s="95"/>
      <c r="B217" s="96"/>
      <c r="C217" s="97" t="str">
        <f t="shared" si="9"/>
        <v/>
      </c>
      <c r="D217" s="98"/>
      <c r="E217" s="99"/>
      <c r="F217" s="97" t="str">
        <f t="shared" si="10"/>
        <v/>
      </c>
      <c r="G217" s="98"/>
      <c r="H217" s="99"/>
      <c r="I217" s="97" t="str">
        <f t="shared" si="11"/>
        <v/>
      </c>
    </row>
    <row r="218" spans="1:9" s="97" customFormat="1" ht="16.5">
      <c r="A218" s="95"/>
      <c r="B218" s="96"/>
      <c r="C218" s="97" t="str">
        <f t="shared" si="9"/>
        <v/>
      </c>
      <c r="D218" s="98"/>
      <c r="E218" s="99"/>
      <c r="F218" s="97" t="str">
        <f t="shared" si="10"/>
        <v/>
      </c>
      <c r="G218" s="98"/>
      <c r="H218" s="99"/>
      <c r="I218" s="97" t="str">
        <f t="shared" si="11"/>
        <v/>
      </c>
    </row>
    <row r="219" spans="1:9" s="97" customFormat="1" ht="16.5">
      <c r="A219" s="95"/>
      <c r="B219" s="96"/>
      <c r="C219" s="97" t="str">
        <f t="shared" si="9"/>
        <v/>
      </c>
      <c r="D219" s="98"/>
      <c r="E219" s="99"/>
      <c r="F219" s="97" t="str">
        <f t="shared" si="10"/>
        <v/>
      </c>
      <c r="G219" s="98"/>
      <c r="H219" s="99"/>
      <c r="I219" s="97" t="str">
        <f t="shared" si="11"/>
        <v/>
      </c>
    </row>
    <row r="220" spans="1:9" s="97" customFormat="1" ht="16.5">
      <c r="A220" s="95"/>
      <c r="B220" s="96"/>
      <c r="C220" s="97" t="str">
        <f t="shared" si="9"/>
        <v/>
      </c>
      <c r="D220" s="98"/>
      <c r="E220" s="99"/>
      <c r="F220" s="97" t="str">
        <f t="shared" si="10"/>
        <v/>
      </c>
      <c r="G220" s="98"/>
      <c r="H220" s="99"/>
      <c r="I220" s="97" t="str">
        <f t="shared" si="11"/>
        <v/>
      </c>
    </row>
    <row r="221" spans="1:9" s="97" customFormat="1" ht="16.5">
      <c r="A221" s="95"/>
      <c r="B221" s="96"/>
      <c r="C221" s="97" t="str">
        <f t="shared" si="9"/>
        <v/>
      </c>
      <c r="D221" s="98"/>
      <c r="E221" s="99"/>
      <c r="F221" s="97" t="str">
        <f t="shared" si="10"/>
        <v/>
      </c>
      <c r="G221" s="98"/>
      <c r="H221" s="99"/>
      <c r="I221" s="97" t="str">
        <f t="shared" si="11"/>
        <v/>
      </c>
    </row>
    <row r="222" spans="1:9" s="97" customFormat="1" ht="16.5">
      <c r="A222" s="95"/>
      <c r="B222" s="96"/>
      <c r="C222" s="97" t="str">
        <f t="shared" si="9"/>
        <v/>
      </c>
      <c r="D222" s="98"/>
      <c r="E222" s="99"/>
      <c r="F222" s="97" t="str">
        <f t="shared" si="10"/>
        <v/>
      </c>
      <c r="G222" s="98"/>
      <c r="H222" s="99"/>
      <c r="I222" s="97" t="str">
        <f t="shared" si="11"/>
        <v/>
      </c>
    </row>
    <row r="223" spans="1:9" s="97" customFormat="1" ht="16.5">
      <c r="A223" s="95"/>
      <c r="B223" s="96"/>
      <c r="C223" s="97" t="str">
        <f t="shared" si="9"/>
        <v/>
      </c>
      <c r="D223" s="98"/>
      <c r="E223" s="99"/>
      <c r="F223" s="97" t="str">
        <f t="shared" si="10"/>
        <v/>
      </c>
      <c r="G223" s="98"/>
      <c r="H223" s="99"/>
      <c r="I223" s="97" t="str">
        <f t="shared" si="11"/>
        <v/>
      </c>
    </row>
    <row r="224" spans="1:9" s="97" customFormat="1" ht="16.5">
      <c r="A224" s="95"/>
      <c r="B224" s="96"/>
      <c r="C224" s="97" t="str">
        <f t="shared" si="9"/>
        <v/>
      </c>
      <c r="D224" s="98"/>
      <c r="E224" s="99"/>
      <c r="F224" s="97" t="str">
        <f t="shared" si="10"/>
        <v/>
      </c>
      <c r="G224" s="98"/>
      <c r="H224" s="99"/>
      <c r="I224" s="97" t="str">
        <f t="shared" si="11"/>
        <v/>
      </c>
    </row>
    <row r="225" spans="1:9" s="97" customFormat="1" ht="16.5">
      <c r="A225" s="95"/>
      <c r="B225" s="96"/>
      <c r="C225" s="97" t="str">
        <f t="shared" si="9"/>
        <v/>
      </c>
      <c r="D225" s="98"/>
      <c r="E225" s="99"/>
      <c r="F225" s="97" t="str">
        <f t="shared" si="10"/>
        <v/>
      </c>
      <c r="G225" s="98"/>
      <c r="H225" s="99"/>
      <c r="I225" s="97" t="str">
        <f t="shared" si="11"/>
        <v/>
      </c>
    </row>
    <row r="226" spans="1:9" s="97" customFormat="1" ht="16.5">
      <c r="A226" s="95"/>
      <c r="B226" s="96"/>
      <c r="C226" s="97" t="str">
        <f t="shared" si="9"/>
        <v/>
      </c>
      <c r="D226" s="98"/>
      <c r="E226" s="99"/>
      <c r="F226" s="97" t="str">
        <f t="shared" si="10"/>
        <v/>
      </c>
      <c r="G226" s="98"/>
      <c r="H226" s="99"/>
      <c r="I226" s="97" t="str">
        <f t="shared" si="11"/>
        <v/>
      </c>
    </row>
    <row r="227" spans="1:9" s="97" customFormat="1" ht="16.5">
      <c r="A227" s="95"/>
      <c r="B227" s="96"/>
      <c r="C227" s="97" t="str">
        <f t="shared" si="9"/>
        <v/>
      </c>
      <c r="D227" s="98"/>
      <c r="E227" s="99"/>
      <c r="F227" s="97" t="str">
        <f t="shared" si="10"/>
        <v/>
      </c>
      <c r="G227" s="98"/>
      <c r="H227" s="99"/>
      <c r="I227" s="97" t="str">
        <f t="shared" si="11"/>
        <v/>
      </c>
    </row>
    <row r="228" spans="1:9" s="97" customFormat="1" ht="16.5">
      <c r="A228" s="95"/>
      <c r="B228" s="96"/>
      <c r="C228" s="97" t="str">
        <f t="shared" si="9"/>
        <v/>
      </c>
      <c r="D228" s="98"/>
      <c r="E228" s="99"/>
      <c r="F228" s="97" t="str">
        <f t="shared" si="10"/>
        <v/>
      </c>
      <c r="G228" s="98"/>
      <c r="H228" s="99"/>
      <c r="I228" s="97" t="str">
        <f t="shared" si="11"/>
        <v/>
      </c>
    </row>
    <row r="229" spans="1:9" s="97" customFormat="1" ht="16.5">
      <c r="A229" s="95"/>
      <c r="B229" s="96"/>
      <c r="C229" s="97" t="str">
        <f t="shared" si="9"/>
        <v/>
      </c>
      <c r="D229" s="98"/>
      <c r="E229" s="99"/>
      <c r="F229" s="97" t="str">
        <f t="shared" si="10"/>
        <v/>
      </c>
      <c r="G229" s="98"/>
      <c r="H229" s="99"/>
      <c r="I229" s="97" t="str">
        <f t="shared" si="11"/>
        <v/>
      </c>
    </row>
    <row r="230" spans="1:9" s="97" customFormat="1" ht="16.5">
      <c r="A230" s="95"/>
      <c r="B230" s="96"/>
      <c r="C230" s="97" t="str">
        <f t="shared" si="9"/>
        <v/>
      </c>
      <c r="D230" s="98"/>
      <c r="E230" s="99"/>
      <c r="F230" s="97" t="str">
        <f t="shared" si="10"/>
        <v/>
      </c>
      <c r="G230" s="98"/>
      <c r="H230" s="99"/>
      <c r="I230" s="97" t="str">
        <f t="shared" si="11"/>
        <v/>
      </c>
    </row>
    <row r="231" spans="1:9" s="97" customFormat="1" ht="16.5">
      <c r="A231" s="95"/>
      <c r="B231" s="96"/>
      <c r="C231" s="97" t="str">
        <f t="shared" si="9"/>
        <v/>
      </c>
      <c r="D231" s="98"/>
      <c r="E231" s="99"/>
      <c r="F231" s="97" t="str">
        <f t="shared" si="10"/>
        <v/>
      </c>
      <c r="G231" s="98"/>
      <c r="H231" s="99"/>
      <c r="I231" s="97" t="str">
        <f t="shared" si="11"/>
        <v/>
      </c>
    </row>
    <row r="232" spans="1:9" s="97" customFormat="1" ht="16.5">
      <c r="A232" s="95"/>
      <c r="B232" s="96"/>
      <c r="C232" s="97" t="str">
        <f t="shared" si="9"/>
        <v/>
      </c>
      <c r="D232" s="98"/>
      <c r="E232" s="99"/>
      <c r="F232" s="97" t="str">
        <f t="shared" si="10"/>
        <v/>
      </c>
      <c r="G232" s="98"/>
      <c r="H232" s="99"/>
      <c r="I232" s="97" t="str">
        <f t="shared" si="11"/>
        <v/>
      </c>
    </row>
    <row r="233" spans="1:9" s="97" customFormat="1" ht="16.5">
      <c r="A233" s="95"/>
      <c r="B233" s="96"/>
      <c r="C233" s="97" t="str">
        <f t="shared" si="9"/>
        <v/>
      </c>
      <c r="D233" s="98"/>
      <c r="E233" s="99"/>
      <c r="F233" s="97" t="str">
        <f t="shared" si="10"/>
        <v/>
      </c>
      <c r="G233" s="98"/>
      <c r="H233" s="99"/>
      <c r="I233" s="97" t="str">
        <f t="shared" si="11"/>
        <v/>
      </c>
    </row>
    <row r="234" spans="1:9" s="97" customFormat="1" ht="16.5">
      <c r="A234" s="95"/>
      <c r="B234" s="96"/>
      <c r="C234" s="97" t="str">
        <f t="shared" si="9"/>
        <v/>
      </c>
      <c r="D234" s="98"/>
      <c r="E234" s="99"/>
      <c r="F234" s="97" t="str">
        <f t="shared" si="10"/>
        <v/>
      </c>
      <c r="G234" s="98"/>
      <c r="H234" s="99"/>
      <c r="I234" s="97" t="str">
        <f t="shared" si="11"/>
        <v/>
      </c>
    </row>
    <row r="235" spans="1:9" s="97" customFormat="1" ht="16.5">
      <c r="A235" s="95"/>
      <c r="B235" s="96"/>
      <c r="C235" s="97" t="str">
        <f t="shared" si="9"/>
        <v/>
      </c>
      <c r="D235" s="98"/>
      <c r="E235" s="99"/>
      <c r="F235" s="97" t="str">
        <f t="shared" si="10"/>
        <v/>
      </c>
      <c r="G235" s="98"/>
      <c r="H235" s="99"/>
      <c r="I235" s="97" t="str">
        <f t="shared" si="11"/>
        <v/>
      </c>
    </row>
    <row r="236" spans="1:9" s="97" customFormat="1" ht="16.5">
      <c r="A236" s="95"/>
      <c r="B236" s="96"/>
      <c r="C236" s="97" t="str">
        <f t="shared" si="9"/>
        <v/>
      </c>
      <c r="D236" s="98"/>
      <c r="E236" s="99"/>
      <c r="F236" s="97" t="str">
        <f t="shared" si="10"/>
        <v/>
      </c>
      <c r="G236" s="98"/>
      <c r="H236" s="99"/>
      <c r="I236" s="97" t="str">
        <f t="shared" si="11"/>
        <v/>
      </c>
    </row>
    <row r="237" spans="1:9" s="97" customFormat="1" ht="16.5">
      <c r="A237" s="95"/>
      <c r="B237" s="96"/>
      <c r="C237" s="97" t="str">
        <f t="shared" si="9"/>
        <v/>
      </c>
      <c r="D237" s="98"/>
      <c r="E237" s="99"/>
      <c r="F237" s="97" t="str">
        <f t="shared" si="10"/>
        <v/>
      </c>
      <c r="G237" s="98"/>
      <c r="H237" s="99"/>
      <c r="I237" s="97" t="str">
        <f t="shared" si="11"/>
        <v/>
      </c>
    </row>
    <row r="238" spans="1:9" s="97" customFormat="1" ht="16.5">
      <c r="A238" s="95"/>
      <c r="B238" s="96"/>
      <c r="C238" s="97" t="str">
        <f t="shared" si="9"/>
        <v/>
      </c>
      <c r="D238" s="98"/>
      <c r="E238" s="99"/>
      <c r="F238" s="97" t="str">
        <f t="shared" si="10"/>
        <v/>
      </c>
      <c r="G238" s="98"/>
      <c r="H238" s="99"/>
      <c r="I238" s="97" t="str">
        <f t="shared" si="11"/>
        <v/>
      </c>
    </row>
    <row r="239" spans="1:9" s="97" customFormat="1" ht="16.5">
      <c r="A239" s="95"/>
      <c r="B239" s="96"/>
      <c r="C239" s="97" t="str">
        <f t="shared" si="9"/>
        <v/>
      </c>
      <c r="D239" s="98"/>
      <c r="E239" s="99"/>
      <c r="F239" s="97" t="str">
        <f t="shared" si="10"/>
        <v/>
      </c>
      <c r="G239" s="98"/>
      <c r="H239" s="99"/>
      <c r="I239" s="97" t="str">
        <f t="shared" si="11"/>
        <v/>
      </c>
    </row>
    <row r="240" spans="1:9" s="97" customFormat="1" ht="16.5">
      <c r="A240" s="95"/>
      <c r="B240" s="96"/>
      <c r="C240" s="97" t="str">
        <f t="shared" si="9"/>
        <v/>
      </c>
      <c r="D240" s="98"/>
      <c r="E240" s="99"/>
      <c r="F240" s="97" t="str">
        <f t="shared" si="10"/>
        <v/>
      </c>
      <c r="G240" s="98"/>
      <c r="H240" s="99"/>
      <c r="I240" s="97" t="str">
        <f t="shared" si="11"/>
        <v/>
      </c>
    </row>
    <row r="241" spans="1:9" s="97" customFormat="1" ht="16.5">
      <c r="A241" s="95"/>
      <c r="B241" s="96"/>
      <c r="C241" s="97" t="str">
        <f t="shared" si="9"/>
        <v/>
      </c>
      <c r="D241" s="98"/>
      <c r="E241" s="99"/>
      <c r="F241" s="97" t="str">
        <f t="shared" si="10"/>
        <v/>
      </c>
      <c r="G241" s="98"/>
      <c r="H241" s="99"/>
      <c r="I241" s="97" t="str">
        <f t="shared" si="11"/>
        <v/>
      </c>
    </row>
    <row r="242" spans="1:9" s="97" customFormat="1" ht="16.5">
      <c r="A242" s="98"/>
      <c r="B242" s="99"/>
      <c r="C242" s="97" t="str">
        <f t="shared" si="9"/>
        <v/>
      </c>
      <c r="D242" s="98"/>
      <c r="E242" s="99"/>
      <c r="F242" s="97" t="str">
        <f t="shared" si="10"/>
        <v/>
      </c>
      <c r="G242" s="98"/>
      <c r="H242" s="99"/>
      <c r="I242" s="97" t="str">
        <f t="shared" si="11"/>
        <v/>
      </c>
    </row>
    <row r="243" spans="1:9" s="97" customFormat="1" ht="16.5">
      <c r="A243" s="98"/>
      <c r="B243" s="99"/>
      <c r="C243" s="97" t="str">
        <f t="shared" si="9"/>
        <v/>
      </c>
      <c r="D243" s="98"/>
      <c r="E243" s="99"/>
      <c r="F243" s="97" t="str">
        <f t="shared" si="10"/>
        <v/>
      </c>
      <c r="G243" s="98"/>
      <c r="H243" s="99"/>
      <c r="I243" s="97" t="str">
        <f t="shared" si="11"/>
        <v/>
      </c>
    </row>
    <row r="244" spans="1:9" s="97" customFormat="1" ht="16.5">
      <c r="A244" s="98"/>
      <c r="B244" s="99"/>
      <c r="C244" s="97" t="str">
        <f t="shared" si="9"/>
        <v/>
      </c>
      <c r="D244" s="98"/>
      <c r="E244" s="99"/>
      <c r="F244" s="97" t="str">
        <f t="shared" si="10"/>
        <v/>
      </c>
      <c r="G244" s="98"/>
      <c r="H244" s="99"/>
      <c r="I244" s="97" t="str">
        <f t="shared" si="11"/>
        <v/>
      </c>
    </row>
    <row r="245" spans="1:9" s="97" customFormat="1" ht="16.5">
      <c r="A245" s="98"/>
      <c r="B245" s="99"/>
      <c r="C245" s="97" t="str">
        <f t="shared" si="9"/>
        <v/>
      </c>
      <c r="D245" s="98"/>
      <c r="E245" s="99"/>
      <c r="F245" s="97" t="str">
        <f t="shared" si="10"/>
        <v/>
      </c>
      <c r="G245" s="98"/>
      <c r="H245" s="99"/>
      <c r="I245" s="97" t="str">
        <f t="shared" si="11"/>
        <v/>
      </c>
    </row>
    <row r="246" spans="1:9" s="97" customFormat="1" ht="16.5">
      <c r="A246" s="98"/>
      <c r="B246" s="99"/>
      <c r="C246" s="97" t="str">
        <f t="shared" si="9"/>
        <v/>
      </c>
      <c r="D246" s="98"/>
      <c r="E246" s="99"/>
      <c r="F246" s="97" t="str">
        <f t="shared" si="10"/>
        <v/>
      </c>
      <c r="G246" s="98"/>
      <c r="H246" s="99"/>
      <c r="I246" s="97" t="str">
        <f t="shared" si="11"/>
        <v/>
      </c>
    </row>
    <row r="247" spans="1:9" s="97" customFormat="1" ht="16.5">
      <c r="A247" s="98"/>
      <c r="B247" s="99"/>
      <c r="C247" s="97" t="str">
        <f t="shared" si="9"/>
        <v/>
      </c>
      <c r="D247" s="98"/>
      <c r="E247" s="99"/>
      <c r="F247" s="97" t="str">
        <f t="shared" si="10"/>
        <v/>
      </c>
      <c r="G247" s="98"/>
      <c r="H247" s="99"/>
      <c r="I247" s="97" t="str">
        <f t="shared" si="11"/>
        <v/>
      </c>
    </row>
    <row r="248" spans="1:9" s="97" customFormat="1" ht="16.5">
      <c r="A248" s="98"/>
      <c r="B248" s="99"/>
      <c r="C248" s="97" t="str">
        <f t="shared" si="9"/>
        <v/>
      </c>
      <c r="D248" s="98"/>
      <c r="E248" s="99"/>
      <c r="F248" s="97" t="str">
        <f t="shared" si="10"/>
        <v/>
      </c>
      <c r="G248" s="98"/>
      <c r="H248" s="99"/>
      <c r="I248" s="97" t="str">
        <f t="shared" si="11"/>
        <v/>
      </c>
    </row>
    <row r="249" spans="1:9" s="97" customFormat="1" ht="16.5">
      <c r="A249" s="98"/>
      <c r="B249" s="99"/>
      <c r="C249" s="97" t="str">
        <f t="shared" si="9"/>
        <v/>
      </c>
      <c r="D249" s="98"/>
      <c r="E249" s="99"/>
      <c r="F249" s="97" t="str">
        <f t="shared" si="10"/>
        <v/>
      </c>
      <c r="G249" s="98"/>
      <c r="H249" s="99"/>
      <c r="I249" s="97" t="str">
        <f t="shared" si="11"/>
        <v/>
      </c>
    </row>
    <row r="250" spans="1:9" s="97" customFormat="1" ht="16.5">
      <c r="A250" s="98"/>
      <c r="B250" s="99"/>
      <c r="C250" s="97" t="str">
        <f t="shared" si="9"/>
        <v/>
      </c>
      <c r="D250" s="98"/>
      <c r="E250" s="99"/>
      <c r="F250" s="97" t="str">
        <f t="shared" si="10"/>
        <v/>
      </c>
      <c r="G250" s="98"/>
      <c r="H250" s="99"/>
      <c r="I250" s="97" t="str">
        <f t="shared" si="11"/>
        <v/>
      </c>
    </row>
    <row r="251" spans="1:9" s="97" customFormat="1" ht="16.5">
      <c r="A251" s="98"/>
      <c r="B251" s="99"/>
      <c r="C251" s="97" t="str">
        <f t="shared" si="9"/>
        <v/>
      </c>
      <c r="D251" s="98"/>
      <c r="E251" s="99"/>
      <c r="F251" s="97" t="str">
        <f t="shared" si="10"/>
        <v/>
      </c>
      <c r="G251" s="98"/>
      <c r="H251" s="99"/>
      <c r="I251" s="97" t="str">
        <f t="shared" si="11"/>
        <v/>
      </c>
    </row>
    <row r="252" spans="1:9" s="97" customFormat="1" ht="16.5">
      <c r="A252" s="98"/>
      <c r="B252" s="99"/>
      <c r="C252" s="97" t="str">
        <f t="shared" si="9"/>
        <v/>
      </c>
      <c r="D252" s="98"/>
      <c r="E252" s="99"/>
      <c r="F252" s="97" t="str">
        <f t="shared" si="10"/>
        <v/>
      </c>
      <c r="G252" s="98"/>
      <c r="H252" s="99"/>
      <c r="I252" s="97" t="str">
        <f t="shared" si="11"/>
        <v/>
      </c>
    </row>
    <row r="253" spans="1:9" s="97" customFormat="1" ht="16.5">
      <c r="A253" s="98"/>
      <c r="B253" s="99"/>
      <c r="C253" s="97" t="str">
        <f t="shared" si="9"/>
        <v/>
      </c>
      <c r="D253" s="98"/>
      <c r="E253" s="99"/>
      <c r="F253" s="97" t="str">
        <f t="shared" si="10"/>
        <v/>
      </c>
      <c r="G253" s="98"/>
      <c r="H253" s="99"/>
      <c r="I253" s="97" t="str">
        <f t="shared" si="11"/>
        <v/>
      </c>
    </row>
    <row r="254" spans="1:9" s="97" customFormat="1" ht="16.5">
      <c r="A254" s="98"/>
      <c r="B254" s="99"/>
      <c r="C254" s="97" t="str">
        <f t="shared" si="9"/>
        <v/>
      </c>
      <c r="D254" s="98"/>
      <c r="E254" s="99"/>
      <c r="F254" s="97" t="str">
        <f t="shared" si="10"/>
        <v/>
      </c>
      <c r="G254" s="98"/>
      <c r="H254" s="99"/>
      <c r="I254" s="97" t="str">
        <f t="shared" si="11"/>
        <v/>
      </c>
    </row>
    <row r="255" spans="1:9" s="97" customFormat="1" ht="16.5">
      <c r="A255" s="98"/>
      <c r="B255" s="99"/>
      <c r="C255" s="97" t="str">
        <f t="shared" si="9"/>
        <v/>
      </c>
      <c r="D255" s="98"/>
      <c r="E255" s="99"/>
      <c r="F255" s="97" t="str">
        <f t="shared" si="10"/>
        <v/>
      </c>
      <c r="G255" s="98"/>
      <c r="H255" s="99"/>
      <c r="I255" s="97" t="str">
        <f t="shared" si="11"/>
        <v/>
      </c>
    </row>
    <row r="256" spans="1:9" s="97" customFormat="1" ht="16.5">
      <c r="A256" s="98"/>
      <c r="B256" s="99"/>
      <c r="C256" s="97" t="str">
        <f t="shared" si="9"/>
        <v/>
      </c>
      <c r="D256" s="98"/>
      <c r="E256" s="99"/>
      <c r="F256" s="97" t="str">
        <f t="shared" si="10"/>
        <v/>
      </c>
      <c r="G256" s="98"/>
      <c r="H256" s="99"/>
      <c r="I256" s="97" t="str">
        <f t="shared" si="11"/>
        <v/>
      </c>
    </row>
    <row r="257" spans="1:9" s="97" customFormat="1" ht="16.5">
      <c r="A257" s="98"/>
      <c r="B257" s="99"/>
      <c r="C257" s="97" t="str">
        <f t="shared" si="9"/>
        <v/>
      </c>
      <c r="D257" s="98"/>
      <c r="E257" s="99"/>
      <c r="F257" s="97" t="str">
        <f t="shared" si="10"/>
        <v/>
      </c>
      <c r="G257" s="98"/>
      <c r="H257" s="99"/>
      <c r="I257" s="97" t="str">
        <f t="shared" si="11"/>
        <v/>
      </c>
    </row>
    <row r="258" spans="1:9" s="97" customFormat="1" ht="16.5">
      <c r="A258" s="98"/>
      <c r="B258" s="99"/>
      <c r="C258" s="97" t="str">
        <f t="shared" si="9"/>
        <v/>
      </c>
      <c r="D258" s="98"/>
      <c r="E258" s="99"/>
      <c r="F258" s="97" t="str">
        <f t="shared" si="10"/>
        <v/>
      </c>
      <c r="G258" s="98"/>
      <c r="H258" s="99"/>
      <c r="I258" s="97" t="str">
        <f t="shared" si="11"/>
        <v/>
      </c>
    </row>
    <row r="259" spans="1:9" s="97" customFormat="1" ht="16.5">
      <c r="A259" s="98"/>
      <c r="B259" s="99"/>
      <c r="C259" s="97" t="str">
        <f t="shared" si="9"/>
        <v/>
      </c>
      <c r="D259" s="98"/>
      <c r="E259" s="99"/>
      <c r="F259" s="97" t="str">
        <f t="shared" si="10"/>
        <v/>
      </c>
      <c r="G259" s="98"/>
      <c r="H259" s="99"/>
      <c r="I259" s="97" t="str">
        <f t="shared" si="11"/>
        <v/>
      </c>
    </row>
    <row r="260" spans="1:9" s="97" customFormat="1" ht="16.5">
      <c r="A260" s="98"/>
      <c r="B260" s="99"/>
      <c r="C260" s="97" t="str">
        <f t="shared" si="9"/>
        <v/>
      </c>
      <c r="D260" s="98"/>
      <c r="E260" s="99"/>
      <c r="F260" s="97" t="str">
        <f t="shared" si="10"/>
        <v/>
      </c>
      <c r="G260" s="98"/>
      <c r="H260" s="99"/>
      <c r="I260" s="97" t="str">
        <f t="shared" si="11"/>
        <v/>
      </c>
    </row>
    <row r="261" spans="1:9" s="97" customFormat="1" ht="16.5">
      <c r="A261" s="98"/>
      <c r="B261" s="99"/>
      <c r="C261" s="97" t="str">
        <f t="shared" ref="C261:C304" si="12">IF(B261&gt;0,TEXT(B261,"(aaa)"),"")</f>
        <v/>
      </c>
      <c r="D261" s="98"/>
      <c r="E261" s="99"/>
      <c r="F261" s="97" t="str">
        <f t="shared" ref="F261:F304" si="13">IF(E261&gt;0,TEXT(E261,"(aaa)"),"")</f>
        <v/>
      </c>
      <c r="G261" s="98"/>
      <c r="H261" s="99"/>
      <c r="I261" s="97" t="str">
        <f t="shared" ref="I261:I304" si="14">IF(H261&gt;0,TEXT(H261,"(aaa)"),"")</f>
        <v/>
      </c>
    </row>
    <row r="262" spans="1:9" s="97" customFormat="1" ht="16.5">
      <c r="A262" s="98"/>
      <c r="B262" s="99"/>
      <c r="C262" s="97" t="str">
        <f t="shared" si="12"/>
        <v/>
      </c>
      <c r="D262" s="98"/>
      <c r="E262" s="99"/>
      <c r="F262" s="97" t="str">
        <f t="shared" si="13"/>
        <v/>
      </c>
      <c r="G262" s="98"/>
      <c r="H262" s="99"/>
      <c r="I262" s="97" t="str">
        <f t="shared" si="14"/>
        <v/>
      </c>
    </row>
    <row r="263" spans="1:9" s="97" customFormat="1" ht="16.5">
      <c r="A263" s="98"/>
      <c r="B263" s="99"/>
      <c r="C263" s="97" t="str">
        <f t="shared" si="12"/>
        <v/>
      </c>
      <c r="D263" s="98"/>
      <c r="E263" s="99"/>
      <c r="F263" s="97" t="str">
        <f t="shared" si="13"/>
        <v/>
      </c>
      <c r="G263" s="98"/>
      <c r="H263" s="99"/>
      <c r="I263" s="97" t="str">
        <f t="shared" si="14"/>
        <v/>
      </c>
    </row>
    <row r="264" spans="1:9" s="97" customFormat="1" ht="16.5">
      <c r="A264" s="98"/>
      <c r="B264" s="99"/>
      <c r="C264" s="97" t="str">
        <f t="shared" si="12"/>
        <v/>
      </c>
      <c r="D264" s="98"/>
      <c r="E264" s="99"/>
      <c r="F264" s="97" t="str">
        <f t="shared" si="13"/>
        <v/>
      </c>
      <c r="G264" s="98"/>
      <c r="H264" s="99"/>
      <c r="I264" s="97" t="str">
        <f t="shared" si="14"/>
        <v/>
      </c>
    </row>
    <row r="265" spans="1:9" s="97" customFormat="1" ht="16.5">
      <c r="A265" s="98"/>
      <c r="B265" s="99"/>
      <c r="C265" s="97" t="str">
        <f t="shared" si="12"/>
        <v/>
      </c>
      <c r="D265" s="98"/>
      <c r="E265" s="99"/>
      <c r="F265" s="97" t="str">
        <f t="shared" si="13"/>
        <v/>
      </c>
      <c r="G265" s="98"/>
      <c r="H265" s="99"/>
      <c r="I265" s="97" t="str">
        <f t="shared" si="14"/>
        <v/>
      </c>
    </row>
    <row r="266" spans="1:9" s="97" customFormat="1" ht="16.5">
      <c r="A266" s="98"/>
      <c r="B266" s="99"/>
      <c r="C266" s="97" t="str">
        <f t="shared" si="12"/>
        <v/>
      </c>
      <c r="D266" s="98"/>
      <c r="E266" s="99"/>
      <c r="F266" s="97" t="str">
        <f t="shared" si="13"/>
        <v/>
      </c>
      <c r="G266" s="98"/>
      <c r="H266" s="99"/>
      <c r="I266" s="97" t="str">
        <f t="shared" si="14"/>
        <v/>
      </c>
    </row>
    <row r="267" spans="1:9" s="97" customFormat="1" ht="16.5">
      <c r="A267" s="98"/>
      <c r="B267" s="99"/>
      <c r="C267" s="97" t="str">
        <f t="shared" si="12"/>
        <v/>
      </c>
      <c r="D267" s="98"/>
      <c r="E267" s="99"/>
      <c r="F267" s="97" t="str">
        <f t="shared" si="13"/>
        <v/>
      </c>
      <c r="G267" s="98"/>
      <c r="H267" s="99"/>
      <c r="I267" s="97" t="str">
        <f t="shared" si="14"/>
        <v/>
      </c>
    </row>
    <row r="268" spans="1:9" s="97" customFormat="1" ht="16.5">
      <c r="A268" s="98"/>
      <c r="B268" s="99"/>
      <c r="C268" s="97" t="str">
        <f t="shared" si="12"/>
        <v/>
      </c>
      <c r="D268" s="98"/>
      <c r="E268" s="99"/>
      <c r="F268" s="97" t="str">
        <f t="shared" si="13"/>
        <v/>
      </c>
      <c r="G268" s="98"/>
      <c r="H268" s="99"/>
      <c r="I268" s="97" t="str">
        <f t="shared" si="14"/>
        <v/>
      </c>
    </row>
    <row r="269" spans="1:9" s="97" customFormat="1" ht="16.5">
      <c r="A269" s="98"/>
      <c r="B269" s="99"/>
      <c r="C269" s="97" t="str">
        <f t="shared" si="12"/>
        <v/>
      </c>
      <c r="D269" s="98"/>
      <c r="E269" s="99"/>
      <c r="F269" s="97" t="str">
        <f t="shared" si="13"/>
        <v/>
      </c>
      <c r="G269" s="98"/>
      <c r="H269" s="99"/>
      <c r="I269" s="97" t="str">
        <f t="shared" si="14"/>
        <v/>
      </c>
    </row>
    <row r="270" spans="1:9" s="97" customFormat="1" ht="16.5">
      <c r="A270" s="98"/>
      <c r="B270" s="99"/>
      <c r="C270" s="97" t="str">
        <f t="shared" si="12"/>
        <v/>
      </c>
      <c r="D270" s="98"/>
      <c r="E270" s="99"/>
      <c r="F270" s="97" t="str">
        <f t="shared" si="13"/>
        <v/>
      </c>
      <c r="G270" s="98"/>
      <c r="H270" s="99"/>
      <c r="I270" s="97" t="str">
        <f t="shared" si="14"/>
        <v/>
      </c>
    </row>
    <row r="271" spans="1:9" s="97" customFormat="1" ht="16.5">
      <c r="A271" s="98"/>
      <c r="B271" s="99"/>
      <c r="C271" s="97" t="str">
        <f t="shared" si="12"/>
        <v/>
      </c>
      <c r="D271" s="98"/>
      <c r="E271" s="99"/>
      <c r="F271" s="97" t="str">
        <f t="shared" si="13"/>
        <v/>
      </c>
      <c r="G271" s="98"/>
      <c r="H271" s="99"/>
      <c r="I271" s="97" t="str">
        <f t="shared" si="14"/>
        <v/>
      </c>
    </row>
    <row r="272" spans="1:9" s="97" customFormat="1" ht="16.5">
      <c r="A272" s="98"/>
      <c r="B272" s="99"/>
      <c r="C272" s="97" t="str">
        <f t="shared" si="12"/>
        <v/>
      </c>
      <c r="D272" s="98"/>
      <c r="E272" s="99"/>
      <c r="F272" s="97" t="str">
        <f t="shared" si="13"/>
        <v/>
      </c>
      <c r="G272" s="98"/>
      <c r="H272" s="99"/>
      <c r="I272" s="97" t="str">
        <f t="shared" si="14"/>
        <v/>
      </c>
    </row>
    <row r="273" spans="1:9" s="97" customFormat="1" ht="16.5">
      <c r="A273" s="98"/>
      <c r="B273" s="99"/>
      <c r="C273" s="97" t="str">
        <f t="shared" si="12"/>
        <v/>
      </c>
      <c r="D273" s="98"/>
      <c r="E273" s="99"/>
      <c r="F273" s="97" t="str">
        <f t="shared" si="13"/>
        <v/>
      </c>
      <c r="G273" s="98"/>
      <c r="H273" s="99"/>
      <c r="I273" s="97" t="str">
        <f t="shared" si="14"/>
        <v/>
      </c>
    </row>
    <row r="274" spans="1:9" s="97" customFormat="1" ht="16.5">
      <c r="A274" s="98"/>
      <c r="B274" s="99"/>
      <c r="C274" s="97" t="str">
        <f t="shared" si="12"/>
        <v/>
      </c>
      <c r="D274" s="98"/>
      <c r="E274" s="99"/>
      <c r="F274" s="97" t="str">
        <f t="shared" si="13"/>
        <v/>
      </c>
      <c r="G274" s="98"/>
      <c r="H274" s="99"/>
      <c r="I274" s="97" t="str">
        <f t="shared" si="14"/>
        <v/>
      </c>
    </row>
    <row r="275" spans="1:9" s="97" customFormat="1" ht="16.5">
      <c r="A275" s="98"/>
      <c r="B275" s="99"/>
      <c r="C275" s="97" t="str">
        <f t="shared" si="12"/>
        <v/>
      </c>
      <c r="D275" s="98"/>
      <c r="E275" s="99"/>
      <c r="F275" s="97" t="str">
        <f t="shared" si="13"/>
        <v/>
      </c>
      <c r="G275" s="98"/>
      <c r="H275" s="99"/>
      <c r="I275" s="97" t="str">
        <f t="shared" si="14"/>
        <v/>
      </c>
    </row>
    <row r="276" spans="1:9" s="97" customFormat="1" ht="16.5">
      <c r="A276" s="98"/>
      <c r="B276" s="99"/>
      <c r="C276" s="97" t="str">
        <f t="shared" si="12"/>
        <v/>
      </c>
      <c r="D276" s="98"/>
      <c r="E276" s="99"/>
      <c r="F276" s="97" t="str">
        <f t="shared" si="13"/>
        <v/>
      </c>
      <c r="G276" s="98"/>
      <c r="H276" s="99"/>
      <c r="I276" s="97" t="str">
        <f t="shared" si="14"/>
        <v/>
      </c>
    </row>
    <row r="277" spans="1:9" s="97" customFormat="1" ht="16.5">
      <c r="A277" s="98"/>
      <c r="B277" s="99"/>
      <c r="C277" s="97" t="str">
        <f t="shared" si="12"/>
        <v/>
      </c>
      <c r="D277" s="98"/>
      <c r="E277" s="99"/>
      <c r="F277" s="97" t="str">
        <f t="shared" si="13"/>
        <v/>
      </c>
      <c r="G277" s="98"/>
      <c r="H277" s="99"/>
      <c r="I277" s="97" t="str">
        <f t="shared" si="14"/>
        <v/>
      </c>
    </row>
    <row r="278" spans="1:9" s="97" customFormat="1" ht="16.5">
      <c r="A278" s="98"/>
      <c r="B278" s="99"/>
      <c r="C278" s="97" t="str">
        <f t="shared" si="12"/>
        <v/>
      </c>
      <c r="D278" s="98"/>
      <c r="E278" s="99"/>
      <c r="F278" s="97" t="str">
        <f t="shared" si="13"/>
        <v/>
      </c>
      <c r="G278" s="98"/>
      <c r="H278" s="99"/>
      <c r="I278" s="97" t="str">
        <f t="shared" si="14"/>
        <v/>
      </c>
    </row>
    <row r="279" spans="1:9" s="97" customFormat="1" ht="16.5">
      <c r="A279" s="98"/>
      <c r="B279" s="99"/>
      <c r="C279" s="97" t="str">
        <f t="shared" si="12"/>
        <v/>
      </c>
      <c r="D279" s="98"/>
      <c r="E279" s="99"/>
      <c r="F279" s="97" t="str">
        <f t="shared" si="13"/>
        <v/>
      </c>
      <c r="G279" s="98"/>
      <c r="H279" s="99"/>
      <c r="I279" s="97" t="str">
        <f t="shared" si="14"/>
        <v/>
      </c>
    </row>
    <row r="280" spans="1:9" s="97" customFormat="1" ht="16.5">
      <c r="A280" s="98"/>
      <c r="B280" s="99"/>
      <c r="C280" s="97" t="str">
        <f t="shared" si="12"/>
        <v/>
      </c>
      <c r="D280" s="98"/>
      <c r="E280" s="99"/>
      <c r="F280" s="97" t="str">
        <f t="shared" si="13"/>
        <v/>
      </c>
      <c r="G280" s="98"/>
      <c r="H280" s="99"/>
      <c r="I280" s="97" t="str">
        <f t="shared" si="14"/>
        <v/>
      </c>
    </row>
    <row r="281" spans="1:9" s="97" customFormat="1" ht="16.5">
      <c r="A281" s="98"/>
      <c r="B281" s="99"/>
      <c r="C281" s="97" t="str">
        <f t="shared" si="12"/>
        <v/>
      </c>
      <c r="D281" s="98"/>
      <c r="E281" s="99"/>
      <c r="F281" s="97" t="str">
        <f t="shared" si="13"/>
        <v/>
      </c>
      <c r="G281" s="98"/>
      <c r="H281" s="99"/>
      <c r="I281" s="97" t="str">
        <f t="shared" si="14"/>
        <v/>
      </c>
    </row>
    <row r="282" spans="1:9" s="97" customFormat="1" ht="16.5">
      <c r="A282" s="98"/>
      <c r="B282" s="99"/>
      <c r="C282" s="97" t="str">
        <f t="shared" si="12"/>
        <v/>
      </c>
      <c r="D282" s="98"/>
      <c r="E282" s="99"/>
      <c r="F282" s="97" t="str">
        <f t="shared" si="13"/>
        <v/>
      </c>
      <c r="G282" s="98"/>
      <c r="H282" s="99"/>
      <c r="I282" s="97" t="str">
        <f t="shared" si="14"/>
        <v/>
      </c>
    </row>
    <row r="283" spans="1:9" s="97" customFormat="1" ht="16.5">
      <c r="A283" s="98"/>
      <c r="B283" s="99"/>
      <c r="C283" s="97" t="str">
        <f t="shared" si="12"/>
        <v/>
      </c>
      <c r="D283" s="98"/>
      <c r="E283" s="99"/>
      <c r="F283" s="97" t="str">
        <f t="shared" si="13"/>
        <v/>
      </c>
      <c r="G283" s="98"/>
      <c r="H283" s="99"/>
      <c r="I283" s="97" t="str">
        <f t="shared" si="14"/>
        <v/>
      </c>
    </row>
    <row r="284" spans="1:9" s="97" customFormat="1" ht="16.5">
      <c r="A284" s="98"/>
      <c r="B284" s="99"/>
      <c r="C284" s="97" t="str">
        <f t="shared" si="12"/>
        <v/>
      </c>
      <c r="D284" s="98"/>
      <c r="E284" s="99"/>
      <c r="F284" s="97" t="str">
        <f t="shared" si="13"/>
        <v/>
      </c>
      <c r="G284" s="98"/>
      <c r="H284" s="99"/>
      <c r="I284" s="97" t="str">
        <f t="shared" si="14"/>
        <v/>
      </c>
    </row>
    <row r="285" spans="1:9" s="97" customFormat="1" ht="16.5">
      <c r="A285" s="98"/>
      <c r="B285" s="99"/>
      <c r="C285" s="97" t="str">
        <f t="shared" si="12"/>
        <v/>
      </c>
      <c r="D285" s="98"/>
      <c r="E285" s="99"/>
      <c r="F285" s="97" t="str">
        <f t="shared" si="13"/>
        <v/>
      </c>
      <c r="G285" s="98"/>
      <c r="H285" s="99"/>
      <c r="I285" s="97" t="str">
        <f t="shared" si="14"/>
        <v/>
      </c>
    </row>
    <row r="286" spans="1:9" s="97" customFormat="1" ht="16.5">
      <c r="A286" s="98"/>
      <c r="B286" s="99"/>
      <c r="C286" s="97" t="str">
        <f t="shared" si="12"/>
        <v/>
      </c>
      <c r="D286" s="98"/>
      <c r="E286" s="99"/>
      <c r="F286" s="97" t="str">
        <f t="shared" si="13"/>
        <v/>
      </c>
      <c r="G286" s="98"/>
      <c r="H286" s="99"/>
      <c r="I286" s="97" t="str">
        <f t="shared" si="14"/>
        <v/>
      </c>
    </row>
    <row r="287" spans="1:9" s="97" customFormat="1" ht="16.5">
      <c r="A287" s="98"/>
      <c r="B287" s="99"/>
      <c r="C287" s="97" t="str">
        <f t="shared" si="12"/>
        <v/>
      </c>
      <c r="D287" s="98"/>
      <c r="E287" s="99"/>
      <c r="F287" s="97" t="str">
        <f t="shared" si="13"/>
        <v/>
      </c>
      <c r="G287" s="98"/>
      <c r="H287" s="99"/>
      <c r="I287" s="97" t="str">
        <f t="shared" si="14"/>
        <v/>
      </c>
    </row>
    <row r="288" spans="1:9" s="97" customFormat="1" ht="16.5">
      <c r="A288" s="98"/>
      <c r="B288" s="99"/>
      <c r="C288" s="97" t="str">
        <f t="shared" si="12"/>
        <v/>
      </c>
      <c r="D288" s="98"/>
      <c r="E288" s="99"/>
      <c r="F288" s="97" t="str">
        <f t="shared" si="13"/>
        <v/>
      </c>
      <c r="G288" s="98"/>
      <c r="H288" s="99"/>
      <c r="I288" s="97" t="str">
        <f t="shared" si="14"/>
        <v/>
      </c>
    </row>
    <row r="289" spans="1:9" s="97" customFormat="1" ht="16.5">
      <c r="A289" s="98"/>
      <c r="B289" s="99"/>
      <c r="C289" s="97" t="str">
        <f t="shared" si="12"/>
        <v/>
      </c>
      <c r="D289" s="98"/>
      <c r="E289" s="99"/>
      <c r="F289" s="97" t="str">
        <f t="shared" si="13"/>
        <v/>
      </c>
      <c r="G289" s="98"/>
      <c r="H289" s="99"/>
      <c r="I289" s="97" t="str">
        <f t="shared" si="14"/>
        <v/>
      </c>
    </row>
    <row r="290" spans="1:9" s="97" customFormat="1" ht="16.5">
      <c r="A290" s="98"/>
      <c r="B290" s="99"/>
      <c r="C290" s="97" t="str">
        <f t="shared" si="12"/>
        <v/>
      </c>
      <c r="D290" s="98"/>
      <c r="E290" s="99"/>
      <c r="F290" s="97" t="str">
        <f t="shared" si="13"/>
        <v/>
      </c>
      <c r="G290" s="98"/>
      <c r="H290" s="99"/>
      <c r="I290" s="97" t="str">
        <f t="shared" si="14"/>
        <v/>
      </c>
    </row>
    <row r="291" spans="1:9" s="97" customFormat="1" ht="16.5">
      <c r="A291" s="98"/>
      <c r="B291" s="99"/>
      <c r="C291" s="97" t="str">
        <f t="shared" si="12"/>
        <v/>
      </c>
      <c r="D291" s="98"/>
      <c r="E291" s="99"/>
      <c r="F291" s="97" t="str">
        <f t="shared" si="13"/>
        <v/>
      </c>
      <c r="G291" s="98"/>
      <c r="H291" s="99"/>
      <c r="I291" s="97" t="str">
        <f t="shared" si="14"/>
        <v/>
      </c>
    </row>
    <row r="292" spans="1:9" s="97" customFormat="1" ht="16.5">
      <c r="A292" s="98"/>
      <c r="B292" s="99"/>
      <c r="C292" s="97" t="str">
        <f t="shared" si="12"/>
        <v/>
      </c>
      <c r="D292" s="98"/>
      <c r="E292" s="99"/>
      <c r="F292" s="97" t="str">
        <f t="shared" si="13"/>
        <v/>
      </c>
      <c r="G292" s="98"/>
      <c r="H292" s="99"/>
      <c r="I292" s="97" t="str">
        <f t="shared" si="14"/>
        <v/>
      </c>
    </row>
    <row r="293" spans="1:9" s="97" customFormat="1" ht="16.5">
      <c r="A293" s="98"/>
      <c r="B293" s="99"/>
      <c r="C293" s="97" t="str">
        <f t="shared" si="12"/>
        <v/>
      </c>
      <c r="D293" s="98"/>
      <c r="E293" s="99"/>
      <c r="F293" s="97" t="str">
        <f t="shared" si="13"/>
        <v/>
      </c>
      <c r="G293" s="98"/>
      <c r="H293" s="99"/>
      <c r="I293" s="97" t="str">
        <f t="shared" si="14"/>
        <v/>
      </c>
    </row>
    <row r="294" spans="1:9" s="97" customFormat="1" ht="16.5">
      <c r="A294" s="98"/>
      <c r="B294" s="99"/>
      <c r="C294" s="97" t="str">
        <f t="shared" si="12"/>
        <v/>
      </c>
      <c r="D294" s="98"/>
      <c r="E294" s="99"/>
      <c r="F294" s="97" t="str">
        <f t="shared" si="13"/>
        <v/>
      </c>
      <c r="G294" s="98"/>
      <c r="H294" s="99"/>
      <c r="I294" s="97" t="str">
        <f t="shared" si="14"/>
        <v/>
      </c>
    </row>
    <row r="295" spans="1:9" s="97" customFormat="1" ht="16.5">
      <c r="A295" s="98"/>
      <c r="B295" s="99"/>
      <c r="C295" s="97" t="str">
        <f t="shared" si="12"/>
        <v/>
      </c>
      <c r="D295" s="98"/>
      <c r="E295" s="99"/>
      <c r="F295" s="97" t="str">
        <f t="shared" si="13"/>
        <v/>
      </c>
      <c r="G295" s="98"/>
      <c r="H295" s="99"/>
      <c r="I295" s="97" t="str">
        <f t="shared" si="14"/>
        <v/>
      </c>
    </row>
    <row r="296" spans="1:9" s="97" customFormat="1" ht="16.5">
      <c r="A296" s="98"/>
      <c r="B296" s="99"/>
      <c r="C296" s="97" t="str">
        <f t="shared" si="12"/>
        <v/>
      </c>
      <c r="D296" s="98"/>
      <c r="E296" s="99"/>
      <c r="F296" s="97" t="str">
        <f t="shared" si="13"/>
        <v/>
      </c>
      <c r="G296" s="98"/>
      <c r="H296" s="99"/>
      <c r="I296" s="97" t="str">
        <f t="shared" si="14"/>
        <v/>
      </c>
    </row>
    <row r="297" spans="1:9" s="97" customFormat="1" ht="16.5">
      <c r="A297" s="98"/>
      <c r="B297" s="99"/>
      <c r="C297" s="97" t="str">
        <f t="shared" si="12"/>
        <v/>
      </c>
      <c r="D297" s="98"/>
      <c r="E297" s="99"/>
      <c r="F297" s="97" t="str">
        <f t="shared" si="13"/>
        <v/>
      </c>
      <c r="G297" s="98"/>
      <c r="H297" s="99"/>
      <c r="I297" s="97" t="str">
        <f t="shared" si="14"/>
        <v/>
      </c>
    </row>
    <row r="298" spans="1:9" s="97" customFormat="1" ht="16.5">
      <c r="A298" s="98"/>
      <c r="B298" s="99"/>
      <c r="C298" s="97" t="str">
        <f t="shared" si="12"/>
        <v/>
      </c>
      <c r="D298" s="98"/>
      <c r="E298" s="99"/>
      <c r="F298" s="97" t="str">
        <f t="shared" si="13"/>
        <v/>
      </c>
      <c r="G298" s="98"/>
      <c r="H298" s="99"/>
      <c r="I298" s="97" t="str">
        <f t="shared" si="14"/>
        <v/>
      </c>
    </row>
    <row r="299" spans="1:9" s="97" customFormat="1" ht="16.5">
      <c r="A299" s="98"/>
      <c r="B299" s="99"/>
      <c r="C299" s="97" t="str">
        <f t="shared" si="12"/>
        <v/>
      </c>
      <c r="D299" s="98"/>
      <c r="E299" s="99"/>
      <c r="F299" s="97" t="str">
        <f t="shared" si="13"/>
        <v/>
      </c>
      <c r="G299" s="98"/>
      <c r="H299" s="99"/>
      <c r="I299" s="97" t="str">
        <f t="shared" si="14"/>
        <v/>
      </c>
    </row>
    <row r="300" spans="1:9" s="97" customFormat="1" ht="16.5">
      <c r="A300" s="98"/>
      <c r="B300" s="99"/>
      <c r="C300" s="97" t="str">
        <f t="shared" si="12"/>
        <v/>
      </c>
      <c r="D300" s="98"/>
      <c r="E300" s="99"/>
      <c r="F300" s="97" t="str">
        <f t="shared" si="13"/>
        <v/>
      </c>
      <c r="G300" s="98"/>
      <c r="H300" s="99"/>
      <c r="I300" s="97" t="str">
        <f t="shared" si="14"/>
        <v/>
      </c>
    </row>
    <row r="301" spans="1:9" s="97" customFormat="1" ht="16.5">
      <c r="A301" s="98"/>
      <c r="B301" s="99"/>
      <c r="C301" s="97" t="str">
        <f t="shared" si="12"/>
        <v/>
      </c>
      <c r="D301" s="98"/>
      <c r="E301" s="99"/>
      <c r="F301" s="97" t="str">
        <f t="shared" si="13"/>
        <v/>
      </c>
      <c r="G301" s="98"/>
      <c r="H301" s="99"/>
      <c r="I301" s="97" t="str">
        <f t="shared" si="14"/>
        <v/>
      </c>
    </row>
    <row r="302" spans="1:9" s="97" customFormat="1" ht="16.5">
      <c r="A302" s="98"/>
      <c r="B302" s="102"/>
      <c r="C302" s="97" t="str">
        <f t="shared" si="12"/>
        <v/>
      </c>
      <c r="D302" s="98"/>
      <c r="E302" s="102"/>
      <c r="F302" s="97" t="str">
        <f t="shared" si="13"/>
        <v/>
      </c>
      <c r="G302" s="98"/>
      <c r="H302" s="102"/>
      <c r="I302" s="97" t="str">
        <f t="shared" si="14"/>
        <v/>
      </c>
    </row>
    <row r="303" spans="1:9" s="97" customFormat="1" ht="16.5">
      <c r="A303" s="98"/>
      <c r="B303" s="102"/>
      <c r="C303" s="97" t="str">
        <f t="shared" si="12"/>
        <v/>
      </c>
      <c r="D303" s="98"/>
      <c r="E303" s="102"/>
      <c r="F303" s="97" t="str">
        <f t="shared" si="13"/>
        <v/>
      </c>
      <c r="G303" s="98"/>
      <c r="H303" s="102"/>
      <c r="I303" s="97" t="str">
        <f t="shared" si="14"/>
        <v/>
      </c>
    </row>
    <row r="304" spans="1:9" s="97" customFormat="1" ht="16.5">
      <c r="A304" s="98"/>
      <c r="B304" s="102"/>
      <c r="C304" s="97" t="str">
        <f t="shared" si="12"/>
        <v/>
      </c>
      <c r="D304" s="98"/>
      <c r="E304" s="102"/>
      <c r="F304" s="97" t="str">
        <f t="shared" si="13"/>
        <v/>
      </c>
      <c r="G304" s="98"/>
      <c r="H304" s="102"/>
      <c r="I304" s="97" t="str">
        <f t="shared" si="14"/>
        <v/>
      </c>
    </row>
    <row r="305" spans="1:7" s="97" customFormat="1" ht="16.5">
      <c r="A305" s="97" t="s">
        <v>1449</v>
      </c>
      <c r="D305" s="97" t="s">
        <v>1449</v>
      </c>
      <c r="G305" s="97" t="s">
        <v>1449</v>
      </c>
    </row>
  </sheetData>
  <mergeCells count="4">
    <mergeCell ref="A2:H2"/>
    <mergeCell ref="A3:B3"/>
    <mergeCell ref="D3:E3"/>
    <mergeCell ref="G3:H3"/>
  </mergeCells>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A583"/>
  <sheetViews>
    <sheetView zoomScaleNormal="100" workbookViewId="0">
      <pane ySplit="1" topLeftCell="A386" activePane="bottomLeft" state="frozen"/>
      <selection pane="bottomLeft" activeCell="E403" sqref="E403"/>
    </sheetView>
  </sheetViews>
  <sheetFormatPr defaultColWidth="73.375" defaultRowHeight="12"/>
  <cols>
    <col min="1" max="1" width="7.625" style="87" bestFit="1" customWidth="1"/>
    <col min="2" max="2" width="8.375" style="88" bestFit="1" customWidth="1"/>
    <col min="3" max="3" width="15.75" style="89" customWidth="1"/>
    <col min="4" max="4" width="47.125" style="90" customWidth="1"/>
    <col min="5" max="5" width="56.125" style="90" customWidth="1"/>
    <col min="6" max="6" width="57.375" style="87" customWidth="1"/>
    <col min="7" max="26" width="73.375" style="87"/>
    <col min="27" max="27" width="73.375" style="87" hidden="1" customWidth="1"/>
    <col min="28" max="16384" width="73.375" style="87"/>
  </cols>
  <sheetData>
    <row r="1" spans="1:6" s="85" customFormat="1">
      <c r="A1" s="85" t="s">
        <v>498</v>
      </c>
      <c r="B1" s="85" t="s">
        <v>499</v>
      </c>
      <c r="C1" s="86" t="s">
        <v>500</v>
      </c>
      <c r="D1" s="86" t="s">
        <v>64</v>
      </c>
      <c r="E1" s="86" t="s">
        <v>65</v>
      </c>
      <c r="F1" s="85" t="s">
        <v>1330</v>
      </c>
    </row>
    <row r="2" spans="1:6" ht="84">
      <c r="A2" s="87" t="s">
        <v>1563</v>
      </c>
      <c r="B2" s="88">
        <v>1</v>
      </c>
      <c r="C2" s="89" t="s">
        <v>1006</v>
      </c>
      <c r="D2" s="90" t="s">
        <v>501</v>
      </c>
      <c r="E2" s="90" t="s">
        <v>574</v>
      </c>
      <c r="F2" s="90" t="s">
        <v>574</v>
      </c>
    </row>
    <row r="3" spans="1:6" ht="96">
      <c r="A3" s="175">
        <v>600</v>
      </c>
      <c r="B3" s="88">
        <v>2</v>
      </c>
      <c r="C3" s="89" t="s">
        <v>1006</v>
      </c>
      <c r="D3" s="90" t="s">
        <v>494</v>
      </c>
      <c r="E3" s="90" t="s">
        <v>575</v>
      </c>
      <c r="F3" s="90" t="s">
        <v>575</v>
      </c>
    </row>
    <row r="4" spans="1:6" ht="60">
      <c r="B4" s="88">
        <v>3</v>
      </c>
      <c r="C4" s="89" t="s">
        <v>1006</v>
      </c>
      <c r="D4" s="90" t="s">
        <v>502</v>
      </c>
      <c r="E4" s="90" t="s">
        <v>576</v>
      </c>
      <c r="F4" s="90" t="s">
        <v>576</v>
      </c>
    </row>
    <row r="5" spans="1:6" ht="60">
      <c r="B5" s="88">
        <v>4</v>
      </c>
      <c r="C5" s="89" t="s">
        <v>1006</v>
      </c>
      <c r="D5" s="90" t="s">
        <v>503</v>
      </c>
      <c r="E5" s="90" t="s">
        <v>577</v>
      </c>
      <c r="F5" s="90" t="s">
        <v>577</v>
      </c>
    </row>
    <row r="6" spans="1:6" ht="60">
      <c r="B6" s="88">
        <v>5</v>
      </c>
      <c r="C6" s="89" t="s">
        <v>1006</v>
      </c>
      <c r="D6" s="90" t="s">
        <v>504</v>
      </c>
      <c r="E6" s="90" t="s">
        <v>578</v>
      </c>
      <c r="F6" s="90" t="s">
        <v>578</v>
      </c>
    </row>
    <row r="7" spans="1:6" ht="48">
      <c r="B7" s="88">
        <v>6</v>
      </c>
      <c r="C7" s="89" t="s">
        <v>1006</v>
      </c>
      <c r="D7" s="90" t="s">
        <v>505</v>
      </c>
      <c r="E7" s="90" t="s">
        <v>579</v>
      </c>
      <c r="F7" s="90" t="s">
        <v>579</v>
      </c>
    </row>
    <row r="8" spans="1:6">
      <c r="B8" s="88">
        <v>7</v>
      </c>
      <c r="C8" s="89" t="s">
        <v>1006</v>
      </c>
      <c r="D8" s="90" t="s">
        <v>496</v>
      </c>
      <c r="E8" s="90" t="s">
        <v>580</v>
      </c>
      <c r="F8" s="90" t="s">
        <v>580</v>
      </c>
    </row>
    <row r="9" spans="1:6" ht="48">
      <c r="B9" s="88">
        <v>8</v>
      </c>
      <c r="C9" s="89" t="s">
        <v>1213</v>
      </c>
      <c r="D9" s="90" t="s">
        <v>1210</v>
      </c>
      <c r="E9" s="90" t="s">
        <v>1129</v>
      </c>
      <c r="F9" s="90" t="s">
        <v>1129</v>
      </c>
    </row>
    <row r="10" spans="1:6" ht="48">
      <c r="B10" s="88">
        <v>9</v>
      </c>
      <c r="C10" s="89" t="s">
        <v>1213</v>
      </c>
      <c r="D10" s="90" t="s">
        <v>1191</v>
      </c>
      <c r="E10" s="90" t="s">
        <v>1153</v>
      </c>
      <c r="F10" s="90" t="s">
        <v>1153</v>
      </c>
    </row>
    <row r="11" spans="1:6" ht="60">
      <c r="B11" s="88">
        <v>10</v>
      </c>
      <c r="C11" s="89" t="s">
        <v>1213</v>
      </c>
      <c r="D11" s="90" t="s">
        <v>1211</v>
      </c>
      <c r="E11" s="90" t="s">
        <v>1193</v>
      </c>
      <c r="F11" s="90" t="s">
        <v>1193</v>
      </c>
    </row>
    <row r="12" spans="1:6" ht="48">
      <c r="B12" s="88">
        <v>11</v>
      </c>
      <c r="C12" s="89" t="s">
        <v>1213</v>
      </c>
      <c r="D12" s="90" t="s">
        <v>1196</v>
      </c>
      <c r="E12" s="90" t="s">
        <v>1195</v>
      </c>
      <c r="F12" s="90" t="s">
        <v>1195</v>
      </c>
    </row>
    <row r="13" spans="1:6" ht="72">
      <c r="B13" s="88">
        <v>12</v>
      </c>
      <c r="C13" s="89" t="s">
        <v>1213</v>
      </c>
      <c r="D13" s="90" t="s">
        <v>1197</v>
      </c>
      <c r="E13" s="90" t="s">
        <v>1157</v>
      </c>
      <c r="F13" s="90" t="s">
        <v>1157</v>
      </c>
    </row>
    <row r="14" spans="1:6">
      <c r="B14" s="88">
        <v>101</v>
      </c>
      <c r="D14" s="90" t="s">
        <v>66</v>
      </c>
      <c r="E14" s="90" t="s">
        <v>581</v>
      </c>
      <c r="F14" s="90" t="s">
        <v>581</v>
      </c>
    </row>
    <row r="15" spans="1:6">
      <c r="B15" s="88">
        <v>102</v>
      </c>
      <c r="D15" s="90" t="s">
        <v>67</v>
      </c>
      <c r="E15" s="90" t="s">
        <v>582</v>
      </c>
      <c r="F15" s="90" t="s">
        <v>582</v>
      </c>
    </row>
    <row r="16" spans="1:6">
      <c r="B16" s="88">
        <v>103</v>
      </c>
      <c r="D16" s="90" t="s">
        <v>68</v>
      </c>
      <c r="E16" s="90" t="s">
        <v>583</v>
      </c>
      <c r="F16" s="90" t="s">
        <v>583</v>
      </c>
    </row>
    <row r="17" spans="1:6">
      <c r="B17" s="88">
        <v>104</v>
      </c>
      <c r="D17" s="90" t="s">
        <v>69</v>
      </c>
      <c r="E17" s="90" t="s">
        <v>584</v>
      </c>
      <c r="F17" s="90" t="s">
        <v>584</v>
      </c>
    </row>
    <row r="18" spans="1:6">
      <c r="B18" s="88">
        <v>105</v>
      </c>
      <c r="D18" s="90" t="s">
        <v>70</v>
      </c>
      <c r="E18" s="90" t="s">
        <v>585</v>
      </c>
      <c r="F18" s="90" t="s">
        <v>585</v>
      </c>
    </row>
    <row r="19" spans="1:6" ht="24">
      <c r="B19" s="88">
        <v>106</v>
      </c>
      <c r="D19" s="90" t="s">
        <v>418</v>
      </c>
      <c r="E19" s="90" t="s">
        <v>586</v>
      </c>
      <c r="F19" s="90" t="s">
        <v>586</v>
      </c>
    </row>
    <row r="20" spans="1:6" ht="36">
      <c r="B20" s="88">
        <v>107</v>
      </c>
      <c r="D20" s="90" t="s">
        <v>419</v>
      </c>
      <c r="E20" s="90" t="s">
        <v>587</v>
      </c>
      <c r="F20" s="90" t="s">
        <v>587</v>
      </c>
    </row>
    <row r="21" spans="1:6" ht="36">
      <c r="B21" s="88">
        <v>108</v>
      </c>
      <c r="D21" s="90" t="s">
        <v>420</v>
      </c>
      <c r="E21" s="90" t="s">
        <v>588</v>
      </c>
      <c r="F21" s="90" t="s">
        <v>588</v>
      </c>
    </row>
    <row r="22" spans="1:6">
      <c r="B22" s="88">
        <v>109</v>
      </c>
      <c r="D22" s="90" t="s">
        <v>71</v>
      </c>
      <c r="E22" s="90" t="s">
        <v>589</v>
      </c>
      <c r="F22" s="90" t="s">
        <v>589</v>
      </c>
    </row>
    <row r="23" spans="1:6">
      <c r="B23" s="88">
        <v>110</v>
      </c>
      <c r="D23" s="90" t="s">
        <v>72</v>
      </c>
      <c r="E23" s="90" t="s">
        <v>590</v>
      </c>
      <c r="F23" s="90" t="s">
        <v>590</v>
      </c>
    </row>
    <row r="24" spans="1:6">
      <c r="B24" s="88">
        <v>111</v>
      </c>
      <c r="D24" s="90" t="s">
        <v>73</v>
      </c>
      <c r="E24" s="90" t="s">
        <v>591</v>
      </c>
      <c r="F24" s="90" t="s">
        <v>591</v>
      </c>
    </row>
    <row r="25" spans="1:6">
      <c r="A25" s="176"/>
      <c r="B25" s="88">
        <v>112</v>
      </c>
      <c r="C25" s="177" t="s">
        <v>489</v>
      </c>
      <c r="D25" s="175" t="s">
        <v>506</v>
      </c>
      <c r="E25" s="175" t="s">
        <v>565</v>
      </c>
      <c r="F25" s="175" t="s">
        <v>565</v>
      </c>
    </row>
    <row r="26" spans="1:6">
      <c r="B26" s="88">
        <v>113</v>
      </c>
      <c r="D26" s="90" t="s">
        <v>74</v>
      </c>
      <c r="E26" s="90" t="s">
        <v>565</v>
      </c>
      <c r="F26" s="90" t="s">
        <v>565</v>
      </c>
    </row>
    <row r="27" spans="1:6">
      <c r="B27" s="88">
        <v>114</v>
      </c>
      <c r="C27" s="89" t="s">
        <v>1127</v>
      </c>
      <c r="D27" s="90" t="s">
        <v>1163</v>
      </c>
      <c r="E27" s="90" t="s">
        <v>1136</v>
      </c>
      <c r="F27" s="90" t="s">
        <v>1136</v>
      </c>
    </row>
    <row r="28" spans="1:6">
      <c r="B28" s="88">
        <v>115</v>
      </c>
      <c r="D28" s="90" t="s">
        <v>1249</v>
      </c>
      <c r="E28" s="90" t="s">
        <v>1250</v>
      </c>
      <c r="F28" s="90" t="s">
        <v>1250</v>
      </c>
    </row>
    <row r="29" spans="1:6">
      <c r="B29" s="88">
        <v>116</v>
      </c>
      <c r="D29" s="90" t="s">
        <v>75</v>
      </c>
      <c r="E29" s="90" t="s">
        <v>592</v>
      </c>
      <c r="F29" s="90" t="s">
        <v>592</v>
      </c>
    </row>
    <row r="30" spans="1:6">
      <c r="B30" s="88">
        <v>117</v>
      </c>
      <c r="D30" s="90" t="s">
        <v>76</v>
      </c>
      <c r="E30" s="90" t="s">
        <v>593</v>
      </c>
      <c r="F30" s="90" t="s">
        <v>593</v>
      </c>
    </row>
    <row r="31" spans="1:6" ht="24">
      <c r="B31" s="88">
        <v>118</v>
      </c>
      <c r="D31" s="90" t="s">
        <v>421</v>
      </c>
      <c r="E31" s="90" t="s">
        <v>594</v>
      </c>
      <c r="F31" s="90" t="s">
        <v>594</v>
      </c>
    </row>
    <row r="32" spans="1:6">
      <c r="B32" s="88">
        <v>119</v>
      </c>
      <c r="D32" s="90" t="s">
        <v>1045</v>
      </c>
      <c r="E32" s="90" t="s">
        <v>1046</v>
      </c>
      <c r="F32" s="90" t="s">
        <v>1046</v>
      </c>
    </row>
    <row r="33" spans="2:6">
      <c r="B33" s="88">
        <v>120</v>
      </c>
      <c r="D33" s="90" t="s">
        <v>1018</v>
      </c>
      <c r="E33" s="90" t="s">
        <v>1019</v>
      </c>
      <c r="F33" s="90" t="s">
        <v>1019</v>
      </c>
    </row>
    <row r="34" spans="2:6" ht="24">
      <c r="B34" s="88">
        <v>121</v>
      </c>
      <c r="D34" s="90" t="s">
        <v>77</v>
      </c>
      <c r="E34" s="90" t="s">
        <v>595</v>
      </c>
      <c r="F34" s="90" t="s">
        <v>595</v>
      </c>
    </row>
    <row r="35" spans="2:6">
      <c r="B35" s="88">
        <v>122</v>
      </c>
      <c r="D35" s="90" t="s">
        <v>78</v>
      </c>
      <c r="E35" s="90" t="s">
        <v>596</v>
      </c>
      <c r="F35" s="90" t="s">
        <v>596</v>
      </c>
    </row>
    <row r="36" spans="2:6">
      <c r="B36" s="88">
        <v>123</v>
      </c>
      <c r="D36" s="90" t="s">
        <v>416</v>
      </c>
      <c r="E36" s="90" t="s">
        <v>549</v>
      </c>
      <c r="F36" s="90" t="s">
        <v>549</v>
      </c>
    </row>
    <row r="37" spans="2:6">
      <c r="B37" s="88">
        <v>124</v>
      </c>
      <c r="D37" s="90" t="s">
        <v>79</v>
      </c>
      <c r="E37" s="90" t="s">
        <v>597</v>
      </c>
      <c r="F37" s="90" t="s">
        <v>597</v>
      </c>
    </row>
    <row r="38" spans="2:6" ht="24">
      <c r="B38" s="88">
        <v>125</v>
      </c>
      <c r="D38" s="90" t="s">
        <v>1049</v>
      </c>
      <c r="E38" s="90" t="s">
        <v>1050</v>
      </c>
      <c r="F38" s="90" t="s">
        <v>1050</v>
      </c>
    </row>
    <row r="39" spans="2:6" ht="24">
      <c r="B39" s="88">
        <v>126</v>
      </c>
      <c r="D39" s="90" t="s">
        <v>1048</v>
      </c>
      <c r="E39" s="90" t="s">
        <v>1047</v>
      </c>
      <c r="F39" s="90" t="s">
        <v>1047</v>
      </c>
    </row>
    <row r="40" spans="2:6" ht="24">
      <c r="B40" s="88">
        <v>127</v>
      </c>
      <c r="D40" s="90" t="s">
        <v>80</v>
      </c>
      <c r="E40" s="90" t="s">
        <v>598</v>
      </c>
      <c r="F40" s="90" t="s">
        <v>598</v>
      </c>
    </row>
    <row r="41" spans="2:6" ht="24">
      <c r="B41" s="88">
        <v>128</v>
      </c>
      <c r="D41" s="90" t="s">
        <v>81</v>
      </c>
      <c r="E41" s="90" t="s">
        <v>599</v>
      </c>
      <c r="F41" s="90" t="s">
        <v>599</v>
      </c>
    </row>
    <row r="42" spans="2:6" ht="24">
      <c r="B42" s="88">
        <v>129</v>
      </c>
      <c r="D42" s="90" t="s">
        <v>417</v>
      </c>
      <c r="E42" s="90" t="s">
        <v>550</v>
      </c>
      <c r="F42" s="90" t="s">
        <v>550</v>
      </c>
    </row>
    <row r="43" spans="2:6">
      <c r="B43" s="88">
        <v>130</v>
      </c>
      <c r="D43" s="90" t="s">
        <v>82</v>
      </c>
      <c r="E43" s="90" t="s">
        <v>600</v>
      </c>
      <c r="F43" s="90" t="s">
        <v>600</v>
      </c>
    </row>
    <row r="44" spans="2:6">
      <c r="B44" s="88">
        <v>131</v>
      </c>
      <c r="D44" s="90" t="s">
        <v>422</v>
      </c>
      <c r="E44" s="90" t="s">
        <v>601</v>
      </c>
      <c r="F44" s="90" t="s">
        <v>601</v>
      </c>
    </row>
    <row r="45" spans="2:6">
      <c r="B45" s="88">
        <v>132</v>
      </c>
      <c r="D45" s="90" t="s">
        <v>83</v>
      </c>
      <c r="E45" s="90" t="s">
        <v>602</v>
      </c>
      <c r="F45" s="90" t="s">
        <v>602</v>
      </c>
    </row>
    <row r="46" spans="2:6">
      <c r="B46" s="88">
        <v>133</v>
      </c>
      <c r="D46" s="90" t="s">
        <v>1347</v>
      </c>
      <c r="E46" s="90" t="s">
        <v>603</v>
      </c>
      <c r="F46" s="90" t="s">
        <v>603</v>
      </c>
    </row>
    <row r="47" spans="2:6">
      <c r="B47" s="88">
        <v>134</v>
      </c>
      <c r="D47" s="90" t="s">
        <v>1346</v>
      </c>
      <c r="E47" s="90" t="s">
        <v>604</v>
      </c>
      <c r="F47" s="90" t="s">
        <v>604</v>
      </c>
    </row>
    <row r="48" spans="2:6">
      <c r="B48" s="88">
        <v>135</v>
      </c>
      <c r="D48" s="175" t="s">
        <v>1345</v>
      </c>
      <c r="E48" s="178">
        <v>43435</v>
      </c>
      <c r="F48" s="178">
        <v>43435</v>
      </c>
    </row>
    <row r="49" spans="2:6">
      <c r="B49" s="88">
        <v>136</v>
      </c>
      <c r="D49" s="175" t="s">
        <v>423</v>
      </c>
      <c r="E49" s="178">
        <v>43465</v>
      </c>
      <c r="F49" s="178">
        <v>43465</v>
      </c>
    </row>
    <row r="50" spans="2:6">
      <c r="B50" s="88">
        <v>137</v>
      </c>
      <c r="D50" s="90" t="s">
        <v>84</v>
      </c>
      <c r="E50" s="90" t="s">
        <v>84</v>
      </c>
      <c r="F50" s="90" t="s">
        <v>84</v>
      </c>
    </row>
    <row r="51" spans="2:6">
      <c r="B51" s="88">
        <v>138</v>
      </c>
      <c r="D51" s="90" t="s">
        <v>85</v>
      </c>
      <c r="E51" s="90" t="s">
        <v>605</v>
      </c>
      <c r="F51" s="90" t="s">
        <v>605</v>
      </c>
    </row>
    <row r="52" spans="2:6">
      <c r="B52" s="88">
        <v>139</v>
      </c>
      <c r="C52" s="89" t="s">
        <v>507</v>
      </c>
      <c r="D52" s="90" t="s">
        <v>508</v>
      </c>
      <c r="E52" s="90" t="s">
        <v>509</v>
      </c>
      <c r="F52" s="90" t="s">
        <v>509</v>
      </c>
    </row>
    <row r="53" spans="2:6" ht="24">
      <c r="B53" s="88">
        <v>140</v>
      </c>
      <c r="D53" s="90" t="s">
        <v>86</v>
      </c>
      <c r="E53" s="90" t="s">
        <v>606</v>
      </c>
      <c r="F53" s="90" t="s">
        <v>606</v>
      </c>
    </row>
    <row r="54" spans="2:6" ht="24">
      <c r="B54" s="88">
        <v>141</v>
      </c>
      <c r="D54" s="90" t="s">
        <v>87</v>
      </c>
      <c r="E54" s="90" t="s">
        <v>607</v>
      </c>
      <c r="F54" s="90" t="s">
        <v>607</v>
      </c>
    </row>
    <row r="55" spans="2:6">
      <c r="B55" s="88">
        <v>142</v>
      </c>
      <c r="D55" s="90" t="s">
        <v>1008</v>
      </c>
      <c r="E55" s="90" t="s">
        <v>1009</v>
      </c>
      <c r="F55" s="90" t="s">
        <v>1009</v>
      </c>
    </row>
    <row r="56" spans="2:6">
      <c r="B56" s="88">
        <v>143</v>
      </c>
      <c r="C56" s="89" t="s">
        <v>573</v>
      </c>
      <c r="D56" s="87" t="s">
        <v>424</v>
      </c>
      <c r="E56" s="179" t="s">
        <v>562</v>
      </c>
      <c r="F56" s="179" t="s">
        <v>562</v>
      </c>
    </row>
    <row r="57" spans="2:6">
      <c r="B57" s="88">
        <v>144</v>
      </c>
      <c r="D57" s="90" t="s">
        <v>88</v>
      </c>
      <c r="E57" s="90" t="s">
        <v>608</v>
      </c>
      <c r="F57" s="90" t="s">
        <v>608</v>
      </c>
    </row>
    <row r="58" spans="2:6" ht="24">
      <c r="B58" s="88">
        <v>145</v>
      </c>
      <c r="D58" s="90" t="s">
        <v>89</v>
      </c>
      <c r="E58" s="90" t="s">
        <v>609</v>
      </c>
      <c r="F58" s="90" t="s">
        <v>609</v>
      </c>
    </row>
    <row r="59" spans="2:6">
      <c r="B59" s="88">
        <v>146</v>
      </c>
      <c r="D59" s="90" t="s">
        <v>90</v>
      </c>
      <c r="E59" s="90" t="s">
        <v>610</v>
      </c>
      <c r="F59" s="90" t="s">
        <v>610</v>
      </c>
    </row>
    <row r="60" spans="2:6" ht="24">
      <c r="B60" s="88">
        <v>147</v>
      </c>
      <c r="D60" s="90" t="s">
        <v>91</v>
      </c>
      <c r="E60" s="90" t="s">
        <v>611</v>
      </c>
      <c r="F60" s="90" t="s">
        <v>611</v>
      </c>
    </row>
    <row r="61" spans="2:6">
      <c r="B61" s="88">
        <v>148</v>
      </c>
      <c r="D61" s="90" t="s">
        <v>1010</v>
      </c>
      <c r="E61" s="90" t="s">
        <v>1011</v>
      </c>
      <c r="F61" s="90" t="s">
        <v>1011</v>
      </c>
    </row>
    <row r="62" spans="2:6">
      <c r="B62" s="88">
        <v>149</v>
      </c>
      <c r="D62" s="90" t="s">
        <v>1012</v>
      </c>
      <c r="E62" s="90" t="s">
        <v>1013</v>
      </c>
      <c r="F62" s="90" t="s">
        <v>1013</v>
      </c>
    </row>
    <row r="63" spans="2:6">
      <c r="B63" s="88">
        <v>150</v>
      </c>
      <c r="D63" s="90" t="s">
        <v>92</v>
      </c>
      <c r="E63" s="90" t="s">
        <v>612</v>
      </c>
      <c r="F63" s="90" t="s">
        <v>612</v>
      </c>
    </row>
    <row r="64" spans="2:6">
      <c r="B64" s="88">
        <v>151</v>
      </c>
      <c r="C64" s="89" t="s">
        <v>573</v>
      </c>
      <c r="D64" s="87" t="s">
        <v>425</v>
      </c>
      <c r="E64" s="179" t="s">
        <v>561</v>
      </c>
      <c r="F64" s="179" t="s">
        <v>561</v>
      </c>
    </row>
    <row r="65" spans="1:6">
      <c r="B65" s="88">
        <v>152</v>
      </c>
      <c r="D65" s="90" t="s">
        <v>93</v>
      </c>
      <c r="E65" s="90" t="s">
        <v>613</v>
      </c>
      <c r="F65" s="90" t="s">
        <v>613</v>
      </c>
    </row>
    <row r="66" spans="1:6">
      <c r="B66" s="88">
        <v>153</v>
      </c>
      <c r="D66" s="90" t="s">
        <v>94</v>
      </c>
      <c r="E66" s="90" t="s">
        <v>614</v>
      </c>
      <c r="F66" s="90" t="s">
        <v>614</v>
      </c>
    </row>
    <row r="67" spans="1:6">
      <c r="B67" s="88">
        <v>154</v>
      </c>
      <c r="D67" s="90" t="s">
        <v>95</v>
      </c>
      <c r="E67" s="90" t="s">
        <v>615</v>
      </c>
      <c r="F67" s="90" t="s">
        <v>615</v>
      </c>
    </row>
    <row r="68" spans="1:6" ht="24">
      <c r="B68" s="88">
        <v>155</v>
      </c>
      <c r="D68" s="90" t="s">
        <v>96</v>
      </c>
      <c r="E68" s="90" t="s">
        <v>616</v>
      </c>
      <c r="F68" s="90" t="s">
        <v>616</v>
      </c>
    </row>
    <row r="69" spans="1:6">
      <c r="B69" s="88">
        <v>156</v>
      </c>
      <c r="C69" s="89" t="s">
        <v>573</v>
      </c>
      <c r="D69" s="87" t="s">
        <v>571</v>
      </c>
      <c r="E69" s="179" t="s">
        <v>564</v>
      </c>
      <c r="F69" s="179" t="s">
        <v>564</v>
      </c>
    </row>
    <row r="70" spans="1:6">
      <c r="B70" s="88">
        <v>157</v>
      </c>
      <c r="C70" s="89" t="s">
        <v>573</v>
      </c>
      <c r="D70" s="87" t="s">
        <v>570</v>
      </c>
      <c r="E70" s="179" t="s">
        <v>563</v>
      </c>
      <c r="F70" s="179" t="s">
        <v>563</v>
      </c>
    </row>
    <row r="71" spans="1:6">
      <c r="B71" s="88">
        <v>158</v>
      </c>
      <c r="D71" s="90" t="s">
        <v>426</v>
      </c>
      <c r="E71" s="90" t="s">
        <v>617</v>
      </c>
      <c r="F71" s="90" t="s">
        <v>617</v>
      </c>
    </row>
    <row r="72" spans="1:6">
      <c r="A72" s="180"/>
      <c r="B72" s="88">
        <v>159</v>
      </c>
      <c r="C72" s="177" t="s">
        <v>489</v>
      </c>
      <c r="D72" s="175" t="s">
        <v>510</v>
      </c>
      <c r="E72" s="175" t="s">
        <v>618</v>
      </c>
      <c r="F72" s="175" t="s">
        <v>618</v>
      </c>
    </row>
    <row r="73" spans="1:6">
      <c r="B73" s="88">
        <v>160</v>
      </c>
      <c r="D73" s="90" t="s">
        <v>97</v>
      </c>
      <c r="E73" s="175" t="s">
        <v>619</v>
      </c>
      <c r="F73" s="175" t="s">
        <v>619</v>
      </c>
    </row>
    <row r="74" spans="1:6">
      <c r="B74" s="88">
        <v>161</v>
      </c>
      <c r="D74" s="90" t="s">
        <v>98</v>
      </c>
      <c r="E74" s="175" t="s">
        <v>620</v>
      </c>
      <c r="F74" s="175" t="s">
        <v>620</v>
      </c>
    </row>
    <row r="75" spans="1:6">
      <c r="B75" s="88">
        <v>162</v>
      </c>
      <c r="D75" s="90" t="s">
        <v>1038</v>
      </c>
      <c r="E75" s="90" t="s">
        <v>1033</v>
      </c>
      <c r="F75" s="90" t="s">
        <v>1033</v>
      </c>
    </row>
    <row r="76" spans="1:6">
      <c r="B76" s="88">
        <v>163</v>
      </c>
      <c r="D76" s="90" t="s">
        <v>1034</v>
      </c>
      <c r="E76" s="90" t="s">
        <v>1035</v>
      </c>
      <c r="F76" s="90" t="s">
        <v>1035</v>
      </c>
    </row>
    <row r="77" spans="1:6">
      <c r="B77" s="88">
        <v>164</v>
      </c>
      <c r="D77" s="90" t="s">
        <v>1031</v>
      </c>
      <c r="E77" s="90" t="s">
        <v>1032</v>
      </c>
      <c r="F77" s="90" t="s">
        <v>1032</v>
      </c>
    </row>
    <row r="78" spans="1:6">
      <c r="A78" s="180"/>
      <c r="B78" s="88">
        <v>165</v>
      </c>
      <c r="C78" s="177" t="s">
        <v>489</v>
      </c>
      <c r="D78" s="175" t="s">
        <v>511</v>
      </c>
      <c r="E78" s="175" t="s">
        <v>621</v>
      </c>
      <c r="F78" s="175" t="s">
        <v>621</v>
      </c>
    </row>
    <row r="79" spans="1:6">
      <c r="A79" s="180"/>
      <c r="B79" s="88">
        <v>166</v>
      </c>
      <c r="C79" s="177" t="s">
        <v>489</v>
      </c>
      <c r="D79" s="175" t="s">
        <v>512</v>
      </c>
      <c r="E79" s="175" t="s">
        <v>622</v>
      </c>
      <c r="F79" s="175" t="s">
        <v>622</v>
      </c>
    </row>
    <row r="80" spans="1:6">
      <c r="A80" s="180"/>
      <c r="B80" s="88">
        <v>167</v>
      </c>
      <c r="C80" s="177" t="s">
        <v>489</v>
      </c>
      <c r="D80" s="175" t="s">
        <v>513</v>
      </c>
      <c r="E80" s="175" t="s">
        <v>623</v>
      </c>
      <c r="F80" s="175" t="s">
        <v>623</v>
      </c>
    </row>
    <row r="81" spans="1:6">
      <c r="A81" s="180"/>
      <c r="B81" s="88">
        <v>168</v>
      </c>
      <c r="C81" s="177" t="s">
        <v>489</v>
      </c>
      <c r="D81" s="175" t="s">
        <v>497</v>
      </c>
      <c r="E81" s="175" t="s">
        <v>624</v>
      </c>
      <c r="F81" s="175" t="s">
        <v>624</v>
      </c>
    </row>
    <row r="82" spans="1:6">
      <c r="B82" s="88">
        <v>169</v>
      </c>
      <c r="D82" s="90" t="s">
        <v>99</v>
      </c>
      <c r="E82" s="90" t="s">
        <v>625</v>
      </c>
      <c r="F82" s="90" t="s">
        <v>625</v>
      </c>
    </row>
    <row r="83" spans="1:6">
      <c r="B83" s="88">
        <v>170</v>
      </c>
      <c r="D83" s="90" t="s">
        <v>100</v>
      </c>
      <c r="E83" s="90" t="s">
        <v>626</v>
      </c>
      <c r="F83" s="90" t="s">
        <v>626</v>
      </c>
    </row>
    <row r="84" spans="1:6">
      <c r="B84" s="88">
        <v>171</v>
      </c>
      <c r="D84" s="90" t="s">
        <v>514</v>
      </c>
      <c r="E84" s="90" t="s">
        <v>627</v>
      </c>
      <c r="F84" s="90" t="s">
        <v>627</v>
      </c>
    </row>
    <row r="85" spans="1:6">
      <c r="B85" s="88">
        <v>172</v>
      </c>
      <c r="D85" s="90" t="s">
        <v>101</v>
      </c>
      <c r="E85" s="90" t="s">
        <v>628</v>
      </c>
      <c r="F85" s="90" t="s">
        <v>628</v>
      </c>
    </row>
    <row r="86" spans="1:6">
      <c r="B86" s="88">
        <v>173</v>
      </c>
      <c r="D86" s="90" t="s">
        <v>102</v>
      </c>
      <c r="E86" s="90" t="s">
        <v>629</v>
      </c>
      <c r="F86" s="90" t="s">
        <v>629</v>
      </c>
    </row>
    <row r="87" spans="1:6">
      <c r="B87" s="88">
        <v>174</v>
      </c>
      <c r="D87" s="90" t="s">
        <v>103</v>
      </c>
      <c r="E87" s="90" t="s">
        <v>1116</v>
      </c>
      <c r="F87" s="90" t="s">
        <v>1116</v>
      </c>
    </row>
    <row r="88" spans="1:6">
      <c r="B88" s="88">
        <v>175</v>
      </c>
      <c r="D88" s="90" t="s">
        <v>104</v>
      </c>
      <c r="E88" s="90" t="s">
        <v>630</v>
      </c>
      <c r="F88" s="90" t="s">
        <v>630</v>
      </c>
    </row>
    <row r="89" spans="1:6" ht="24">
      <c r="B89" s="88">
        <v>176</v>
      </c>
      <c r="D89" s="90" t="s">
        <v>105</v>
      </c>
      <c r="E89" s="90" t="s">
        <v>555</v>
      </c>
      <c r="F89" s="90" t="s">
        <v>555</v>
      </c>
    </row>
    <row r="90" spans="1:6">
      <c r="B90" s="88">
        <v>177</v>
      </c>
      <c r="D90" s="90" t="s">
        <v>106</v>
      </c>
      <c r="E90" s="90" t="s">
        <v>631</v>
      </c>
      <c r="F90" s="90" t="s">
        <v>631</v>
      </c>
    </row>
    <row r="91" spans="1:6">
      <c r="B91" s="88">
        <v>178</v>
      </c>
      <c r="D91" s="90" t="s">
        <v>107</v>
      </c>
      <c r="E91" s="90" t="s">
        <v>632</v>
      </c>
      <c r="F91" s="90" t="s">
        <v>632</v>
      </c>
    </row>
    <row r="92" spans="1:6">
      <c r="B92" s="88">
        <v>179</v>
      </c>
      <c r="D92" s="90" t="s">
        <v>108</v>
      </c>
      <c r="E92" s="90" t="s">
        <v>633</v>
      </c>
      <c r="F92" s="90" t="s">
        <v>633</v>
      </c>
    </row>
    <row r="93" spans="1:6">
      <c r="B93" s="88">
        <v>180</v>
      </c>
      <c r="D93" s="90" t="s">
        <v>427</v>
      </c>
      <c r="E93" s="90" t="s">
        <v>634</v>
      </c>
      <c r="F93" s="90" t="s">
        <v>634</v>
      </c>
    </row>
    <row r="94" spans="1:6">
      <c r="B94" s="88">
        <v>181</v>
      </c>
      <c r="C94" s="89" t="s">
        <v>1127</v>
      </c>
      <c r="D94" s="90" t="s">
        <v>1179</v>
      </c>
      <c r="E94" s="90" t="s">
        <v>1143</v>
      </c>
      <c r="F94" s="90" t="s">
        <v>1143</v>
      </c>
    </row>
    <row r="95" spans="1:6" ht="36">
      <c r="B95" s="88">
        <v>182</v>
      </c>
      <c r="C95" s="89" t="s">
        <v>1127</v>
      </c>
      <c r="D95" s="90" t="s">
        <v>1212</v>
      </c>
      <c r="E95" s="90" t="s">
        <v>1152</v>
      </c>
      <c r="F95" s="90" t="s">
        <v>1152</v>
      </c>
    </row>
    <row r="96" spans="1:6">
      <c r="B96" s="88">
        <v>183</v>
      </c>
      <c r="D96" s="90" t="s">
        <v>109</v>
      </c>
      <c r="E96" s="90" t="s">
        <v>635</v>
      </c>
      <c r="F96" s="90" t="s">
        <v>635</v>
      </c>
    </row>
    <row r="97" spans="2:6">
      <c r="B97" s="88">
        <v>184</v>
      </c>
      <c r="D97" s="90" t="s">
        <v>1325</v>
      </c>
      <c r="E97" s="90" t="s">
        <v>1336</v>
      </c>
      <c r="F97" s="90" t="s">
        <v>1336</v>
      </c>
    </row>
    <row r="98" spans="2:6">
      <c r="B98" s="88">
        <v>185</v>
      </c>
      <c r="D98" s="90" t="s">
        <v>110</v>
      </c>
      <c r="E98" s="90" t="s">
        <v>636</v>
      </c>
      <c r="F98" s="90" t="s">
        <v>636</v>
      </c>
    </row>
    <row r="99" spans="2:6" ht="24">
      <c r="B99" s="88">
        <v>186</v>
      </c>
      <c r="D99" s="90" t="s">
        <v>111</v>
      </c>
      <c r="E99" s="90" t="s">
        <v>637</v>
      </c>
      <c r="F99" s="90" t="s">
        <v>637</v>
      </c>
    </row>
    <row r="100" spans="2:6" ht="24">
      <c r="B100" s="88">
        <v>187</v>
      </c>
      <c r="D100" s="90" t="s">
        <v>112</v>
      </c>
      <c r="E100" s="90" t="s">
        <v>638</v>
      </c>
      <c r="F100" s="90" t="s">
        <v>638</v>
      </c>
    </row>
    <row r="101" spans="2:6" ht="24">
      <c r="B101" s="88">
        <v>188</v>
      </c>
      <c r="D101" s="90" t="s">
        <v>113</v>
      </c>
      <c r="E101" s="90" t="s">
        <v>639</v>
      </c>
      <c r="F101" s="90" t="s">
        <v>639</v>
      </c>
    </row>
    <row r="102" spans="2:6">
      <c r="B102" s="88">
        <v>189</v>
      </c>
      <c r="D102" s="90" t="s">
        <v>114</v>
      </c>
      <c r="E102" s="90" t="s">
        <v>640</v>
      </c>
      <c r="F102" s="90" t="s">
        <v>640</v>
      </c>
    </row>
    <row r="103" spans="2:6">
      <c r="B103" s="88">
        <v>190</v>
      </c>
      <c r="C103" s="89" t="s">
        <v>1127</v>
      </c>
      <c r="D103" s="90" t="s">
        <v>1177</v>
      </c>
      <c r="E103" s="90" t="s">
        <v>1142</v>
      </c>
      <c r="F103" s="90" t="s">
        <v>1142</v>
      </c>
    </row>
    <row r="104" spans="2:6">
      <c r="B104" s="88">
        <v>191</v>
      </c>
      <c r="D104" s="90" t="s">
        <v>1219</v>
      </c>
      <c r="E104" s="90" t="s">
        <v>1220</v>
      </c>
      <c r="F104" s="90" t="s">
        <v>1220</v>
      </c>
    </row>
    <row r="105" spans="2:6">
      <c r="B105" s="88">
        <v>192</v>
      </c>
      <c r="D105" s="90" t="s">
        <v>542</v>
      </c>
      <c r="E105" s="90" t="s">
        <v>544</v>
      </c>
      <c r="F105" s="90" t="s">
        <v>544</v>
      </c>
    </row>
    <row r="106" spans="2:6">
      <c r="B106" s="88">
        <v>193</v>
      </c>
      <c r="D106" s="90" t="s">
        <v>543</v>
      </c>
      <c r="E106" s="90" t="s">
        <v>944</v>
      </c>
      <c r="F106" s="90" t="s">
        <v>944</v>
      </c>
    </row>
    <row r="107" spans="2:6">
      <c r="B107" s="88">
        <v>194</v>
      </c>
      <c r="D107" s="90" t="s">
        <v>115</v>
      </c>
      <c r="E107" s="90" t="s">
        <v>641</v>
      </c>
      <c r="F107" s="90" t="s">
        <v>641</v>
      </c>
    </row>
    <row r="108" spans="2:6">
      <c r="B108" s="88">
        <v>195</v>
      </c>
      <c r="D108" s="90" t="s">
        <v>116</v>
      </c>
      <c r="E108" s="90" t="s">
        <v>642</v>
      </c>
      <c r="F108" s="90" t="s">
        <v>642</v>
      </c>
    </row>
    <row r="109" spans="2:6">
      <c r="B109" s="88">
        <v>196</v>
      </c>
      <c r="D109" s="90" t="s">
        <v>428</v>
      </c>
      <c r="E109" s="90" t="s">
        <v>643</v>
      </c>
      <c r="F109" s="90" t="s">
        <v>643</v>
      </c>
    </row>
    <row r="110" spans="2:6" ht="24">
      <c r="B110" s="88">
        <v>197</v>
      </c>
      <c r="D110" s="90" t="s">
        <v>429</v>
      </c>
      <c r="E110" s="90" t="s">
        <v>644</v>
      </c>
      <c r="F110" s="90" t="s">
        <v>644</v>
      </c>
    </row>
    <row r="111" spans="2:6" ht="24">
      <c r="B111" s="88">
        <v>198</v>
      </c>
      <c r="D111" s="90" t="s">
        <v>117</v>
      </c>
      <c r="E111" s="90" t="s">
        <v>645</v>
      </c>
      <c r="F111" s="90" t="s">
        <v>645</v>
      </c>
    </row>
    <row r="112" spans="2:6">
      <c r="B112" s="88">
        <v>199</v>
      </c>
      <c r="D112" s="90" t="s">
        <v>1327</v>
      </c>
      <c r="E112" s="90" t="s">
        <v>1337</v>
      </c>
      <c r="F112" s="90" t="s">
        <v>1337</v>
      </c>
    </row>
    <row r="113" spans="2:6">
      <c r="B113" s="88">
        <v>200</v>
      </c>
      <c r="D113" s="90" t="s">
        <v>118</v>
      </c>
      <c r="E113" s="90" t="s">
        <v>119</v>
      </c>
      <c r="F113" s="90" t="s">
        <v>119</v>
      </c>
    </row>
    <row r="114" spans="2:6">
      <c r="B114" s="88">
        <v>201</v>
      </c>
      <c r="D114" s="90" t="s">
        <v>1298</v>
      </c>
      <c r="E114" s="90" t="s">
        <v>1299</v>
      </c>
      <c r="F114" s="90" t="s">
        <v>1299</v>
      </c>
    </row>
    <row r="115" spans="2:6">
      <c r="B115" s="88">
        <v>202</v>
      </c>
      <c r="D115" s="90" t="s">
        <v>430</v>
      </c>
      <c r="E115" s="90" t="s">
        <v>646</v>
      </c>
      <c r="F115" s="90" t="s">
        <v>646</v>
      </c>
    </row>
    <row r="116" spans="2:6">
      <c r="B116" s="88">
        <v>203</v>
      </c>
      <c r="D116" s="90" t="s">
        <v>431</v>
      </c>
      <c r="E116" s="90" t="s">
        <v>647</v>
      </c>
      <c r="F116" s="90" t="s">
        <v>647</v>
      </c>
    </row>
    <row r="117" spans="2:6">
      <c r="B117" s="88">
        <v>204</v>
      </c>
      <c r="D117" s="90" t="s">
        <v>432</v>
      </c>
      <c r="E117" s="90" t="s">
        <v>522</v>
      </c>
      <c r="F117" s="90" t="s">
        <v>522</v>
      </c>
    </row>
    <row r="118" spans="2:6">
      <c r="B118" s="88">
        <v>205</v>
      </c>
      <c r="D118" s="90" t="s">
        <v>1253</v>
      </c>
      <c r="E118" s="90" t="s">
        <v>1252</v>
      </c>
      <c r="F118" s="90" t="s">
        <v>1252</v>
      </c>
    </row>
    <row r="119" spans="2:6">
      <c r="B119" s="88">
        <v>206</v>
      </c>
      <c r="D119" s="90" t="s">
        <v>1233</v>
      </c>
      <c r="E119" s="90" t="s">
        <v>1234</v>
      </c>
      <c r="F119" s="90" t="s">
        <v>1234</v>
      </c>
    </row>
    <row r="120" spans="2:6">
      <c r="B120" s="88">
        <v>207</v>
      </c>
      <c r="D120" s="90" t="s">
        <v>120</v>
      </c>
      <c r="E120" s="90" t="s">
        <v>648</v>
      </c>
      <c r="F120" s="90" t="s">
        <v>648</v>
      </c>
    </row>
    <row r="121" spans="2:6" ht="24">
      <c r="B121" s="88">
        <v>208</v>
      </c>
      <c r="D121" s="90" t="s">
        <v>121</v>
      </c>
      <c r="E121" s="90" t="s">
        <v>649</v>
      </c>
      <c r="F121" s="90" t="s">
        <v>649</v>
      </c>
    </row>
    <row r="122" spans="2:6" ht="24">
      <c r="B122" s="88">
        <v>209</v>
      </c>
      <c r="D122" s="90" t="s">
        <v>122</v>
      </c>
      <c r="E122" s="90" t="s">
        <v>650</v>
      </c>
      <c r="F122" s="90" t="s">
        <v>650</v>
      </c>
    </row>
    <row r="123" spans="2:6">
      <c r="B123" s="88">
        <v>210</v>
      </c>
      <c r="D123" s="90" t="s">
        <v>546</v>
      </c>
      <c r="E123" s="90" t="s">
        <v>943</v>
      </c>
      <c r="F123" s="90" t="s">
        <v>943</v>
      </c>
    </row>
    <row r="124" spans="2:6">
      <c r="B124" s="88">
        <v>211</v>
      </c>
      <c r="D124" s="90" t="s">
        <v>123</v>
      </c>
      <c r="E124" s="90" t="s">
        <v>123</v>
      </c>
      <c r="F124" s="90" t="s">
        <v>123</v>
      </c>
    </row>
    <row r="125" spans="2:6">
      <c r="B125" s="88">
        <v>212</v>
      </c>
      <c r="D125" s="90" t="s">
        <v>124</v>
      </c>
      <c r="E125" s="90" t="s">
        <v>651</v>
      </c>
      <c r="F125" s="90" t="s">
        <v>651</v>
      </c>
    </row>
    <row r="126" spans="2:6">
      <c r="B126" s="88">
        <v>213</v>
      </c>
      <c r="D126" s="90" t="s">
        <v>125</v>
      </c>
      <c r="E126" s="90" t="s">
        <v>552</v>
      </c>
      <c r="F126" s="90" t="s">
        <v>552</v>
      </c>
    </row>
    <row r="127" spans="2:6">
      <c r="B127" s="88">
        <v>214</v>
      </c>
      <c r="D127" s="90" t="s">
        <v>126</v>
      </c>
      <c r="E127" s="90" t="s">
        <v>995</v>
      </c>
      <c r="F127" s="90" t="s">
        <v>995</v>
      </c>
    </row>
    <row r="128" spans="2:6">
      <c r="B128" s="88">
        <v>215</v>
      </c>
      <c r="D128" s="90" t="s">
        <v>433</v>
      </c>
      <c r="E128" s="90" t="s">
        <v>652</v>
      </c>
      <c r="F128" s="90" t="s">
        <v>652</v>
      </c>
    </row>
    <row r="129" spans="2:6">
      <c r="B129" s="88">
        <v>216</v>
      </c>
      <c r="D129" s="90" t="s">
        <v>127</v>
      </c>
      <c r="E129" s="90" t="s">
        <v>653</v>
      </c>
      <c r="F129" s="90" t="s">
        <v>653</v>
      </c>
    </row>
    <row r="130" spans="2:6">
      <c r="B130" s="88">
        <v>217</v>
      </c>
      <c r="D130" s="90" t="s">
        <v>434</v>
      </c>
      <c r="E130" s="90" t="s">
        <v>654</v>
      </c>
      <c r="F130" s="90" t="s">
        <v>654</v>
      </c>
    </row>
    <row r="131" spans="2:6">
      <c r="B131" s="88">
        <v>218</v>
      </c>
      <c r="D131" s="90" t="s">
        <v>128</v>
      </c>
      <c r="E131" s="90" t="s">
        <v>655</v>
      </c>
      <c r="F131" s="90" t="s">
        <v>655</v>
      </c>
    </row>
    <row r="132" spans="2:6">
      <c r="B132" s="88">
        <v>219</v>
      </c>
      <c r="D132" s="90" t="s">
        <v>129</v>
      </c>
      <c r="E132" s="90" t="s">
        <v>656</v>
      </c>
      <c r="F132" s="90" t="s">
        <v>656</v>
      </c>
    </row>
    <row r="133" spans="2:6">
      <c r="B133" s="88">
        <v>220</v>
      </c>
      <c r="D133" s="90" t="s">
        <v>130</v>
      </c>
      <c r="E133" s="90" t="s">
        <v>657</v>
      </c>
      <c r="F133" s="90" t="s">
        <v>657</v>
      </c>
    </row>
    <row r="134" spans="2:6">
      <c r="B134" s="88">
        <v>221</v>
      </c>
      <c r="D134" s="90" t="s">
        <v>435</v>
      </c>
      <c r="E134" s="90" t="s">
        <v>658</v>
      </c>
      <c r="F134" s="90" t="s">
        <v>658</v>
      </c>
    </row>
    <row r="135" spans="2:6">
      <c r="B135" s="88">
        <v>222</v>
      </c>
      <c r="D135" s="90" t="s">
        <v>131</v>
      </c>
      <c r="E135" s="90" t="s">
        <v>659</v>
      </c>
      <c r="F135" s="90" t="s">
        <v>659</v>
      </c>
    </row>
    <row r="136" spans="2:6">
      <c r="B136" s="88">
        <v>223</v>
      </c>
      <c r="D136" s="90" t="s">
        <v>132</v>
      </c>
      <c r="E136" s="90" t="s">
        <v>660</v>
      </c>
      <c r="F136" s="90" t="s">
        <v>660</v>
      </c>
    </row>
    <row r="137" spans="2:6">
      <c r="B137" s="88">
        <v>224</v>
      </c>
      <c r="C137" s="89" t="s">
        <v>573</v>
      </c>
      <c r="D137" s="90" t="s">
        <v>968</v>
      </c>
      <c r="E137" s="90" t="s">
        <v>969</v>
      </c>
      <c r="F137" s="90" t="s">
        <v>969</v>
      </c>
    </row>
    <row r="138" spans="2:6">
      <c r="B138" s="88">
        <v>225</v>
      </c>
      <c r="D138" s="90" t="s">
        <v>133</v>
      </c>
      <c r="E138" s="90" t="s">
        <v>661</v>
      </c>
      <c r="F138" s="90" t="s">
        <v>661</v>
      </c>
    </row>
    <row r="139" spans="2:6">
      <c r="B139" s="88">
        <v>226</v>
      </c>
      <c r="D139" s="90" t="s">
        <v>1214</v>
      </c>
      <c r="E139" s="90" t="s">
        <v>1215</v>
      </c>
      <c r="F139" s="90" t="s">
        <v>1215</v>
      </c>
    </row>
    <row r="140" spans="2:6">
      <c r="B140" s="88">
        <v>227</v>
      </c>
      <c r="D140" s="90" t="s">
        <v>436</v>
      </c>
      <c r="E140" s="90" t="s">
        <v>662</v>
      </c>
      <c r="F140" s="90" t="s">
        <v>662</v>
      </c>
    </row>
    <row r="141" spans="2:6">
      <c r="B141" s="88">
        <v>228</v>
      </c>
      <c r="D141" s="90" t="s">
        <v>437</v>
      </c>
      <c r="E141" s="90" t="s">
        <v>663</v>
      </c>
      <c r="F141" s="90" t="s">
        <v>663</v>
      </c>
    </row>
    <row r="142" spans="2:6">
      <c r="B142" s="88">
        <v>229</v>
      </c>
      <c r="D142" s="90" t="s">
        <v>1079</v>
      </c>
      <c r="E142" s="90" t="s">
        <v>1080</v>
      </c>
      <c r="F142" s="90" t="s">
        <v>1080</v>
      </c>
    </row>
    <row r="143" spans="2:6">
      <c r="B143" s="88">
        <v>230</v>
      </c>
      <c r="D143" s="90" t="s">
        <v>1077</v>
      </c>
      <c r="E143" s="90" t="s">
        <v>1078</v>
      </c>
      <c r="F143" s="90" t="s">
        <v>1078</v>
      </c>
    </row>
    <row r="144" spans="2:6">
      <c r="B144" s="88">
        <v>231</v>
      </c>
      <c r="D144" s="90" t="s">
        <v>438</v>
      </c>
      <c r="E144" s="90" t="s">
        <v>664</v>
      </c>
      <c r="F144" s="90" t="s">
        <v>664</v>
      </c>
    </row>
    <row r="145" spans="2:6">
      <c r="B145" s="88">
        <v>232</v>
      </c>
      <c r="D145" s="90" t="s">
        <v>1243</v>
      </c>
      <c r="E145" s="90" t="s">
        <v>1244</v>
      </c>
      <c r="F145" s="90" t="s">
        <v>1244</v>
      </c>
    </row>
    <row r="146" spans="2:6">
      <c r="B146" s="88">
        <v>233</v>
      </c>
      <c r="D146" s="90" t="s">
        <v>439</v>
      </c>
      <c r="E146" s="90" t="s">
        <v>665</v>
      </c>
      <c r="F146" s="90" t="s">
        <v>665</v>
      </c>
    </row>
    <row r="147" spans="2:6">
      <c r="B147" s="88">
        <v>234</v>
      </c>
      <c r="D147" s="90" t="s">
        <v>440</v>
      </c>
      <c r="E147" s="90" t="s">
        <v>666</v>
      </c>
      <c r="F147" s="90" t="s">
        <v>666</v>
      </c>
    </row>
    <row r="148" spans="2:6">
      <c r="B148" s="88">
        <v>235</v>
      </c>
      <c r="D148" s="90" t="s">
        <v>134</v>
      </c>
      <c r="E148" s="90" t="s">
        <v>551</v>
      </c>
      <c r="F148" s="90" t="s">
        <v>551</v>
      </c>
    </row>
    <row r="149" spans="2:6">
      <c r="B149" s="88">
        <v>236</v>
      </c>
      <c r="D149" s="90" t="s">
        <v>441</v>
      </c>
      <c r="E149" s="90" t="s">
        <v>667</v>
      </c>
      <c r="F149" s="90" t="s">
        <v>667</v>
      </c>
    </row>
    <row r="150" spans="2:6">
      <c r="B150" s="88">
        <v>237</v>
      </c>
      <c r="D150" s="90" t="s">
        <v>1240</v>
      </c>
      <c r="E150" s="90" t="s">
        <v>1247</v>
      </c>
      <c r="F150" s="90" t="s">
        <v>1247</v>
      </c>
    </row>
    <row r="151" spans="2:6">
      <c r="B151" s="88">
        <v>238</v>
      </c>
      <c r="D151" s="90" t="s">
        <v>135</v>
      </c>
      <c r="E151" s="90" t="s">
        <v>531</v>
      </c>
      <c r="F151" s="90" t="s">
        <v>531</v>
      </c>
    </row>
    <row r="152" spans="2:6">
      <c r="B152" s="88">
        <v>239</v>
      </c>
      <c r="D152" s="90" t="s">
        <v>136</v>
      </c>
      <c r="E152" s="90" t="s">
        <v>668</v>
      </c>
      <c r="F152" s="90" t="s">
        <v>668</v>
      </c>
    </row>
    <row r="153" spans="2:6">
      <c r="B153" s="88">
        <v>240</v>
      </c>
      <c r="D153" s="90" t="s">
        <v>137</v>
      </c>
      <c r="E153" s="90" t="s">
        <v>669</v>
      </c>
      <c r="F153" s="90" t="s">
        <v>669</v>
      </c>
    </row>
    <row r="154" spans="2:6">
      <c r="B154" s="88">
        <v>241</v>
      </c>
      <c r="D154" s="90" t="s">
        <v>442</v>
      </c>
      <c r="E154" s="90" t="s">
        <v>670</v>
      </c>
      <c r="F154" s="90" t="s">
        <v>670</v>
      </c>
    </row>
    <row r="155" spans="2:6">
      <c r="B155" s="88">
        <v>242</v>
      </c>
      <c r="D155" s="90" t="s">
        <v>443</v>
      </c>
      <c r="E155" s="90" t="s">
        <v>671</v>
      </c>
      <c r="F155" s="90" t="s">
        <v>671</v>
      </c>
    </row>
    <row r="156" spans="2:6">
      <c r="B156" s="88">
        <v>243</v>
      </c>
      <c r="D156" s="90" t="s">
        <v>1216</v>
      </c>
      <c r="E156" s="90" t="s">
        <v>540</v>
      </c>
      <c r="F156" s="90" t="s">
        <v>540</v>
      </c>
    </row>
    <row r="157" spans="2:6">
      <c r="B157" s="88">
        <v>244</v>
      </c>
      <c r="D157" s="90" t="s">
        <v>1375</v>
      </c>
      <c r="E157" s="90" t="s">
        <v>672</v>
      </c>
      <c r="F157" s="90" t="s">
        <v>672</v>
      </c>
    </row>
    <row r="158" spans="2:6">
      <c r="B158" s="88">
        <v>245</v>
      </c>
      <c r="D158" s="90" t="s">
        <v>1376</v>
      </c>
      <c r="E158" s="90" t="s">
        <v>673</v>
      </c>
      <c r="F158" s="90" t="s">
        <v>673</v>
      </c>
    </row>
    <row r="159" spans="2:6">
      <c r="B159" s="88">
        <v>246</v>
      </c>
      <c r="D159" s="90" t="s">
        <v>444</v>
      </c>
      <c r="E159" s="90" t="s">
        <v>674</v>
      </c>
      <c r="F159" s="90" t="s">
        <v>674</v>
      </c>
    </row>
    <row r="160" spans="2:6">
      <c r="B160" s="88">
        <v>247</v>
      </c>
      <c r="D160" s="90" t="s">
        <v>1218</v>
      </c>
      <c r="E160" s="90" t="s">
        <v>1264</v>
      </c>
      <c r="F160" s="90" t="s">
        <v>1264</v>
      </c>
    </row>
    <row r="161" spans="2:6">
      <c r="B161" s="88">
        <v>248</v>
      </c>
      <c r="D161" s="90" t="s">
        <v>445</v>
      </c>
      <c r="E161" s="90" t="s">
        <v>675</v>
      </c>
      <c r="F161" s="90" t="s">
        <v>675</v>
      </c>
    </row>
    <row r="162" spans="2:6">
      <c r="B162" s="88">
        <v>249</v>
      </c>
      <c r="D162" s="90" t="s">
        <v>446</v>
      </c>
      <c r="E162" s="90" t="s">
        <v>676</v>
      </c>
      <c r="F162" s="90" t="s">
        <v>676</v>
      </c>
    </row>
    <row r="163" spans="2:6">
      <c r="B163" s="88">
        <v>250</v>
      </c>
      <c r="D163" s="90" t="s">
        <v>138</v>
      </c>
      <c r="E163" s="90" t="s">
        <v>677</v>
      </c>
      <c r="F163" s="90" t="s">
        <v>677</v>
      </c>
    </row>
    <row r="164" spans="2:6">
      <c r="B164" s="88">
        <v>251</v>
      </c>
      <c r="D164" s="90" t="s">
        <v>139</v>
      </c>
      <c r="E164" s="90" t="s">
        <v>678</v>
      </c>
      <c r="F164" s="90" t="s">
        <v>678</v>
      </c>
    </row>
    <row r="165" spans="2:6">
      <c r="B165" s="88">
        <v>252</v>
      </c>
      <c r="D165" s="90" t="s">
        <v>1217</v>
      </c>
      <c r="E165" s="90" t="s">
        <v>1263</v>
      </c>
      <c r="F165" s="90" t="s">
        <v>1263</v>
      </c>
    </row>
    <row r="166" spans="2:6">
      <c r="B166" s="88">
        <v>253</v>
      </c>
      <c r="D166" s="90" t="s">
        <v>1395</v>
      </c>
      <c r="E166" s="90" t="s">
        <v>1342</v>
      </c>
      <c r="F166" s="90" t="s">
        <v>1342</v>
      </c>
    </row>
    <row r="167" spans="2:6">
      <c r="B167" s="88">
        <v>254</v>
      </c>
      <c r="D167" s="90" t="s">
        <v>140</v>
      </c>
      <c r="E167" s="90" t="s">
        <v>679</v>
      </c>
      <c r="F167" s="90" t="s">
        <v>679</v>
      </c>
    </row>
    <row r="168" spans="2:6">
      <c r="B168" s="88">
        <v>255</v>
      </c>
      <c r="C168" s="89" t="s">
        <v>573</v>
      </c>
      <c r="D168" s="90" t="s">
        <v>957</v>
      </c>
      <c r="E168" s="90" t="s">
        <v>959</v>
      </c>
      <c r="F168" s="90" t="s">
        <v>959</v>
      </c>
    </row>
    <row r="169" spans="2:6">
      <c r="B169" s="88">
        <v>256</v>
      </c>
      <c r="D169" s="90" t="s">
        <v>141</v>
      </c>
      <c r="E169" s="90" t="s">
        <v>680</v>
      </c>
      <c r="F169" s="90" t="s">
        <v>680</v>
      </c>
    </row>
    <row r="170" spans="2:6">
      <c r="B170" s="88">
        <v>257</v>
      </c>
      <c r="D170" s="90" t="s">
        <v>447</v>
      </c>
      <c r="E170" s="90" t="s">
        <v>681</v>
      </c>
      <c r="F170" s="90" t="s">
        <v>681</v>
      </c>
    </row>
    <row r="171" spans="2:6">
      <c r="B171" s="88">
        <v>258</v>
      </c>
      <c r="D171" s="90" t="s">
        <v>448</v>
      </c>
      <c r="E171" s="90" t="s">
        <v>682</v>
      </c>
      <c r="F171" s="90" t="s">
        <v>682</v>
      </c>
    </row>
    <row r="172" spans="2:6">
      <c r="B172" s="88">
        <v>259</v>
      </c>
      <c r="D172" s="90" t="s">
        <v>449</v>
      </c>
      <c r="E172" s="90" t="s">
        <v>683</v>
      </c>
      <c r="F172" s="90" t="s">
        <v>683</v>
      </c>
    </row>
    <row r="173" spans="2:6">
      <c r="B173" s="88">
        <v>260</v>
      </c>
      <c r="D173" s="90" t="s">
        <v>1052</v>
      </c>
      <c r="E173" s="90" t="s">
        <v>1030</v>
      </c>
      <c r="F173" s="90" t="s">
        <v>1030</v>
      </c>
    </row>
    <row r="174" spans="2:6">
      <c r="B174" s="88">
        <v>261</v>
      </c>
      <c r="D174" s="90" t="s">
        <v>1054</v>
      </c>
      <c r="E174" s="90" t="s">
        <v>1056</v>
      </c>
      <c r="F174" s="90" t="s">
        <v>1056</v>
      </c>
    </row>
    <row r="175" spans="2:6" ht="24">
      <c r="B175" s="88">
        <v>262</v>
      </c>
      <c r="D175" s="90" t="s">
        <v>1055</v>
      </c>
      <c r="E175" s="90" t="s">
        <v>1057</v>
      </c>
      <c r="F175" s="90" t="s">
        <v>1057</v>
      </c>
    </row>
    <row r="176" spans="2:6" ht="24">
      <c r="B176" s="88">
        <v>263</v>
      </c>
      <c r="D176" s="90" t="s">
        <v>1114</v>
      </c>
      <c r="E176" s="90" t="s">
        <v>1115</v>
      </c>
      <c r="F176" s="90" t="s">
        <v>1115</v>
      </c>
    </row>
    <row r="177" spans="2:6">
      <c r="B177" s="88">
        <v>264</v>
      </c>
      <c r="D177" s="90" t="s">
        <v>1053</v>
      </c>
      <c r="E177" s="90" t="s">
        <v>1015</v>
      </c>
      <c r="F177" s="90" t="s">
        <v>1015</v>
      </c>
    </row>
    <row r="178" spans="2:6">
      <c r="B178" s="88">
        <v>265</v>
      </c>
      <c r="D178" s="90" t="s">
        <v>1059</v>
      </c>
      <c r="E178" s="90" t="s">
        <v>1060</v>
      </c>
      <c r="F178" s="90" t="s">
        <v>1060</v>
      </c>
    </row>
    <row r="179" spans="2:6">
      <c r="B179" s="88">
        <v>266</v>
      </c>
      <c r="D179" s="90" t="s">
        <v>1051</v>
      </c>
      <c r="E179" s="90" t="s">
        <v>1014</v>
      </c>
      <c r="F179" s="90" t="s">
        <v>1014</v>
      </c>
    </row>
    <row r="180" spans="2:6">
      <c r="B180" s="88">
        <v>267</v>
      </c>
      <c r="D180" s="90" t="s">
        <v>142</v>
      </c>
      <c r="E180" s="90" t="s">
        <v>684</v>
      </c>
      <c r="F180" s="90" t="s">
        <v>684</v>
      </c>
    </row>
    <row r="181" spans="2:6">
      <c r="B181" s="88">
        <v>268</v>
      </c>
      <c r="D181" s="90" t="s">
        <v>1259</v>
      </c>
      <c r="E181" s="90" t="s">
        <v>1260</v>
      </c>
      <c r="F181" s="90" t="s">
        <v>1260</v>
      </c>
    </row>
    <row r="182" spans="2:6">
      <c r="B182" s="88">
        <v>269</v>
      </c>
      <c r="D182" s="90" t="s">
        <v>143</v>
      </c>
      <c r="E182" s="90" t="s">
        <v>685</v>
      </c>
      <c r="F182" s="90" t="s">
        <v>685</v>
      </c>
    </row>
    <row r="183" spans="2:6">
      <c r="B183" s="88">
        <v>270</v>
      </c>
      <c r="D183" s="90" t="s">
        <v>450</v>
      </c>
      <c r="E183" s="90" t="s">
        <v>686</v>
      </c>
      <c r="F183" s="90" t="s">
        <v>686</v>
      </c>
    </row>
    <row r="184" spans="2:6" ht="24">
      <c r="B184" s="88">
        <v>271</v>
      </c>
      <c r="D184" s="90" t="s">
        <v>144</v>
      </c>
      <c r="E184" s="90" t="s">
        <v>687</v>
      </c>
      <c r="F184" s="90" t="s">
        <v>687</v>
      </c>
    </row>
    <row r="185" spans="2:6" ht="36">
      <c r="B185" s="88">
        <v>272</v>
      </c>
      <c r="D185" s="90" t="s">
        <v>145</v>
      </c>
      <c r="E185" s="90" t="s">
        <v>688</v>
      </c>
      <c r="F185" s="90" t="s">
        <v>688</v>
      </c>
    </row>
    <row r="186" spans="2:6">
      <c r="B186" s="88">
        <v>273</v>
      </c>
      <c r="D186" s="90" t="s">
        <v>146</v>
      </c>
      <c r="E186" s="90" t="s">
        <v>689</v>
      </c>
      <c r="F186" s="90" t="s">
        <v>689</v>
      </c>
    </row>
    <row r="187" spans="2:6">
      <c r="B187" s="88">
        <v>274</v>
      </c>
      <c r="D187" s="90" t="s">
        <v>147</v>
      </c>
      <c r="E187" s="90" t="s">
        <v>690</v>
      </c>
      <c r="F187" s="90" t="s">
        <v>690</v>
      </c>
    </row>
    <row r="188" spans="2:6">
      <c r="B188" s="88">
        <v>275</v>
      </c>
      <c r="D188" s="90" t="s">
        <v>148</v>
      </c>
      <c r="E188" s="90" t="s">
        <v>691</v>
      </c>
      <c r="F188" s="90" t="s">
        <v>691</v>
      </c>
    </row>
    <row r="189" spans="2:6">
      <c r="B189" s="88">
        <v>276</v>
      </c>
      <c r="D189" s="90" t="s">
        <v>149</v>
      </c>
      <c r="E189" s="90" t="s">
        <v>692</v>
      </c>
      <c r="F189" s="90" t="s">
        <v>692</v>
      </c>
    </row>
    <row r="190" spans="2:6">
      <c r="B190" s="88">
        <v>277</v>
      </c>
      <c r="D190" s="90" t="s">
        <v>150</v>
      </c>
      <c r="E190" s="90" t="s">
        <v>693</v>
      </c>
      <c r="F190" s="90" t="s">
        <v>693</v>
      </c>
    </row>
    <row r="191" spans="2:6">
      <c r="B191" s="88">
        <v>278</v>
      </c>
      <c r="D191" s="90" t="s">
        <v>151</v>
      </c>
      <c r="E191" s="90" t="s">
        <v>694</v>
      </c>
      <c r="F191" s="90" t="s">
        <v>694</v>
      </c>
    </row>
    <row r="192" spans="2:6">
      <c r="B192" s="88">
        <v>279</v>
      </c>
      <c r="D192" s="90" t="s">
        <v>152</v>
      </c>
      <c r="E192" s="90" t="s">
        <v>695</v>
      </c>
      <c r="F192" s="90" t="s">
        <v>695</v>
      </c>
    </row>
    <row r="193" spans="2:6">
      <c r="B193" s="88">
        <v>280</v>
      </c>
      <c r="D193" s="90" t="s">
        <v>153</v>
      </c>
      <c r="E193" s="90" t="s">
        <v>548</v>
      </c>
      <c r="F193" s="90" t="s">
        <v>548</v>
      </c>
    </row>
    <row r="194" spans="2:6">
      <c r="B194" s="88">
        <v>281</v>
      </c>
      <c r="D194" s="90" t="s">
        <v>154</v>
      </c>
      <c r="E194" s="90" t="s">
        <v>696</v>
      </c>
      <c r="F194" s="90" t="s">
        <v>696</v>
      </c>
    </row>
    <row r="195" spans="2:6">
      <c r="B195" s="88">
        <v>282</v>
      </c>
      <c r="D195" s="90" t="s">
        <v>155</v>
      </c>
      <c r="E195" s="90" t="s">
        <v>697</v>
      </c>
      <c r="F195" s="90" t="s">
        <v>697</v>
      </c>
    </row>
    <row r="196" spans="2:6">
      <c r="B196" s="88">
        <v>283</v>
      </c>
      <c r="D196" s="90" t="s">
        <v>156</v>
      </c>
      <c r="E196" s="90" t="s">
        <v>698</v>
      </c>
      <c r="F196" s="90" t="s">
        <v>698</v>
      </c>
    </row>
    <row r="197" spans="2:6" ht="24">
      <c r="B197" s="88">
        <v>284</v>
      </c>
      <c r="D197" s="90" t="s">
        <v>157</v>
      </c>
      <c r="E197" s="90" t="s">
        <v>699</v>
      </c>
      <c r="F197" s="90" t="s">
        <v>699</v>
      </c>
    </row>
    <row r="198" spans="2:6">
      <c r="B198" s="88">
        <v>285</v>
      </c>
      <c r="D198" s="90" t="s">
        <v>451</v>
      </c>
      <c r="E198" s="90" t="s">
        <v>700</v>
      </c>
      <c r="F198" s="90" t="s">
        <v>700</v>
      </c>
    </row>
    <row r="199" spans="2:6">
      <c r="B199" s="88">
        <v>286</v>
      </c>
      <c r="D199" s="90" t="s">
        <v>158</v>
      </c>
      <c r="E199" s="90" t="s">
        <v>701</v>
      </c>
      <c r="F199" s="90" t="s">
        <v>701</v>
      </c>
    </row>
    <row r="200" spans="2:6">
      <c r="B200" s="88">
        <v>287</v>
      </c>
      <c r="D200" s="90" t="s">
        <v>159</v>
      </c>
      <c r="E200" s="90" t="s">
        <v>702</v>
      </c>
      <c r="F200" s="90" t="s">
        <v>702</v>
      </c>
    </row>
    <row r="201" spans="2:6">
      <c r="B201" s="88">
        <v>288</v>
      </c>
      <c r="D201" s="90" t="s">
        <v>160</v>
      </c>
      <c r="E201" s="90" t="s">
        <v>703</v>
      </c>
      <c r="F201" s="90" t="s">
        <v>703</v>
      </c>
    </row>
    <row r="202" spans="2:6">
      <c r="B202" s="88">
        <v>289</v>
      </c>
      <c r="D202" s="90" t="s">
        <v>452</v>
      </c>
      <c r="E202" s="90" t="s">
        <v>704</v>
      </c>
      <c r="F202" s="90" t="s">
        <v>704</v>
      </c>
    </row>
    <row r="203" spans="2:6">
      <c r="B203" s="88">
        <v>290</v>
      </c>
      <c r="D203" s="90" t="s">
        <v>453</v>
      </c>
      <c r="E203" s="90" t="s">
        <v>705</v>
      </c>
      <c r="F203" s="90" t="s">
        <v>705</v>
      </c>
    </row>
    <row r="204" spans="2:6">
      <c r="B204" s="88">
        <v>291</v>
      </c>
      <c r="D204" s="90" t="s">
        <v>1222</v>
      </c>
      <c r="E204" s="90" t="s">
        <v>1230</v>
      </c>
      <c r="F204" s="90" t="s">
        <v>1230</v>
      </c>
    </row>
    <row r="205" spans="2:6">
      <c r="B205" s="88">
        <v>292</v>
      </c>
      <c r="D205" s="90" t="s">
        <v>1331</v>
      </c>
      <c r="E205" s="90" t="s">
        <v>1332</v>
      </c>
      <c r="F205" s="90" t="s">
        <v>1332</v>
      </c>
    </row>
    <row r="206" spans="2:6">
      <c r="B206" s="88">
        <v>293</v>
      </c>
      <c r="D206" s="90" t="s">
        <v>1223</v>
      </c>
      <c r="E206" s="90" t="s">
        <v>1229</v>
      </c>
      <c r="F206" s="90" t="s">
        <v>1229</v>
      </c>
    </row>
    <row r="207" spans="2:6">
      <c r="B207" s="88">
        <v>294</v>
      </c>
      <c r="D207" s="90" t="s">
        <v>1221</v>
      </c>
      <c r="E207" s="90" t="s">
        <v>1228</v>
      </c>
      <c r="F207" s="90" t="s">
        <v>1228</v>
      </c>
    </row>
    <row r="208" spans="2:6">
      <c r="B208" s="88">
        <v>295</v>
      </c>
      <c r="D208" s="90" t="s">
        <v>454</v>
      </c>
      <c r="E208" s="90" t="s">
        <v>706</v>
      </c>
      <c r="F208" s="90" t="s">
        <v>706</v>
      </c>
    </row>
    <row r="209" spans="2:6">
      <c r="B209" s="88">
        <v>296</v>
      </c>
      <c r="D209" s="90" t="s">
        <v>538</v>
      </c>
      <c r="E209" s="90" t="s">
        <v>707</v>
      </c>
      <c r="F209" s="90" t="s">
        <v>707</v>
      </c>
    </row>
    <row r="210" spans="2:6">
      <c r="B210" s="88">
        <v>297</v>
      </c>
      <c r="D210" s="90" t="s">
        <v>161</v>
      </c>
      <c r="E210" s="90" t="s">
        <v>708</v>
      </c>
      <c r="F210" s="90" t="s">
        <v>708</v>
      </c>
    </row>
    <row r="211" spans="2:6">
      <c r="B211" s="88">
        <v>298</v>
      </c>
      <c r="C211" s="89" t="s">
        <v>1127</v>
      </c>
      <c r="D211" s="90" t="s">
        <v>1198</v>
      </c>
      <c r="E211" s="90" t="s">
        <v>1138</v>
      </c>
      <c r="F211" s="90" t="s">
        <v>1138</v>
      </c>
    </row>
    <row r="212" spans="2:6">
      <c r="B212" s="88">
        <v>299</v>
      </c>
      <c r="D212" s="90" t="s">
        <v>1242</v>
      </c>
      <c r="E212" s="90" t="s">
        <v>1245</v>
      </c>
      <c r="F212" s="90" t="s">
        <v>1245</v>
      </c>
    </row>
    <row r="213" spans="2:6">
      <c r="B213" s="88">
        <v>300</v>
      </c>
      <c r="D213" s="90" t="s">
        <v>527</v>
      </c>
      <c r="E213" s="90" t="s">
        <v>942</v>
      </c>
      <c r="F213" s="90" t="s">
        <v>942</v>
      </c>
    </row>
    <row r="214" spans="2:6">
      <c r="B214" s="88">
        <v>301</v>
      </c>
      <c r="D214" s="90" t="s">
        <v>993</v>
      </c>
      <c r="E214" s="90" t="s">
        <v>994</v>
      </c>
      <c r="F214" s="90" t="s">
        <v>994</v>
      </c>
    </row>
    <row r="215" spans="2:6">
      <c r="B215" s="88">
        <v>302</v>
      </c>
      <c r="C215" s="89" t="s">
        <v>1127</v>
      </c>
      <c r="D215" s="179" t="s">
        <v>1361</v>
      </c>
      <c r="E215" s="179" t="s">
        <v>1158</v>
      </c>
      <c r="F215" s="179" t="s">
        <v>1158</v>
      </c>
    </row>
    <row r="216" spans="2:6">
      <c r="B216" s="88">
        <v>303</v>
      </c>
      <c r="C216" s="89" t="s">
        <v>1127</v>
      </c>
      <c r="D216" s="179" t="s">
        <v>1166</v>
      </c>
      <c r="E216" s="179" t="s">
        <v>1128</v>
      </c>
      <c r="F216" s="179" t="s">
        <v>1128</v>
      </c>
    </row>
    <row r="217" spans="2:6">
      <c r="B217" s="88">
        <v>304</v>
      </c>
      <c r="C217" s="89" t="s">
        <v>1127</v>
      </c>
      <c r="D217" s="179" t="s">
        <v>1364</v>
      </c>
      <c r="E217" s="179" t="s">
        <v>1137</v>
      </c>
      <c r="F217" s="179" t="s">
        <v>1137</v>
      </c>
    </row>
    <row r="218" spans="2:6">
      <c r="B218" s="88">
        <v>305</v>
      </c>
      <c r="C218" s="89" t="s">
        <v>1127</v>
      </c>
      <c r="D218" s="179" t="s">
        <v>1208</v>
      </c>
      <c r="E218" s="179" t="s">
        <v>1209</v>
      </c>
      <c r="F218" s="179" t="s">
        <v>1209</v>
      </c>
    </row>
    <row r="219" spans="2:6">
      <c r="B219" s="88">
        <v>305</v>
      </c>
      <c r="C219" s="89" t="s">
        <v>1127</v>
      </c>
      <c r="D219" s="179" t="s">
        <v>1362</v>
      </c>
      <c r="E219" s="179" t="s">
        <v>1363</v>
      </c>
      <c r="F219" s="179" t="s">
        <v>1363</v>
      </c>
    </row>
    <row r="220" spans="2:6">
      <c r="B220" s="88">
        <v>306</v>
      </c>
      <c r="C220" s="89" t="s">
        <v>1127</v>
      </c>
      <c r="D220" s="179" t="s">
        <v>1351</v>
      </c>
      <c r="E220" s="179" t="s">
        <v>1352</v>
      </c>
      <c r="F220" s="179" t="s">
        <v>1352</v>
      </c>
    </row>
    <row r="221" spans="2:6">
      <c r="B221" s="88">
        <v>307</v>
      </c>
      <c r="C221" s="89" t="s">
        <v>1127</v>
      </c>
      <c r="D221" s="179" t="s">
        <v>1353</v>
      </c>
      <c r="E221" s="179" t="s">
        <v>1354</v>
      </c>
      <c r="F221" s="179" t="s">
        <v>1354</v>
      </c>
    </row>
    <row r="222" spans="2:6">
      <c r="B222" s="88">
        <v>308</v>
      </c>
      <c r="C222" s="89" t="s">
        <v>1127</v>
      </c>
      <c r="D222" s="179" t="s">
        <v>1355</v>
      </c>
      <c r="E222" s="179" t="s">
        <v>1356</v>
      </c>
      <c r="F222" s="179" t="s">
        <v>1356</v>
      </c>
    </row>
    <row r="223" spans="2:6">
      <c r="B223" s="88">
        <v>309</v>
      </c>
      <c r="C223" s="89" t="s">
        <v>1127</v>
      </c>
      <c r="D223" s="179" t="s">
        <v>1357</v>
      </c>
      <c r="E223" s="179" t="s">
        <v>1358</v>
      </c>
      <c r="F223" s="179" t="s">
        <v>1358</v>
      </c>
    </row>
    <row r="224" spans="2:6">
      <c r="B224" s="88">
        <v>310</v>
      </c>
      <c r="C224" s="89" t="s">
        <v>1127</v>
      </c>
      <c r="D224" s="179" t="s">
        <v>1359</v>
      </c>
      <c r="E224" s="179" t="s">
        <v>1365</v>
      </c>
      <c r="F224" s="179" t="s">
        <v>1365</v>
      </c>
    </row>
    <row r="225" spans="2:6">
      <c r="B225" s="88">
        <v>311</v>
      </c>
      <c r="C225" s="89" t="s">
        <v>1127</v>
      </c>
      <c r="D225" s="179" t="s">
        <v>1360</v>
      </c>
      <c r="E225" s="179" t="s">
        <v>1366</v>
      </c>
      <c r="F225" s="179" t="s">
        <v>1366</v>
      </c>
    </row>
    <row r="226" spans="2:6">
      <c r="B226" s="88">
        <v>312</v>
      </c>
      <c r="C226" s="89" t="s">
        <v>1127</v>
      </c>
      <c r="D226" s="179" t="s">
        <v>1200</v>
      </c>
      <c r="E226" s="179" t="s">
        <v>1367</v>
      </c>
      <c r="F226" s="179" t="s">
        <v>1367</v>
      </c>
    </row>
    <row r="227" spans="2:6">
      <c r="B227" s="88">
        <v>313</v>
      </c>
      <c r="C227" s="89" t="s">
        <v>1127</v>
      </c>
      <c r="D227" s="179" t="s">
        <v>1201</v>
      </c>
      <c r="E227" s="179" t="s">
        <v>1368</v>
      </c>
      <c r="F227" s="179" t="s">
        <v>1368</v>
      </c>
    </row>
    <row r="228" spans="2:6">
      <c r="B228" s="88">
        <v>314</v>
      </c>
      <c r="C228" s="89" t="s">
        <v>1127</v>
      </c>
      <c r="D228" s="179" t="s">
        <v>1202</v>
      </c>
      <c r="E228" s="90" t="s">
        <v>1159</v>
      </c>
      <c r="F228" s="90" t="s">
        <v>1159</v>
      </c>
    </row>
    <row r="229" spans="2:6">
      <c r="B229" s="88">
        <v>315</v>
      </c>
      <c r="C229" s="89" t="s">
        <v>1127</v>
      </c>
      <c r="D229" s="179" t="s">
        <v>1203</v>
      </c>
      <c r="E229" s="90" t="s">
        <v>1160</v>
      </c>
      <c r="F229" s="90" t="s">
        <v>1160</v>
      </c>
    </row>
    <row r="230" spans="2:6">
      <c r="B230" s="88">
        <v>316</v>
      </c>
      <c r="C230" s="89" t="s">
        <v>1127</v>
      </c>
      <c r="D230" s="179" t="s">
        <v>1204</v>
      </c>
      <c r="E230" s="90" t="s">
        <v>1161</v>
      </c>
      <c r="F230" s="90" t="s">
        <v>1161</v>
      </c>
    </row>
    <row r="231" spans="2:6">
      <c r="B231" s="88">
        <v>317</v>
      </c>
      <c r="C231" s="89" t="s">
        <v>1127</v>
      </c>
      <c r="D231" s="179" t="s">
        <v>1205</v>
      </c>
      <c r="E231" s="90" t="s">
        <v>1162</v>
      </c>
      <c r="F231" s="90" t="s">
        <v>1162</v>
      </c>
    </row>
    <row r="232" spans="2:6">
      <c r="B232" s="88">
        <v>318</v>
      </c>
      <c r="C232" s="89" t="s">
        <v>1127</v>
      </c>
      <c r="D232" s="179" t="s">
        <v>1206</v>
      </c>
      <c r="E232" s="179" t="s">
        <v>1207</v>
      </c>
      <c r="F232" s="179" t="s">
        <v>1207</v>
      </c>
    </row>
    <row r="233" spans="2:6" ht="24">
      <c r="B233" s="88">
        <v>319</v>
      </c>
      <c r="D233" s="90" t="s">
        <v>162</v>
      </c>
      <c r="E233" s="90" t="s">
        <v>709</v>
      </c>
      <c r="F233" s="90" t="s">
        <v>709</v>
      </c>
    </row>
    <row r="234" spans="2:6" ht="24">
      <c r="B234" s="88">
        <v>320</v>
      </c>
      <c r="D234" s="90" t="s">
        <v>163</v>
      </c>
      <c r="E234" s="90" t="s">
        <v>710</v>
      </c>
      <c r="F234" s="90" t="s">
        <v>710</v>
      </c>
    </row>
    <row r="235" spans="2:6" ht="24">
      <c r="B235" s="88">
        <v>321</v>
      </c>
      <c r="D235" s="90" t="s">
        <v>164</v>
      </c>
      <c r="E235" s="90" t="s">
        <v>711</v>
      </c>
      <c r="F235" s="90" t="s">
        <v>711</v>
      </c>
    </row>
    <row r="236" spans="2:6" ht="24">
      <c r="B236" s="88">
        <v>322</v>
      </c>
      <c r="C236" s="89" t="s">
        <v>1127</v>
      </c>
      <c r="D236" s="90" t="s">
        <v>1199</v>
      </c>
      <c r="E236" s="90" t="s">
        <v>1147</v>
      </c>
      <c r="F236" s="90" t="s">
        <v>1147</v>
      </c>
    </row>
    <row r="237" spans="2:6">
      <c r="B237" s="88">
        <v>323</v>
      </c>
      <c r="D237" s="90" t="s">
        <v>165</v>
      </c>
      <c r="E237" s="90" t="s">
        <v>712</v>
      </c>
      <c r="F237" s="90" t="s">
        <v>712</v>
      </c>
    </row>
    <row r="238" spans="2:6">
      <c r="B238" s="88">
        <v>324</v>
      </c>
      <c r="C238" s="89" t="s">
        <v>573</v>
      </c>
      <c r="D238" s="90" t="s">
        <v>970</v>
      </c>
      <c r="E238" s="90" t="s">
        <v>971</v>
      </c>
      <c r="F238" s="90" t="s">
        <v>971</v>
      </c>
    </row>
    <row r="239" spans="2:6">
      <c r="B239" s="88">
        <v>325</v>
      </c>
      <c r="D239" s="90" t="s">
        <v>166</v>
      </c>
      <c r="E239" s="90" t="s">
        <v>713</v>
      </c>
      <c r="F239" s="90" t="s">
        <v>713</v>
      </c>
    </row>
    <row r="240" spans="2:6">
      <c r="B240" s="88">
        <v>326</v>
      </c>
      <c r="D240" s="90" t="s">
        <v>167</v>
      </c>
      <c r="E240" s="90" t="s">
        <v>714</v>
      </c>
      <c r="F240" s="90" t="s">
        <v>714</v>
      </c>
    </row>
    <row r="241" spans="2:6">
      <c r="B241" s="88">
        <v>327</v>
      </c>
      <c r="D241" s="90" t="s">
        <v>168</v>
      </c>
      <c r="E241" s="90" t="s">
        <v>715</v>
      </c>
      <c r="F241" s="90" t="s">
        <v>715</v>
      </c>
    </row>
    <row r="242" spans="2:6">
      <c r="B242" s="88">
        <v>328</v>
      </c>
      <c r="C242" s="89" t="s">
        <v>573</v>
      </c>
      <c r="D242" s="87" t="s">
        <v>948</v>
      </c>
      <c r="E242" s="179" t="s">
        <v>949</v>
      </c>
      <c r="F242" s="179" t="s">
        <v>949</v>
      </c>
    </row>
    <row r="243" spans="2:6">
      <c r="B243" s="88">
        <v>329</v>
      </c>
      <c r="C243" s="89" t="s">
        <v>573</v>
      </c>
      <c r="D243" s="87" t="s">
        <v>950</v>
      </c>
      <c r="E243" s="179" t="s">
        <v>951</v>
      </c>
      <c r="F243" s="179" t="s">
        <v>951</v>
      </c>
    </row>
    <row r="244" spans="2:6">
      <c r="B244" s="88">
        <v>330</v>
      </c>
      <c r="D244" s="90" t="s">
        <v>169</v>
      </c>
      <c r="E244" s="90" t="s">
        <v>716</v>
      </c>
      <c r="F244" s="90" t="s">
        <v>716</v>
      </c>
    </row>
    <row r="245" spans="2:6">
      <c r="B245" s="88">
        <v>331</v>
      </c>
      <c r="C245" s="89" t="s">
        <v>573</v>
      </c>
      <c r="D245" s="90" t="s">
        <v>966</v>
      </c>
      <c r="E245" s="90" t="s">
        <v>999</v>
      </c>
      <c r="F245" s="90" t="s">
        <v>999</v>
      </c>
    </row>
    <row r="246" spans="2:6">
      <c r="B246" s="88">
        <v>332</v>
      </c>
      <c r="C246" s="89" t="s">
        <v>573</v>
      </c>
      <c r="D246" s="87" t="s">
        <v>972</v>
      </c>
      <c r="E246" s="179" t="s">
        <v>973</v>
      </c>
      <c r="F246" s="179" t="s">
        <v>973</v>
      </c>
    </row>
    <row r="247" spans="2:6" ht="24">
      <c r="B247" s="88">
        <v>333</v>
      </c>
      <c r="D247" s="90" t="s">
        <v>170</v>
      </c>
      <c r="E247" s="90" t="s">
        <v>717</v>
      </c>
      <c r="F247" s="90" t="s">
        <v>717</v>
      </c>
    </row>
    <row r="248" spans="2:6" ht="24">
      <c r="B248" s="88">
        <v>334</v>
      </c>
      <c r="D248" s="90" t="s">
        <v>171</v>
      </c>
      <c r="E248" s="90" t="s">
        <v>718</v>
      </c>
      <c r="F248" s="90" t="s">
        <v>718</v>
      </c>
    </row>
    <row r="249" spans="2:6">
      <c r="B249" s="88">
        <v>335</v>
      </c>
      <c r="D249" s="90" t="s">
        <v>172</v>
      </c>
      <c r="E249" s="90" t="s">
        <v>719</v>
      </c>
      <c r="F249" s="90" t="s">
        <v>719</v>
      </c>
    </row>
    <row r="250" spans="2:6">
      <c r="B250" s="88">
        <v>336</v>
      </c>
      <c r="D250" s="90" t="s">
        <v>173</v>
      </c>
      <c r="E250" s="90" t="s">
        <v>720</v>
      </c>
      <c r="F250" s="90" t="s">
        <v>720</v>
      </c>
    </row>
    <row r="251" spans="2:6">
      <c r="B251" s="88">
        <v>337</v>
      </c>
      <c r="D251" s="90" t="s">
        <v>174</v>
      </c>
      <c r="E251" s="90" t="s">
        <v>721</v>
      </c>
      <c r="F251" s="90" t="s">
        <v>721</v>
      </c>
    </row>
    <row r="252" spans="2:6">
      <c r="B252" s="88">
        <v>338</v>
      </c>
      <c r="D252" s="90" t="s">
        <v>175</v>
      </c>
      <c r="E252" s="90" t="s">
        <v>722</v>
      </c>
      <c r="F252" s="90" t="s">
        <v>722</v>
      </c>
    </row>
    <row r="253" spans="2:6">
      <c r="B253" s="88">
        <v>339</v>
      </c>
      <c r="C253" s="89" t="s">
        <v>1127</v>
      </c>
      <c r="D253" s="90" t="s">
        <v>1180</v>
      </c>
      <c r="E253" s="90" t="s">
        <v>1145</v>
      </c>
      <c r="F253" s="90" t="s">
        <v>1145</v>
      </c>
    </row>
    <row r="254" spans="2:6">
      <c r="B254" s="88">
        <v>340</v>
      </c>
      <c r="C254" s="89" t="s">
        <v>1127</v>
      </c>
      <c r="D254" s="90" t="s">
        <v>1182</v>
      </c>
      <c r="E254" s="90" t="s">
        <v>1146</v>
      </c>
      <c r="F254" s="90" t="s">
        <v>1146</v>
      </c>
    </row>
    <row r="255" spans="2:6">
      <c r="B255" s="88">
        <v>341</v>
      </c>
      <c r="D255" s="90" t="s">
        <v>176</v>
      </c>
      <c r="E255" s="90" t="s">
        <v>723</v>
      </c>
      <c r="F255" s="90" t="s">
        <v>723</v>
      </c>
    </row>
    <row r="256" spans="2:6" ht="24">
      <c r="B256" s="88">
        <v>342</v>
      </c>
      <c r="C256" s="89" t="s">
        <v>1127</v>
      </c>
      <c r="D256" s="90" t="s">
        <v>1192</v>
      </c>
      <c r="E256" s="90" t="s">
        <v>1154</v>
      </c>
      <c r="F256" s="90" t="s">
        <v>1154</v>
      </c>
    </row>
    <row r="257" spans="2:6">
      <c r="B257" s="88">
        <v>343</v>
      </c>
      <c r="D257" s="90" t="s">
        <v>455</v>
      </c>
      <c r="E257" s="90" t="s">
        <v>724</v>
      </c>
      <c r="F257" s="90" t="s">
        <v>724</v>
      </c>
    </row>
    <row r="258" spans="2:6">
      <c r="B258" s="88">
        <v>344</v>
      </c>
      <c r="D258" s="90" t="s">
        <v>177</v>
      </c>
      <c r="E258" s="90" t="s">
        <v>725</v>
      </c>
      <c r="F258" s="90" t="s">
        <v>725</v>
      </c>
    </row>
    <row r="259" spans="2:6">
      <c r="B259" s="88">
        <v>345</v>
      </c>
      <c r="D259" s="90" t="s">
        <v>456</v>
      </c>
      <c r="E259" s="90" t="s">
        <v>726</v>
      </c>
      <c r="F259" s="90" t="s">
        <v>726</v>
      </c>
    </row>
    <row r="260" spans="2:6">
      <c r="B260" s="88">
        <v>346</v>
      </c>
      <c r="C260" s="89" t="s">
        <v>1127</v>
      </c>
      <c r="D260" s="90" t="s">
        <v>1181</v>
      </c>
      <c r="E260" s="90" t="s">
        <v>1156</v>
      </c>
      <c r="F260" s="90" t="s">
        <v>1156</v>
      </c>
    </row>
    <row r="261" spans="2:6">
      <c r="B261" s="88">
        <v>347</v>
      </c>
      <c r="C261" s="89" t="s">
        <v>573</v>
      </c>
      <c r="D261" s="87" t="s">
        <v>946</v>
      </c>
      <c r="E261" s="179" t="s">
        <v>947</v>
      </c>
      <c r="F261" s="179" t="s">
        <v>947</v>
      </c>
    </row>
    <row r="262" spans="2:6" ht="24">
      <c r="B262" s="88">
        <v>348</v>
      </c>
      <c r="C262" s="89" t="s">
        <v>1127</v>
      </c>
      <c r="D262" s="90" t="s">
        <v>1174</v>
      </c>
      <c r="E262" s="90" t="s">
        <v>1135</v>
      </c>
      <c r="F262" s="90" t="s">
        <v>1135</v>
      </c>
    </row>
    <row r="263" spans="2:6" ht="24">
      <c r="B263" s="88">
        <v>349</v>
      </c>
      <c r="D263" s="90" t="s">
        <v>178</v>
      </c>
      <c r="F263" s="90"/>
    </row>
    <row r="264" spans="2:6">
      <c r="B264" s="88">
        <v>350</v>
      </c>
      <c r="D264" s="90" t="s">
        <v>179</v>
      </c>
      <c r="E264" s="90" t="s">
        <v>727</v>
      </c>
      <c r="F264" s="90" t="s">
        <v>727</v>
      </c>
    </row>
    <row r="265" spans="2:6">
      <c r="B265" s="88">
        <v>351</v>
      </c>
      <c r="D265" s="90" t="s">
        <v>180</v>
      </c>
      <c r="E265" s="90" t="s">
        <v>728</v>
      </c>
      <c r="F265" s="90" t="s">
        <v>728</v>
      </c>
    </row>
    <row r="266" spans="2:6">
      <c r="B266" s="88">
        <v>352</v>
      </c>
      <c r="D266" s="90" t="s">
        <v>181</v>
      </c>
      <c r="E266" s="90" t="s">
        <v>729</v>
      </c>
      <c r="F266" s="90" t="s">
        <v>729</v>
      </c>
    </row>
    <row r="267" spans="2:6">
      <c r="B267" s="88">
        <v>353</v>
      </c>
      <c r="C267" s="89" t="s">
        <v>1127</v>
      </c>
      <c r="D267" s="90" t="s">
        <v>1176</v>
      </c>
      <c r="E267" s="90" t="s">
        <v>1141</v>
      </c>
      <c r="F267" s="90" t="s">
        <v>1141</v>
      </c>
    </row>
    <row r="268" spans="2:6">
      <c r="B268" s="88">
        <v>354</v>
      </c>
      <c r="D268" s="90" t="s">
        <v>182</v>
      </c>
      <c r="E268" s="90" t="s">
        <v>730</v>
      </c>
      <c r="F268" s="90" t="s">
        <v>730</v>
      </c>
    </row>
    <row r="269" spans="2:6">
      <c r="B269" s="88">
        <v>355</v>
      </c>
      <c r="D269" s="90" t="s">
        <v>457</v>
      </c>
      <c r="E269" s="90" t="s">
        <v>731</v>
      </c>
      <c r="F269" s="90" t="s">
        <v>731</v>
      </c>
    </row>
    <row r="270" spans="2:6">
      <c r="B270" s="88">
        <v>356</v>
      </c>
      <c r="D270" s="90" t="s">
        <v>183</v>
      </c>
      <c r="E270" s="90" t="s">
        <v>732</v>
      </c>
      <c r="F270" s="90" t="s">
        <v>732</v>
      </c>
    </row>
    <row r="271" spans="2:6" ht="24">
      <c r="B271" s="88">
        <v>357</v>
      </c>
      <c r="C271" s="89" t="s">
        <v>1127</v>
      </c>
      <c r="D271" s="90" t="s">
        <v>1173</v>
      </c>
      <c r="E271" s="90" t="s">
        <v>1172</v>
      </c>
      <c r="F271" s="90" t="s">
        <v>1172</v>
      </c>
    </row>
    <row r="272" spans="2:6" ht="36">
      <c r="B272" s="88">
        <v>358</v>
      </c>
      <c r="C272" s="89" t="s">
        <v>1127</v>
      </c>
      <c r="D272" s="90" t="s">
        <v>1189</v>
      </c>
      <c r="E272" s="90" t="s">
        <v>1150</v>
      </c>
      <c r="F272" s="90" t="s">
        <v>1150</v>
      </c>
    </row>
    <row r="273" spans="2:6">
      <c r="B273" s="88">
        <v>359</v>
      </c>
      <c r="D273" s="90" t="s">
        <v>184</v>
      </c>
      <c r="E273" s="90" t="s">
        <v>733</v>
      </c>
      <c r="F273" s="90" t="s">
        <v>733</v>
      </c>
    </row>
    <row r="274" spans="2:6">
      <c r="B274" s="88">
        <v>360</v>
      </c>
      <c r="D274" s="90" t="s">
        <v>1</v>
      </c>
      <c r="E274" s="90" t="s">
        <v>1</v>
      </c>
      <c r="F274" s="90" t="s">
        <v>1</v>
      </c>
    </row>
    <row r="275" spans="2:6">
      <c r="B275" s="88">
        <v>361</v>
      </c>
      <c r="D275" s="90" t="s">
        <v>2</v>
      </c>
      <c r="E275" s="90" t="s">
        <v>2</v>
      </c>
      <c r="F275" s="90" t="s">
        <v>2</v>
      </c>
    </row>
    <row r="276" spans="2:6">
      <c r="B276" s="88">
        <v>362</v>
      </c>
      <c r="D276" s="90" t="s">
        <v>541</v>
      </c>
      <c r="E276" s="90" t="s">
        <v>545</v>
      </c>
      <c r="F276" s="90" t="s">
        <v>545</v>
      </c>
    </row>
    <row r="277" spans="2:6">
      <c r="B277" s="88">
        <v>363</v>
      </c>
      <c r="D277" s="90" t="s">
        <v>185</v>
      </c>
      <c r="E277" s="90" t="s">
        <v>186</v>
      </c>
      <c r="F277" s="90" t="s">
        <v>186</v>
      </c>
    </row>
    <row r="278" spans="2:6">
      <c r="B278" s="88">
        <v>364</v>
      </c>
      <c r="D278" s="90" t="s">
        <v>1261</v>
      </c>
      <c r="E278" s="90" t="s">
        <v>1262</v>
      </c>
      <c r="F278" s="90" t="s">
        <v>1262</v>
      </c>
    </row>
    <row r="279" spans="2:6">
      <c r="B279" s="88">
        <v>365</v>
      </c>
      <c r="D279" s="90" t="s">
        <v>187</v>
      </c>
      <c r="E279" s="90" t="s">
        <v>515</v>
      </c>
      <c r="F279" s="90" t="s">
        <v>515</v>
      </c>
    </row>
    <row r="280" spans="2:6">
      <c r="B280" s="88">
        <v>366</v>
      </c>
      <c r="D280" s="90" t="s">
        <v>188</v>
      </c>
      <c r="E280" s="90" t="s">
        <v>734</v>
      </c>
      <c r="F280" s="90" t="s">
        <v>734</v>
      </c>
    </row>
    <row r="281" spans="2:6">
      <c r="B281" s="88">
        <v>367</v>
      </c>
      <c r="D281" s="90" t="s">
        <v>189</v>
      </c>
      <c r="E281" s="90" t="s">
        <v>735</v>
      </c>
      <c r="F281" s="90" t="s">
        <v>735</v>
      </c>
    </row>
    <row r="282" spans="2:6">
      <c r="B282" s="88">
        <v>368</v>
      </c>
      <c r="D282" s="90" t="s">
        <v>458</v>
      </c>
      <c r="E282" s="90" t="s">
        <v>736</v>
      </c>
      <c r="F282" s="90" t="s">
        <v>736</v>
      </c>
    </row>
    <row r="283" spans="2:6">
      <c r="B283" s="88">
        <v>369</v>
      </c>
      <c r="D283" s="90" t="s">
        <v>459</v>
      </c>
      <c r="E283" s="90" t="s">
        <v>737</v>
      </c>
      <c r="F283" s="90" t="s">
        <v>737</v>
      </c>
    </row>
    <row r="284" spans="2:6">
      <c r="B284" s="88">
        <v>370</v>
      </c>
      <c r="D284" s="90" t="s">
        <v>460</v>
      </c>
      <c r="E284" s="90" t="s">
        <v>736</v>
      </c>
      <c r="F284" s="90" t="s">
        <v>736</v>
      </c>
    </row>
    <row r="285" spans="2:6">
      <c r="B285" s="88">
        <v>371</v>
      </c>
      <c r="C285" s="89" t="s">
        <v>1127</v>
      </c>
      <c r="D285" s="90" t="s">
        <v>1164</v>
      </c>
      <c r="E285" s="90" t="s">
        <v>1144</v>
      </c>
      <c r="F285" s="90" t="s">
        <v>1144</v>
      </c>
    </row>
    <row r="286" spans="2:6">
      <c r="B286" s="88">
        <v>372</v>
      </c>
      <c r="D286" s="90" t="s">
        <v>190</v>
      </c>
      <c r="E286" s="90" t="s">
        <v>738</v>
      </c>
      <c r="F286" s="90" t="s">
        <v>738</v>
      </c>
    </row>
    <row r="287" spans="2:6">
      <c r="B287" s="88">
        <v>373</v>
      </c>
      <c r="D287" s="90" t="s">
        <v>461</v>
      </c>
      <c r="E287" s="90" t="s">
        <v>739</v>
      </c>
      <c r="F287" s="90" t="s">
        <v>739</v>
      </c>
    </row>
    <row r="288" spans="2:6">
      <c r="B288" s="88">
        <v>374</v>
      </c>
      <c r="D288" s="90" t="s">
        <v>191</v>
      </c>
      <c r="E288" s="90" t="s">
        <v>740</v>
      </c>
      <c r="F288" s="90" t="s">
        <v>740</v>
      </c>
    </row>
    <row r="289" spans="2:6">
      <c r="B289" s="88">
        <v>375</v>
      </c>
      <c r="C289" s="89" t="s">
        <v>573</v>
      </c>
      <c r="D289" s="87" t="s">
        <v>974</v>
      </c>
      <c r="E289" s="179" t="s">
        <v>975</v>
      </c>
      <c r="F289" s="179" t="s">
        <v>975</v>
      </c>
    </row>
    <row r="290" spans="2:6">
      <c r="B290" s="88">
        <v>376</v>
      </c>
      <c r="D290" s="90" t="s">
        <v>490</v>
      </c>
      <c r="E290" s="90" t="s">
        <v>741</v>
      </c>
      <c r="F290" s="90" t="s">
        <v>741</v>
      </c>
    </row>
    <row r="291" spans="2:6">
      <c r="B291" s="88">
        <v>377</v>
      </c>
      <c r="D291" s="90" t="s">
        <v>491</v>
      </c>
      <c r="E291" s="90" t="s">
        <v>742</v>
      </c>
      <c r="F291" s="90" t="s">
        <v>742</v>
      </c>
    </row>
    <row r="292" spans="2:6">
      <c r="B292" s="88">
        <v>378</v>
      </c>
      <c r="C292" s="89" t="s">
        <v>986</v>
      </c>
      <c r="D292" s="90" t="s">
        <v>987</v>
      </c>
      <c r="E292" s="90" t="s">
        <v>988</v>
      </c>
      <c r="F292" s="90" t="s">
        <v>988</v>
      </c>
    </row>
    <row r="293" spans="2:6">
      <c r="B293" s="88">
        <v>379</v>
      </c>
      <c r="D293" s="90" t="s">
        <v>192</v>
      </c>
      <c r="E293" s="90" t="s">
        <v>743</v>
      </c>
      <c r="F293" s="90" t="s">
        <v>743</v>
      </c>
    </row>
    <row r="294" spans="2:6">
      <c r="B294" s="88">
        <v>380</v>
      </c>
      <c r="D294" s="90" t="s">
        <v>462</v>
      </c>
      <c r="E294" s="90" t="s">
        <v>744</v>
      </c>
      <c r="F294" s="90" t="s">
        <v>744</v>
      </c>
    </row>
    <row r="295" spans="2:6">
      <c r="B295" s="88">
        <v>381</v>
      </c>
      <c r="D295" s="90" t="s">
        <v>193</v>
      </c>
      <c r="E295" s="90" t="s">
        <v>745</v>
      </c>
      <c r="F295" s="90" t="s">
        <v>745</v>
      </c>
    </row>
    <row r="296" spans="2:6">
      <c r="B296" s="88">
        <v>382</v>
      </c>
      <c r="D296" s="90" t="s">
        <v>194</v>
      </c>
      <c r="E296" s="90" t="s">
        <v>746</v>
      </c>
      <c r="F296" s="90" t="s">
        <v>746</v>
      </c>
    </row>
    <row r="297" spans="2:6">
      <c r="B297" s="88">
        <v>383</v>
      </c>
      <c r="D297" s="90" t="s">
        <v>195</v>
      </c>
      <c r="E297" s="90" t="s">
        <v>529</v>
      </c>
      <c r="F297" s="90" t="s">
        <v>529</v>
      </c>
    </row>
    <row r="298" spans="2:6">
      <c r="B298" s="88">
        <v>384</v>
      </c>
      <c r="D298" s="90" t="s">
        <v>960</v>
      </c>
      <c r="E298" s="90" t="s">
        <v>961</v>
      </c>
      <c r="F298" s="90" t="s">
        <v>961</v>
      </c>
    </row>
    <row r="299" spans="2:6" ht="24">
      <c r="B299" s="88">
        <v>385</v>
      </c>
      <c r="D299" s="90" t="s">
        <v>196</v>
      </c>
      <c r="E299" s="90" t="s">
        <v>747</v>
      </c>
      <c r="F299" s="90" t="s">
        <v>747</v>
      </c>
    </row>
    <row r="300" spans="2:6">
      <c r="B300" s="88">
        <v>386</v>
      </c>
      <c r="D300" s="90" t="s">
        <v>1326</v>
      </c>
      <c r="E300" s="90" t="s">
        <v>1338</v>
      </c>
      <c r="F300" s="90" t="s">
        <v>1338</v>
      </c>
    </row>
    <row r="301" spans="2:6" ht="24">
      <c r="B301" s="88">
        <v>387</v>
      </c>
      <c r="D301" s="90" t="s">
        <v>492</v>
      </c>
      <c r="E301" s="90" t="s">
        <v>748</v>
      </c>
      <c r="F301" s="90" t="s">
        <v>748</v>
      </c>
    </row>
    <row r="302" spans="2:6">
      <c r="B302" s="88">
        <v>388</v>
      </c>
      <c r="D302" s="90" t="s">
        <v>493</v>
      </c>
      <c r="E302" s="90" t="s">
        <v>749</v>
      </c>
      <c r="F302" s="90" t="s">
        <v>749</v>
      </c>
    </row>
    <row r="303" spans="2:6">
      <c r="B303" s="88">
        <v>389</v>
      </c>
      <c r="D303" s="90" t="s">
        <v>463</v>
      </c>
      <c r="E303" s="90" t="s">
        <v>750</v>
      </c>
      <c r="F303" s="90" t="s">
        <v>750</v>
      </c>
    </row>
    <row r="304" spans="2:6">
      <c r="B304" s="88">
        <v>390</v>
      </c>
      <c r="D304" s="90" t="s">
        <v>197</v>
      </c>
      <c r="E304" s="90" t="s">
        <v>751</v>
      </c>
      <c r="F304" s="90" t="s">
        <v>751</v>
      </c>
    </row>
    <row r="305" spans="2:6">
      <c r="B305" s="88">
        <v>391</v>
      </c>
      <c r="D305" s="90" t="s">
        <v>464</v>
      </c>
      <c r="E305" s="90" t="s">
        <v>752</v>
      </c>
      <c r="F305" s="90" t="s">
        <v>752</v>
      </c>
    </row>
    <row r="306" spans="2:6">
      <c r="B306" s="88">
        <v>392</v>
      </c>
      <c r="D306" s="90" t="s">
        <v>465</v>
      </c>
      <c r="E306" s="90" t="s">
        <v>753</v>
      </c>
      <c r="F306" s="90" t="s">
        <v>753</v>
      </c>
    </row>
    <row r="307" spans="2:6">
      <c r="B307" s="88">
        <v>393</v>
      </c>
      <c r="D307" s="90" t="s">
        <v>198</v>
      </c>
      <c r="E307" s="90" t="s">
        <v>754</v>
      </c>
      <c r="F307" s="90" t="s">
        <v>754</v>
      </c>
    </row>
    <row r="308" spans="2:6">
      <c r="B308" s="88">
        <v>394</v>
      </c>
      <c r="D308" s="90" t="s">
        <v>199</v>
      </c>
      <c r="E308" s="90" t="s">
        <v>755</v>
      </c>
      <c r="F308" s="90" t="s">
        <v>755</v>
      </c>
    </row>
    <row r="309" spans="2:6">
      <c r="B309" s="88">
        <v>395</v>
      </c>
      <c r="D309" s="90" t="s">
        <v>466</v>
      </c>
      <c r="E309" s="90" t="s">
        <v>756</v>
      </c>
      <c r="F309" s="90" t="s">
        <v>756</v>
      </c>
    </row>
    <row r="310" spans="2:6">
      <c r="B310" s="88">
        <v>396</v>
      </c>
      <c r="D310" s="90" t="s">
        <v>200</v>
      </c>
      <c r="E310" s="90" t="s">
        <v>757</v>
      </c>
      <c r="F310" s="90" t="s">
        <v>757</v>
      </c>
    </row>
    <row r="311" spans="2:6">
      <c r="B311" s="88">
        <v>397</v>
      </c>
      <c r="C311" s="89" t="s">
        <v>507</v>
      </c>
      <c r="D311" s="90" t="s">
        <v>516</v>
      </c>
      <c r="E311" s="90" t="s">
        <v>517</v>
      </c>
      <c r="F311" s="90" t="s">
        <v>517</v>
      </c>
    </row>
    <row r="312" spans="2:6">
      <c r="B312" s="88">
        <v>398</v>
      </c>
      <c r="C312" s="89" t="s">
        <v>573</v>
      </c>
      <c r="D312" s="87" t="s">
        <v>572</v>
      </c>
      <c r="E312" s="179" t="s">
        <v>945</v>
      </c>
      <c r="F312" s="179" t="s">
        <v>945</v>
      </c>
    </row>
    <row r="313" spans="2:6">
      <c r="B313" s="88">
        <v>399</v>
      </c>
      <c r="D313" s="90" t="s">
        <v>201</v>
      </c>
      <c r="E313" s="90" t="s">
        <v>758</v>
      </c>
      <c r="F313" s="90" t="s">
        <v>758</v>
      </c>
    </row>
    <row r="314" spans="2:6">
      <c r="B314" s="88">
        <v>400</v>
      </c>
      <c r="D314" s="90" t="s">
        <v>202</v>
      </c>
      <c r="E314" s="90" t="s">
        <v>759</v>
      </c>
      <c r="F314" s="90" t="s">
        <v>759</v>
      </c>
    </row>
    <row r="315" spans="2:6">
      <c r="B315" s="88">
        <v>401</v>
      </c>
      <c r="D315" s="90" t="s">
        <v>203</v>
      </c>
      <c r="E315" s="90" t="s">
        <v>760</v>
      </c>
      <c r="F315" s="90" t="s">
        <v>760</v>
      </c>
    </row>
    <row r="316" spans="2:6">
      <c r="B316" s="88">
        <v>402</v>
      </c>
      <c r="D316" s="90" t="s">
        <v>204</v>
      </c>
      <c r="E316" s="90" t="s">
        <v>761</v>
      </c>
      <c r="F316" s="90" t="s">
        <v>761</v>
      </c>
    </row>
    <row r="317" spans="2:6">
      <c r="B317" s="88">
        <v>403</v>
      </c>
      <c r="C317" s="89" t="s">
        <v>573</v>
      </c>
      <c r="D317" s="87" t="s">
        <v>569</v>
      </c>
      <c r="E317" s="179" t="s">
        <v>560</v>
      </c>
      <c r="F317" s="179" t="s">
        <v>560</v>
      </c>
    </row>
    <row r="318" spans="2:6">
      <c r="B318" s="88">
        <v>404</v>
      </c>
      <c r="D318" s="90" t="s">
        <v>205</v>
      </c>
      <c r="E318" s="90" t="s">
        <v>762</v>
      </c>
      <c r="F318" s="90" t="s">
        <v>762</v>
      </c>
    </row>
    <row r="319" spans="2:6">
      <c r="B319" s="88">
        <v>405</v>
      </c>
      <c r="C319" s="89" t="s">
        <v>573</v>
      </c>
      <c r="D319" s="90" t="s">
        <v>567</v>
      </c>
      <c r="E319" s="179" t="s">
        <v>558</v>
      </c>
      <c r="F319" s="179" t="s">
        <v>558</v>
      </c>
    </row>
    <row r="320" spans="2:6">
      <c r="B320" s="88">
        <v>406</v>
      </c>
      <c r="D320" s="90" t="s">
        <v>206</v>
      </c>
      <c r="E320" s="90" t="s">
        <v>763</v>
      </c>
      <c r="F320" s="90" t="s">
        <v>763</v>
      </c>
    </row>
    <row r="321" spans="1:6" ht="36">
      <c r="B321" s="88">
        <v>407</v>
      </c>
      <c r="D321" s="90" t="s">
        <v>207</v>
      </c>
      <c r="E321" s="90" t="s">
        <v>764</v>
      </c>
      <c r="F321" s="90" t="s">
        <v>764</v>
      </c>
    </row>
    <row r="322" spans="1:6">
      <c r="B322" s="88">
        <v>408</v>
      </c>
      <c r="D322" s="90" t="s">
        <v>208</v>
      </c>
      <c r="E322" s="90" t="s">
        <v>765</v>
      </c>
      <c r="F322" s="90" t="s">
        <v>765</v>
      </c>
    </row>
    <row r="323" spans="1:6">
      <c r="B323" s="88">
        <v>409</v>
      </c>
      <c r="D323" s="90" t="s">
        <v>1028</v>
      </c>
      <c r="E323" s="90" t="s">
        <v>1029</v>
      </c>
      <c r="F323" s="90" t="s">
        <v>1029</v>
      </c>
    </row>
    <row r="324" spans="1:6" ht="24">
      <c r="B324" s="88">
        <v>410</v>
      </c>
      <c r="D324" s="90" t="s">
        <v>209</v>
      </c>
      <c r="E324" s="90" t="s">
        <v>766</v>
      </c>
      <c r="F324" s="90" t="s">
        <v>766</v>
      </c>
    </row>
    <row r="325" spans="1:6">
      <c r="B325" s="88">
        <v>411</v>
      </c>
      <c r="D325" s="90" t="s">
        <v>1036</v>
      </c>
      <c r="E325" s="90" t="s">
        <v>1037</v>
      </c>
      <c r="F325" s="90" t="s">
        <v>1037</v>
      </c>
    </row>
    <row r="326" spans="1:6">
      <c r="B326" s="88">
        <v>412</v>
      </c>
      <c r="D326" s="90" t="s">
        <v>1026</v>
      </c>
      <c r="E326" s="90" t="s">
        <v>1027</v>
      </c>
      <c r="F326" s="90" t="s">
        <v>1027</v>
      </c>
    </row>
    <row r="327" spans="1:6">
      <c r="A327" s="176"/>
      <c r="B327" s="88">
        <v>413</v>
      </c>
      <c r="C327" s="177" t="s">
        <v>489</v>
      </c>
      <c r="D327" s="175" t="s">
        <v>518</v>
      </c>
      <c r="E327" s="175" t="s">
        <v>532</v>
      </c>
      <c r="F327" s="175" t="s">
        <v>532</v>
      </c>
    </row>
    <row r="328" spans="1:6">
      <c r="A328" s="176"/>
      <c r="B328" s="88">
        <v>414</v>
      </c>
      <c r="C328" s="177" t="s">
        <v>489</v>
      </c>
      <c r="D328" s="175" t="s">
        <v>519</v>
      </c>
      <c r="E328" s="175" t="s">
        <v>767</v>
      </c>
      <c r="F328" s="175" t="s">
        <v>767</v>
      </c>
    </row>
    <row r="329" spans="1:6">
      <c r="A329" s="176"/>
      <c r="B329" s="88">
        <v>415</v>
      </c>
      <c r="C329" s="177" t="s">
        <v>489</v>
      </c>
      <c r="D329" s="175" t="s">
        <v>520</v>
      </c>
      <c r="E329" s="175" t="s">
        <v>768</v>
      </c>
      <c r="F329" s="175" t="s">
        <v>768</v>
      </c>
    </row>
    <row r="330" spans="1:6">
      <c r="B330" s="88">
        <v>416</v>
      </c>
      <c r="D330" s="90" t="s">
        <v>210</v>
      </c>
      <c r="E330" s="90" t="s">
        <v>532</v>
      </c>
      <c r="F330" s="90" t="s">
        <v>532</v>
      </c>
    </row>
    <row r="331" spans="1:6">
      <c r="B331" s="88">
        <v>417</v>
      </c>
      <c r="D331" s="90" t="s">
        <v>211</v>
      </c>
      <c r="E331" s="175" t="s">
        <v>769</v>
      </c>
      <c r="F331" s="175" t="s">
        <v>769</v>
      </c>
    </row>
    <row r="332" spans="1:6">
      <c r="B332" s="88">
        <v>418</v>
      </c>
      <c r="D332" s="90" t="s">
        <v>212</v>
      </c>
      <c r="E332" s="90" t="s">
        <v>770</v>
      </c>
      <c r="F332" s="90" t="s">
        <v>770</v>
      </c>
    </row>
    <row r="333" spans="1:6">
      <c r="B333" s="88">
        <v>419</v>
      </c>
      <c r="D333" s="90" t="s">
        <v>213</v>
      </c>
      <c r="E333" s="90" t="s">
        <v>771</v>
      </c>
      <c r="F333" s="90" t="s">
        <v>771</v>
      </c>
    </row>
    <row r="334" spans="1:6">
      <c r="B334" s="88">
        <v>420</v>
      </c>
      <c r="D334" s="90" t="s">
        <v>214</v>
      </c>
      <c r="E334" s="90" t="s">
        <v>772</v>
      </c>
      <c r="F334" s="90" t="s">
        <v>772</v>
      </c>
    </row>
    <row r="335" spans="1:6">
      <c r="B335" s="88">
        <v>421</v>
      </c>
      <c r="D335" s="90" t="s">
        <v>215</v>
      </c>
      <c r="E335" s="90" t="s">
        <v>773</v>
      </c>
      <c r="F335" s="90" t="s">
        <v>773</v>
      </c>
    </row>
    <row r="336" spans="1:6">
      <c r="B336" s="88">
        <v>422</v>
      </c>
      <c r="D336" s="90" t="s">
        <v>216</v>
      </c>
      <c r="E336" s="90" t="s">
        <v>774</v>
      </c>
      <c r="F336" s="90" t="s">
        <v>774</v>
      </c>
    </row>
    <row r="337" spans="2:6">
      <c r="B337" s="88">
        <v>423</v>
      </c>
      <c r="D337" s="90" t="s">
        <v>217</v>
      </c>
      <c r="E337" s="90" t="s">
        <v>775</v>
      </c>
      <c r="F337" s="90" t="s">
        <v>775</v>
      </c>
    </row>
    <row r="338" spans="2:6">
      <c r="B338" s="88">
        <v>424</v>
      </c>
      <c r="D338" s="90" t="s">
        <v>218</v>
      </c>
      <c r="E338" s="90" t="s">
        <v>776</v>
      </c>
      <c r="F338" s="90" t="s">
        <v>776</v>
      </c>
    </row>
    <row r="339" spans="2:6">
      <c r="B339" s="88">
        <v>425</v>
      </c>
      <c r="D339" s="90" t="s">
        <v>219</v>
      </c>
      <c r="E339" s="90" t="s">
        <v>777</v>
      </c>
      <c r="F339" s="90" t="s">
        <v>777</v>
      </c>
    </row>
    <row r="340" spans="2:6">
      <c r="B340" s="88">
        <v>426</v>
      </c>
      <c r="D340" s="90" t="s">
        <v>220</v>
      </c>
      <c r="E340" s="90" t="s">
        <v>778</v>
      </c>
      <c r="F340" s="90" t="s">
        <v>778</v>
      </c>
    </row>
    <row r="341" spans="2:6">
      <c r="B341" s="88">
        <v>427</v>
      </c>
      <c r="D341" s="90" t="s">
        <v>221</v>
      </c>
      <c r="E341" s="90" t="s">
        <v>779</v>
      </c>
      <c r="F341" s="90" t="s">
        <v>779</v>
      </c>
    </row>
    <row r="342" spans="2:6">
      <c r="B342" s="88">
        <v>428</v>
      </c>
      <c r="D342" s="90" t="s">
        <v>222</v>
      </c>
      <c r="E342" s="90" t="s">
        <v>780</v>
      </c>
      <c r="F342" s="90" t="s">
        <v>780</v>
      </c>
    </row>
    <row r="343" spans="2:6">
      <c r="B343" s="88">
        <v>429</v>
      </c>
      <c r="D343" s="90" t="s">
        <v>223</v>
      </c>
      <c r="E343" s="90" t="s">
        <v>781</v>
      </c>
      <c r="F343" s="90" t="s">
        <v>781</v>
      </c>
    </row>
    <row r="344" spans="2:6">
      <c r="B344" s="88">
        <v>430</v>
      </c>
      <c r="D344" s="90" t="s">
        <v>1041</v>
      </c>
      <c r="E344" s="90" t="s">
        <v>1042</v>
      </c>
      <c r="F344" s="90" t="s">
        <v>1042</v>
      </c>
    </row>
    <row r="345" spans="2:6">
      <c r="B345" s="88">
        <v>431</v>
      </c>
      <c r="D345" s="90" t="s">
        <v>1039</v>
      </c>
      <c r="E345" s="90" t="s">
        <v>1040</v>
      </c>
      <c r="F345" s="90" t="s">
        <v>1040</v>
      </c>
    </row>
    <row r="346" spans="2:6">
      <c r="B346" s="88">
        <v>432</v>
      </c>
      <c r="D346" s="90" t="s">
        <v>224</v>
      </c>
      <c r="E346" s="90" t="s">
        <v>997</v>
      </c>
      <c r="F346" s="90" t="s">
        <v>997</v>
      </c>
    </row>
    <row r="347" spans="2:6">
      <c r="B347" s="88">
        <v>433</v>
      </c>
      <c r="D347" s="90" t="s">
        <v>225</v>
      </c>
      <c r="E347" s="90" t="s">
        <v>782</v>
      </c>
      <c r="F347" s="90" t="s">
        <v>782</v>
      </c>
    </row>
    <row r="348" spans="2:6">
      <c r="B348" s="88">
        <v>434</v>
      </c>
      <c r="D348" s="90" t="s">
        <v>226</v>
      </c>
      <c r="E348" s="90" t="s">
        <v>783</v>
      </c>
      <c r="F348" s="90" t="s">
        <v>783</v>
      </c>
    </row>
    <row r="349" spans="2:6">
      <c r="B349" s="88">
        <v>435</v>
      </c>
      <c r="D349" s="90" t="s">
        <v>227</v>
      </c>
      <c r="E349" s="90" t="s">
        <v>784</v>
      </c>
      <c r="F349" s="90" t="s">
        <v>784</v>
      </c>
    </row>
    <row r="350" spans="2:6">
      <c r="B350" s="88">
        <v>436</v>
      </c>
      <c r="D350" s="90" t="s">
        <v>228</v>
      </c>
      <c r="E350" s="90" t="s">
        <v>1020</v>
      </c>
      <c r="F350" s="90" t="s">
        <v>1020</v>
      </c>
    </row>
    <row r="351" spans="2:6">
      <c r="B351" s="88">
        <v>437</v>
      </c>
      <c r="D351" s="90" t="s">
        <v>229</v>
      </c>
      <c r="E351" s="90" t="s">
        <v>1021</v>
      </c>
      <c r="F351" s="90" t="s">
        <v>1021</v>
      </c>
    </row>
    <row r="352" spans="2:6">
      <c r="B352" s="88">
        <v>438</v>
      </c>
      <c r="D352" s="90" t="s">
        <v>1043</v>
      </c>
      <c r="E352" s="90" t="s">
        <v>1044</v>
      </c>
      <c r="F352" s="90" t="s">
        <v>1044</v>
      </c>
    </row>
    <row r="353" spans="2:6">
      <c r="B353" s="88">
        <v>439</v>
      </c>
      <c r="D353" s="90" t="s">
        <v>1016</v>
      </c>
      <c r="E353" s="90" t="s">
        <v>1017</v>
      </c>
      <c r="F353" s="90" t="s">
        <v>1017</v>
      </c>
    </row>
    <row r="354" spans="2:6">
      <c r="B354" s="88">
        <v>440</v>
      </c>
      <c r="D354" s="90" t="s">
        <v>467</v>
      </c>
      <c r="E354" s="90" t="s">
        <v>467</v>
      </c>
      <c r="F354" s="90" t="s">
        <v>467</v>
      </c>
    </row>
    <row r="355" spans="2:6" ht="24">
      <c r="B355" s="88">
        <v>441</v>
      </c>
      <c r="C355" s="89" t="s">
        <v>1127</v>
      </c>
      <c r="D355" s="90" t="s">
        <v>1188</v>
      </c>
      <c r="E355" s="90" t="s">
        <v>1187</v>
      </c>
      <c r="F355" s="90" t="s">
        <v>1187</v>
      </c>
    </row>
    <row r="356" spans="2:6">
      <c r="B356" s="88">
        <v>442</v>
      </c>
      <c r="D356" s="90" t="s">
        <v>1241</v>
      </c>
      <c r="E356" s="90" t="s">
        <v>1246</v>
      </c>
      <c r="F356" s="90" t="s">
        <v>1246</v>
      </c>
    </row>
    <row r="357" spans="2:6">
      <c r="B357" s="88">
        <v>443</v>
      </c>
      <c r="C357" s="89" t="s">
        <v>573</v>
      </c>
      <c r="D357" s="90" t="s">
        <v>956</v>
      </c>
      <c r="E357" s="90" t="s">
        <v>958</v>
      </c>
      <c r="F357" s="90" t="s">
        <v>958</v>
      </c>
    </row>
    <row r="358" spans="2:6">
      <c r="B358" s="88">
        <v>444</v>
      </c>
      <c r="D358" s="90" t="s">
        <v>230</v>
      </c>
      <c r="E358" s="90" t="s">
        <v>998</v>
      </c>
      <c r="F358" s="90" t="s">
        <v>998</v>
      </c>
    </row>
    <row r="359" spans="2:6" ht="24">
      <c r="B359" s="88">
        <v>445</v>
      </c>
      <c r="D359" s="90" t="s">
        <v>231</v>
      </c>
      <c r="E359" s="90" t="s">
        <v>785</v>
      </c>
      <c r="F359" s="90" t="s">
        <v>785</v>
      </c>
    </row>
    <row r="360" spans="2:6">
      <c r="B360" s="88">
        <v>446</v>
      </c>
      <c r="D360" s="90" t="s">
        <v>232</v>
      </c>
      <c r="E360" s="90" t="s">
        <v>786</v>
      </c>
      <c r="F360" s="90" t="s">
        <v>786</v>
      </c>
    </row>
    <row r="361" spans="2:6">
      <c r="B361" s="88">
        <v>447</v>
      </c>
      <c r="D361" s="90" t="s">
        <v>1254</v>
      </c>
      <c r="E361" s="90" t="s">
        <v>1251</v>
      </c>
      <c r="F361" s="90" t="s">
        <v>1251</v>
      </c>
    </row>
    <row r="362" spans="2:6" ht="24">
      <c r="B362" s="88">
        <v>448</v>
      </c>
      <c r="D362" s="90" t="s">
        <v>233</v>
      </c>
      <c r="E362" s="90" t="s">
        <v>787</v>
      </c>
      <c r="F362" s="90" t="s">
        <v>787</v>
      </c>
    </row>
    <row r="363" spans="2:6">
      <c r="B363" s="88">
        <v>449</v>
      </c>
      <c r="D363" s="175" t="s">
        <v>521</v>
      </c>
      <c r="E363" s="90" t="s">
        <v>522</v>
      </c>
      <c r="F363" s="90" t="s">
        <v>522</v>
      </c>
    </row>
    <row r="364" spans="2:6">
      <c r="B364" s="88">
        <v>450</v>
      </c>
      <c r="D364" s="90" t="s">
        <v>468</v>
      </c>
      <c r="E364" s="90" t="s">
        <v>788</v>
      </c>
      <c r="F364" s="90" t="s">
        <v>788</v>
      </c>
    </row>
    <row r="365" spans="2:6">
      <c r="B365" s="88">
        <v>451</v>
      </c>
      <c r="D365" s="90" t="s">
        <v>234</v>
      </c>
      <c r="E365" s="90" t="s">
        <v>789</v>
      </c>
      <c r="F365" s="90" t="s">
        <v>789</v>
      </c>
    </row>
    <row r="366" spans="2:6">
      <c r="B366" s="88">
        <v>452</v>
      </c>
      <c r="D366" s="90" t="s">
        <v>469</v>
      </c>
      <c r="E366" s="90" t="s">
        <v>954</v>
      </c>
      <c r="F366" s="90" t="s">
        <v>954</v>
      </c>
    </row>
    <row r="367" spans="2:6">
      <c r="B367" s="88">
        <v>453</v>
      </c>
      <c r="D367" s="90" t="s">
        <v>235</v>
      </c>
      <c r="E367" s="90" t="s">
        <v>790</v>
      </c>
      <c r="F367" s="90" t="s">
        <v>790</v>
      </c>
    </row>
    <row r="368" spans="2:6">
      <c r="B368" s="88">
        <v>454</v>
      </c>
      <c r="D368" s="90" t="s">
        <v>236</v>
      </c>
      <c r="E368" s="90" t="s">
        <v>791</v>
      </c>
      <c r="F368" s="90" t="s">
        <v>791</v>
      </c>
    </row>
    <row r="369" spans="2:6">
      <c r="B369" s="88">
        <v>455</v>
      </c>
      <c r="C369" s="89" t="s">
        <v>1127</v>
      </c>
      <c r="D369" s="90" t="s">
        <v>1178</v>
      </c>
      <c r="E369" s="90" t="s">
        <v>556</v>
      </c>
      <c r="F369" s="90" t="s">
        <v>556</v>
      </c>
    </row>
    <row r="370" spans="2:6">
      <c r="B370" s="88">
        <v>456</v>
      </c>
      <c r="D370" s="90" t="s">
        <v>237</v>
      </c>
      <c r="E370" s="90" t="s">
        <v>556</v>
      </c>
      <c r="F370" s="90" t="s">
        <v>556</v>
      </c>
    </row>
    <row r="371" spans="2:6">
      <c r="B371" s="88">
        <v>457</v>
      </c>
      <c r="D371" s="90" t="s">
        <v>238</v>
      </c>
      <c r="E371" s="90" t="s">
        <v>792</v>
      </c>
      <c r="F371" s="90" t="s">
        <v>792</v>
      </c>
    </row>
    <row r="372" spans="2:6">
      <c r="B372" s="88">
        <v>458</v>
      </c>
      <c r="D372" s="90" t="s">
        <v>1335</v>
      </c>
      <c r="E372" s="90" t="s">
        <v>1334</v>
      </c>
      <c r="F372" s="90" t="s">
        <v>1334</v>
      </c>
    </row>
    <row r="373" spans="2:6">
      <c r="B373" s="88">
        <v>459</v>
      </c>
      <c r="D373" s="90" t="s">
        <v>239</v>
      </c>
      <c r="E373" s="90" t="s">
        <v>793</v>
      </c>
      <c r="F373" s="90" t="s">
        <v>793</v>
      </c>
    </row>
    <row r="374" spans="2:6">
      <c r="B374" s="88">
        <v>460</v>
      </c>
      <c r="D374" s="90" t="s">
        <v>240</v>
      </c>
      <c r="F374" s="90"/>
    </row>
    <row r="375" spans="2:6">
      <c r="B375" s="88">
        <v>461</v>
      </c>
      <c r="D375" s="90" t="s">
        <v>470</v>
      </c>
      <c r="E375" s="90" t="s">
        <v>794</v>
      </c>
      <c r="F375" s="90" t="s">
        <v>794</v>
      </c>
    </row>
    <row r="376" spans="2:6" ht="24">
      <c r="B376" s="88">
        <v>462</v>
      </c>
      <c r="D376" s="90" t="s">
        <v>1320</v>
      </c>
      <c r="E376" s="90" t="s">
        <v>795</v>
      </c>
      <c r="F376" s="90" t="s">
        <v>795</v>
      </c>
    </row>
    <row r="377" spans="2:6" ht="24">
      <c r="B377" s="88">
        <v>463</v>
      </c>
      <c r="D377" s="90" t="s">
        <v>241</v>
      </c>
      <c r="E377" s="90" t="s">
        <v>796</v>
      </c>
      <c r="F377" s="90" t="s">
        <v>796</v>
      </c>
    </row>
    <row r="378" spans="2:6">
      <c r="B378" s="88">
        <v>464</v>
      </c>
      <c r="D378" s="90" t="s">
        <v>242</v>
      </c>
      <c r="E378" s="90" t="s">
        <v>797</v>
      </c>
      <c r="F378" s="90" t="s">
        <v>797</v>
      </c>
    </row>
    <row r="379" spans="2:6">
      <c r="B379" s="88">
        <v>465</v>
      </c>
      <c r="D379" s="90" t="s">
        <v>243</v>
      </c>
      <c r="E379" s="90" t="s">
        <v>798</v>
      </c>
      <c r="F379" s="90" t="s">
        <v>798</v>
      </c>
    </row>
    <row r="380" spans="2:6">
      <c r="B380" s="88">
        <v>466</v>
      </c>
      <c r="C380" s="89" t="s">
        <v>1127</v>
      </c>
      <c r="D380" s="90" t="s">
        <v>1171</v>
      </c>
      <c r="E380" s="90" t="s">
        <v>1134</v>
      </c>
      <c r="F380" s="90" t="s">
        <v>1134</v>
      </c>
    </row>
    <row r="381" spans="2:6">
      <c r="B381" s="88">
        <v>467</v>
      </c>
      <c r="C381" s="89" t="s">
        <v>1127</v>
      </c>
      <c r="D381" s="90" t="s">
        <v>1175</v>
      </c>
      <c r="E381" s="90" t="s">
        <v>1140</v>
      </c>
      <c r="F381" s="90" t="s">
        <v>1140</v>
      </c>
    </row>
    <row r="382" spans="2:6">
      <c r="B382" s="88">
        <v>468</v>
      </c>
      <c r="D382" s="90" t="s">
        <v>244</v>
      </c>
      <c r="E382" s="90" t="s">
        <v>799</v>
      </c>
      <c r="F382" s="90" t="s">
        <v>799</v>
      </c>
    </row>
    <row r="383" spans="2:6">
      <c r="B383" s="88">
        <v>469</v>
      </c>
      <c r="C383" s="89" t="s">
        <v>1127</v>
      </c>
      <c r="D383" s="90" t="s">
        <v>1167</v>
      </c>
      <c r="E383" s="90" t="s">
        <v>1130</v>
      </c>
      <c r="F383" s="90" t="s">
        <v>1130</v>
      </c>
    </row>
    <row r="384" spans="2:6" ht="24">
      <c r="B384" s="88">
        <v>470</v>
      </c>
      <c r="C384" s="89" t="s">
        <v>1127</v>
      </c>
      <c r="D384" s="90" t="s">
        <v>1169</v>
      </c>
      <c r="E384" s="90" t="s">
        <v>1133</v>
      </c>
      <c r="F384" s="90" t="s">
        <v>1133</v>
      </c>
    </row>
    <row r="385" spans="2:6">
      <c r="B385" s="88">
        <v>471</v>
      </c>
      <c r="C385" s="89" t="s">
        <v>1127</v>
      </c>
      <c r="D385" s="90" t="s">
        <v>1170</v>
      </c>
      <c r="E385" s="90" t="s">
        <v>1132</v>
      </c>
      <c r="F385" s="90" t="s">
        <v>1132</v>
      </c>
    </row>
    <row r="386" spans="2:6">
      <c r="B386" s="88">
        <v>472</v>
      </c>
      <c r="D386" s="90" t="s">
        <v>245</v>
      </c>
      <c r="E386" s="90" t="s">
        <v>800</v>
      </c>
      <c r="F386" s="90" t="s">
        <v>800</v>
      </c>
    </row>
    <row r="387" spans="2:6">
      <c r="B387" s="88">
        <v>473</v>
      </c>
      <c r="D387" s="90" t="s">
        <v>246</v>
      </c>
      <c r="E387" s="90" t="s">
        <v>801</v>
      </c>
      <c r="F387" s="90" t="s">
        <v>801</v>
      </c>
    </row>
    <row r="388" spans="2:6" ht="36">
      <c r="B388" s="88">
        <v>474</v>
      </c>
      <c r="C388" s="89" t="s">
        <v>1127</v>
      </c>
      <c r="D388" s="90" t="s">
        <v>1190</v>
      </c>
      <c r="E388" s="90" t="s">
        <v>1151</v>
      </c>
      <c r="F388" s="90" t="s">
        <v>1151</v>
      </c>
    </row>
    <row r="389" spans="2:6">
      <c r="B389" s="88">
        <v>475</v>
      </c>
      <c r="D389" s="90" t="s">
        <v>247</v>
      </c>
      <c r="E389" s="90" t="s">
        <v>802</v>
      </c>
      <c r="F389" s="90" t="s">
        <v>802</v>
      </c>
    </row>
    <row r="390" spans="2:6">
      <c r="B390" s="88">
        <v>476</v>
      </c>
      <c r="D390" s="90" t="s">
        <v>1343</v>
      </c>
      <c r="E390" s="90" t="s">
        <v>1344</v>
      </c>
      <c r="F390" s="90" t="s">
        <v>1344</v>
      </c>
    </row>
    <row r="391" spans="2:6">
      <c r="B391" s="88">
        <v>477</v>
      </c>
      <c r="D391" s="90" t="s">
        <v>248</v>
      </c>
      <c r="E391" s="90" t="s">
        <v>547</v>
      </c>
      <c r="F391" s="90" t="s">
        <v>547</v>
      </c>
    </row>
    <row r="392" spans="2:6">
      <c r="B392" s="88">
        <v>478</v>
      </c>
      <c r="D392" s="90" t="s">
        <v>249</v>
      </c>
      <c r="E392" s="90" t="s">
        <v>803</v>
      </c>
      <c r="F392" s="90" t="s">
        <v>803</v>
      </c>
    </row>
    <row r="393" spans="2:6">
      <c r="B393" s="88">
        <v>479</v>
      </c>
      <c r="D393" s="90" t="s">
        <v>250</v>
      </c>
      <c r="E393" s="90" t="s">
        <v>804</v>
      </c>
      <c r="F393" s="90" t="s">
        <v>804</v>
      </c>
    </row>
    <row r="394" spans="2:6">
      <c r="B394" s="88">
        <v>480</v>
      </c>
      <c r="D394" s="90" t="s">
        <v>251</v>
      </c>
      <c r="E394" s="90" t="s">
        <v>805</v>
      </c>
      <c r="F394" s="90" t="s">
        <v>805</v>
      </c>
    </row>
    <row r="395" spans="2:6" ht="24">
      <c r="B395" s="88">
        <v>481</v>
      </c>
      <c r="D395" s="90" t="s">
        <v>252</v>
      </c>
      <c r="E395" s="90" t="s">
        <v>806</v>
      </c>
      <c r="F395" s="90" t="s">
        <v>806</v>
      </c>
    </row>
    <row r="396" spans="2:6">
      <c r="B396" s="88">
        <v>482</v>
      </c>
      <c r="D396" s="90" t="s">
        <v>1341</v>
      </c>
      <c r="E396" s="90" t="s">
        <v>1333</v>
      </c>
      <c r="F396" s="90" t="s">
        <v>1333</v>
      </c>
    </row>
    <row r="397" spans="2:6">
      <c r="B397" s="88">
        <v>483</v>
      </c>
      <c r="D397" s="90" t="s">
        <v>1339</v>
      </c>
      <c r="E397" s="90" t="s">
        <v>1328</v>
      </c>
      <c r="F397" s="90" t="s">
        <v>1328</v>
      </c>
    </row>
    <row r="398" spans="2:6">
      <c r="B398" s="88">
        <v>484</v>
      </c>
      <c r="D398" s="90" t="s">
        <v>1340</v>
      </c>
      <c r="E398" s="90" t="s">
        <v>1329</v>
      </c>
      <c r="F398" s="90" t="s">
        <v>1329</v>
      </c>
    </row>
    <row r="399" spans="2:6">
      <c r="B399" s="88">
        <v>485</v>
      </c>
      <c r="D399" s="90" t="s">
        <v>253</v>
      </c>
      <c r="E399" s="90" t="s">
        <v>807</v>
      </c>
      <c r="F399" s="90" t="s">
        <v>807</v>
      </c>
    </row>
    <row r="400" spans="2:6">
      <c r="B400" s="88">
        <v>486</v>
      </c>
      <c r="C400" s="89" t="s">
        <v>573</v>
      </c>
      <c r="D400" s="90" t="s">
        <v>952</v>
      </c>
      <c r="E400" s="90" t="s">
        <v>953</v>
      </c>
      <c r="F400" s="90" t="s">
        <v>953</v>
      </c>
    </row>
    <row r="401" spans="2:6">
      <c r="B401" s="88">
        <v>487</v>
      </c>
      <c r="D401" s="90" t="s">
        <v>254</v>
      </c>
      <c r="E401" s="90" t="s">
        <v>808</v>
      </c>
      <c r="F401" s="90" t="s">
        <v>808</v>
      </c>
    </row>
    <row r="402" spans="2:6">
      <c r="B402" s="88">
        <v>488</v>
      </c>
      <c r="C402" s="89" t="s">
        <v>986</v>
      </c>
      <c r="D402" s="90" t="s">
        <v>982</v>
      </c>
      <c r="E402" s="90" t="s">
        <v>978</v>
      </c>
      <c r="F402" s="90" t="s">
        <v>978</v>
      </c>
    </row>
    <row r="403" spans="2:6">
      <c r="B403" s="88">
        <v>489</v>
      </c>
      <c r="C403" s="89" t="s">
        <v>986</v>
      </c>
      <c r="D403" s="90" t="s">
        <v>981</v>
      </c>
      <c r="E403" s="90" t="s">
        <v>979</v>
      </c>
      <c r="F403" s="90" t="s">
        <v>979</v>
      </c>
    </row>
    <row r="404" spans="2:6">
      <c r="B404" s="88">
        <v>490</v>
      </c>
      <c r="D404" s="90" t="s">
        <v>255</v>
      </c>
      <c r="E404" s="90" t="s">
        <v>554</v>
      </c>
      <c r="F404" s="90" t="s">
        <v>554</v>
      </c>
    </row>
    <row r="405" spans="2:6">
      <c r="B405" s="88">
        <v>491</v>
      </c>
      <c r="D405" s="90" t="s">
        <v>256</v>
      </c>
      <c r="E405" s="90" t="s">
        <v>809</v>
      </c>
      <c r="F405" s="90" t="s">
        <v>809</v>
      </c>
    </row>
    <row r="406" spans="2:6">
      <c r="B406" s="88">
        <v>492</v>
      </c>
      <c r="C406" s="89" t="s">
        <v>1127</v>
      </c>
      <c r="D406" s="90" t="s">
        <v>1393</v>
      </c>
      <c r="E406" s="90" t="s">
        <v>1139</v>
      </c>
      <c r="F406" s="90" t="s">
        <v>1139</v>
      </c>
    </row>
    <row r="407" spans="2:6">
      <c r="B407" s="88">
        <v>493</v>
      </c>
      <c r="D407" s="90" t="s">
        <v>257</v>
      </c>
      <c r="E407" s="90" t="s">
        <v>810</v>
      </c>
      <c r="F407" s="90" t="s">
        <v>810</v>
      </c>
    </row>
    <row r="408" spans="2:6" ht="48">
      <c r="B408" s="88">
        <v>494</v>
      </c>
      <c r="D408" s="90" t="s">
        <v>258</v>
      </c>
      <c r="E408" s="90" t="s">
        <v>811</v>
      </c>
      <c r="F408" s="90" t="s">
        <v>811</v>
      </c>
    </row>
    <row r="409" spans="2:6">
      <c r="B409" s="88">
        <v>495</v>
      </c>
      <c r="D409" s="90" t="s">
        <v>259</v>
      </c>
      <c r="E409" s="90" t="s">
        <v>812</v>
      </c>
      <c r="F409" s="90" t="s">
        <v>812</v>
      </c>
    </row>
    <row r="410" spans="2:6" ht="24">
      <c r="B410" s="88">
        <v>496</v>
      </c>
      <c r="D410" s="90" t="s">
        <v>260</v>
      </c>
      <c r="E410" s="90" t="s">
        <v>813</v>
      </c>
      <c r="F410" s="90" t="s">
        <v>813</v>
      </c>
    </row>
    <row r="411" spans="2:6" ht="24">
      <c r="B411" s="88">
        <v>497</v>
      </c>
      <c r="D411" s="90" t="s">
        <v>261</v>
      </c>
      <c r="E411" s="90" t="s">
        <v>814</v>
      </c>
      <c r="F411" s="90" t="s">
        <v>814</v>
      </c>
    </row>
    <row r="412" spans="2:6" ht="24">
      <c r="B412" s="88">
        <v>498</v>
      </c>
      <c r="D412" s="90" t="s">
        <v>262</v>
      </c>
      <c r="E412" s="90" t="s">
        <v>815</v>
      </c>
      <c r="F412" s="90" t="s">
        <v>815</v>
      </c>
    </row>
    <row r="413" spans="2:6" ht="24">
      <c r="B413" s="88">
        <v>499</v>
      </c>
      <c r="D413" s="90" t="s">
        <v>263</v>
      </c>
      <c r="E413" s="90" t="s">
        <v>816</v>
      </c>
      <c r="F413" s="90" t="s">
        <v>816</v>
      </c>
    </row>
    <row r="414" spans="2:6" ht="24">
      <c r="B414" s="88">
        <v>500</v>
      </c>
      <c r="D414" s="90" t="s">
        <v>264</v>
      </c>
      <c r="E414" s="90" t="s">
        <v>817</v>
      </c>
      <c r="F414" s="90" t="s">
        <v>817</v>
      </c>
    </row>
    <row r="415" spans="2:6" ht="24">
      <c r="B415" s="88">
        <v>501</v>
      </c>
      <c r="D415" s="90" t="s">
        <v>265</v>
      </c>
      <c r="E415" s="90" t="s">
        <v>818</v>
      </c>
      <c r="F415" s="90" t="s">
        <v>818</v>
      </c>
    </row>
    <row r="416" spans="2:6" ht="24">
      <c r="B416" s="88">
        <v>502</v>
      </c>
      <c r="D416" s="90" t="s">
        <v>266</v>
      </c>
      <c r="E416" s="90" t="s">
        <v>819</v>
      </c>
      <c r="F416" s="90" t="s">
        <v>819</v>
      </c>
    </row>
    <row r="417" spans="2:6" ht="24">
      <c r="B417" s="88">
        <v>503</v>
      </c>
      <c r="D417" s="90" t="s">
        <v>267</v>
      </c>
      <c r="E417" s="90" t="s">
        <v>820</v>
      </c>
      <c r="F417" s="90" t="s">
        <v>820</v>
      </c>
    </row>
    <row r="418" spans="2:6" ht="24">
      <c r="B418" s="88">
        <v>504</v>
      </c>
      <c r="D418" s="90" t="s">
        <v>268</v>
      </c>
      <c r="E418" s="90" t="s">
        <v>821</v>
      </c>
      <c r="F418" s="90" t="s">
        <v>821</v>
      </c>
    </row>
    <row r="419" spans="2:6" ht="24">
      <c r="B419" s="88">
        <v>505</v>
      </c>
      <c r="D419" s="90" t="s">
        <v>269</v>
      </c>
      <c r="E419" s="90" t="s">
        <v>822</v>
      </c>
      <c r="F419" s="90" t="s">
        <v>822</v>
      </c>
    </row>
    <row r="420" spans="2:6" ht="24">
      <c r="B420" s="88">
        <v>506</v>
      </c>
      <c r="D420" s="90" t="s">
        <v>270</v>
      </c>
      <c r="E420" s="90" t="s">
        <v>823</v>
      </c>
      <c r="F420" s="90" t="s">
        <v>823</v>
      </c>
    </row>
    <row r="421" spans="2:6" ht="24">
      <c r="B421" s="88">
        <v>507</v>
      </c>
      <c r="D421" s="90" t="s">
        <v>271</v>
      </c>
      <c r="E421" s="90" t="s">
        <v>824</v>
      </c>
      <c r="F421" s="90" t="s">
        <v>824</v>
      </c>
    </row>
    <row r="422" spans="2:6" ht="24">
      <c r="B422" s="88">
        <v>508</v>
      </c>
      <c r="D422" s="90" t="s">
        <v>272</v>
      </c>
      <c r="E422" s="90" t="s">
        <v>825</v>
      </c>
      <c r="F422" s="90" t="s">
        <v>825</v>
      </c>
    </row>
    <row r="423" spans="2:6" ht="24">
      <c r="B423" s="88">
        <v>509</v>
      </c>
      <c r="D423" s="90" t="s">
        <v>273</v>
      </c>
      <c r="E423" s="90" t="s">
        <v>826</v>
      </c>
      <c r="F423" s="90" t="s">
        <v>826</v>
      </c>
    </row>
    <row r="424" spans="2:6" ht="24">
      <c r="B424" s="88">
        <v>510</v>
      </c>
      <c r="D424" s="90" t="s">
        <v>274</v>
      </c>
      <c r="E424" s="90" t="s">
        <v>827</v>
      </c>
      <c r="F424" s="90" t="s">
        <v>827</v>
      </c>
    </row>
    <row r="425" spans="2:6" ht="24">
      <c r="B425" s="88">
        <v>511</v>
      </c>
      <c r="D425" s="90" t="s">
        <v>275</v>
      </c>
      <c r="E425" s="90" t="s">
        <v>828</v>
      </c>
      <c r="F425" s="90" t="s">
        <v>828</v>
      </c>
    </row>
    <row r="426" spans="2:6" ht="24">
      <c r="B426" s="88">
        <v>512</v>
      </c>
      <c r="D426" s="90" t="s">
        <v>276</v>
      </c>
      <c r="E426" s="90" t="s">
        <v>829</v>
      </c>
      <c r="F426" s="90" t="s">
        <v>829</v>
      </c>
    </row>
    <row r="427" spans="2:6" ht="24">
      <c r="B427" s="88">
        <v>513</v>
      </c>
      <c r="D427" s="90" t="s">
        <v>277</v>
      </c>
      <c r="E427" s="90" t="s">
        <v>830</v>
      </c>
      <c r="F427" s="90" t="s">
        <v>830</v>
      </c>
    </row>
    <row r="428" spans="2:6" ht="24">
      <c r="B428" s="88">
        <v>514</v>
      </c>
      <c r="D428" s="90" t="s">
        <v>278</v>
      </c>
      <c r="E428" s="90" t="s">
        <v>831</v>
      </c>
      <c r="F428" s="90" t="s">
        <v>831</v>
      </c>
    </row>
    <row r="429" spans="2:6" ht="24">
      <c r="B429" s="88">
        <v>515</v>
      </c>
      <c r="D429" s="90" t="s">
        <v>279</v>
      </c>
      <c r="E429" s="90" t="s">
        <v>832</v>
      </c>
      <c r="F429" s="90" t="s">
        <v>832</v>
      </c>
    </row>
    <row r="430" spans="2:6" ht="24">
      <c r="B430" s="88">
        <v>516</v>
      </c>
      <c r="D430" s="90" t="s">
        <v>280</v>
      </c>
      <c r="E430" s="90" t="s">
        <v>833</v>
      </c>
      <c r="F430" s="90" t="s">
        <v>833</v>
      </c>
    </row>
    <row r="431" spans="2:6" ht="24">
      <c r="B431" s="88">
        <v>517</v>
      </c>
      <c r="D431" s="90" t="s">
        <v>471</v>
      </c>
      <c r="E431" s="90" t="s">
        <v>834</v>
      </c>
      <c r="F431" s="90" t="s">
        <v>834</v>
      </c>
    </row>
    <row r="432" spans="2:6" ht="24">
      <c r="B432" s="88">
        <v>518</v>
      </c>
      <c r="D432" s="90" t="s">
        <v>472</v>
      </c>
      <c r="E432" s="90" t="s">
        <v>834</v>
      </c>
      <c r="F432" s="90" t="s">
        <v>834</v>
      </c>
    </row>
    <row r="433" spans="1:27" ht="24">
      <c r="B433" s="88">
        <v>519</v>
      </c>
      <c r="D433" s="90" t="s">
        <v>281</v>
      </c>
      <c r="E433" s="90" t="s">
        <v>835</v>
      </c>
      <c r="F433" s="90" t="s">
        <v>835</v>
      </c>
    </row>
    <row r="434" spans="1:27" ht="24">
      <c r="B434" s="88">
        <v>520</v>
      </c>
      <c r="D434" s="90" t="s">
        <v>282</v>
      </c>
      <c r="E434" s="90" t="s">
        <v>836</v>
      </c>
      <c r="F434" s="90" t="s">
        <v>836</v>
      </c>
    </row>
    <row r="435" spans="1:27" ht="24">
      <c r="B435" s="88">
        <v>521</v>
      </c>
      <c r="D435" s="90" t="s">
        <v>283</v>
      </c>
      <c r="E435" s="90" t="s">
        <v>837</v>
      </c>
      <c r="F435" s="90" t="s">
        <v>837</v>
      </c>
    </row>
    <row r="436" spans="1:27" ht="24">
      <c r="B436" s="88">
        <v>522</v>
      </c>
      <c r="D436" s="90" t="s">
        <v>284</v>
      </c>
      <c r="E436" s="90" t="s">
        <v>838</v>
      </c>
      <c r="F436" s="90" t="s">
        <v>838</v>
      </c>
    </row>
    <row r="437" spans="1:27" ht="24">
      <c r="B437" s="88">
        <v>523</v>
      </c>
      <c r="D437" s="90" t="s">
        <v>473</v>
      </c>
      <c r="E437" s="90" t="s">
        <v>839</v>
      </c>
      <c r="F437" s="90" t="s">
        <v>839</v>
      </c>
    </row>
    <row r="438" spans="1:27" s="175" customFormat="1" ht="24">
      <c r="A438" s="87"/>
      <c r="B438" s="88">
        <v>524</v>
      </c>
      <c r="C438" s="89"/>
      <c r="D438" s="90" t="s">
        <v>474</v>
      </c>
      <c r="E438" s="90" t="s">
        <v>840</v>
      </c>
      <c r="F438" s="90" t="s">
        <v>840</v>
      </c>
      <c r="G438" s="87"/>
      <c r="H438" s="87"/>
      <c r="I438" s="87"/>
      <c r="J438" s="87"/>
      <c r="K438" s="87"/>
      <c r="L438" s="87"/>
      <c r="M438" s="87"/>
      <c r="N438" s="87"/>
      <c r="O438" s="87"/>
      <c r="P438" s="87"/>
      <c r="Q438" s="87"/>
      <c r="R438" s="87"/>
      <c r="S438" s="87"/>
      <c r="T438" s="87"/>
      <c r="U438" s="87"/>
      <c r="V438" s="87"/>
      <c r="W438" s="87"/>
      <c r="X438" s="87"/>
      <c r="Y438" s="87"/>
      <c r="Z438" s="87"/>
      <c r="AA438" s="87"/>
    </row>
    <row r="439" spans="1:27" s="175" customFormat="1">
      <c r="A439" s="87"/>
      <c r="B439" s="88">
        <v>525</v>
      </c>
      <c r="C439" s="89"/>
      <c r="D439" s="90" t="s">
        <v>285</v>
      </c>
      <c r="E439" s="90" t="s">
        <v>841</v>
      </c>
      <c r="F439" s="90" t="s">
        <v>841</v>
      </c>
      <c r="G439" s="87"/>
      <c r="H439" s="87"/>
      <c r="I439" s="87"/>
      <c r="J439" s="87"/>
      <c r="K439" s="87"/>
      <c r="L439" s="87"/>
      <c r="M439" s="87"/>
      <c r="N439" s="87"/>
      <c r="O439" s="87"/>
      <c r="P439" s="87"/>
      <c r="Q439" s="87"/>
      <c r="R439" s="87"/>
      <c r="S439" s="87"/>
      <c r="T439" s="87"/>
      <c r="U439" s="87"/>
      <c r="V439" s="87"/>
      <c r="W439" s="87"/>
      <c r="X439" s="87"/>
      <c r="Y439" s="87"/>
      <c r="Z439" s="87"/>
      <c r="AA439" s="87"/>
    </row>
    <row r="440" spans="1:27" s="176" customFormat="1" ht="36">
      <c r="A440" s="87"/>
      <c r="B440" s="88">
        <v>526</v>
      </c>
      <c r="C440" s="89"/>
      <c r="D440" s="90" t="s">
        <v>286</v>
      </c>
      <c r="E440" s="90" t="s">
        <v>842</v>
      </c>
      <c r="F440" s="90" t="s">
        <v>842</v>
      </c>
      <c r="G440" s="87"/>
      <c r="H440" s="87"/>
      <c r="I440" s="87"/>
      <c r="J440" s="87"/>
      <c r="K440" s="87"/>
      <c r="L440" s="87"/>
      <c r="M440" s="87"/>
      <c r="N440" s="87"/>
      <c r="O440" s="87"/>
      <c r="P440" s="87"/>
      <c r="Q440" s="87"/>
      <c r="R440" s="87"/>
      <c r="S440" s="87"/>
      <c r="T440" s="87"/>
      <c r="U440" s="87"/>
      <c r="V440" s="87"/>
      <c r="W440" s="87"/>
      <c r="X440" s="87"/>
      <c r="Y440" s="87"/>
      <c r="Z440" s="87"/>
      <c r="AA440" s="87"/>
    </row>
    <row r="441" spans="1:27" s="176" customFormat="1">
      <c r="A441" s="87"/>
      <c r="B441" s="88">
        <v>527</v>
      </c>
      <c r="C441" s="89"/>
      <c r="D441" s="90" t="s">
        <v>287</v>
      </c>
      <c r="E441" s="90" t="s">
        <v>843</v>
      </c>
      <c r="F441" s="90" t="s">
        <v>843</v>
      </c>
      <c r="G441" s="87"/>
      <c r="H441" s="87"/>
      <c r="I441" s="87"/>
      <c r="J441" s="87"/>
      <c r="K441" s="87"/>
      <c r="L441" s="87"/>
      <c r="M441" s="87"/>
      <c r="N441" s="87"/>
      <c r="O441" s="87"/>
      <c r="P441" s="87"/>
      <c r="Q441" s="87"/>
      <c r="R441" s="87"/>
      <c r="S441" s="87"/>
      <c r="T441" s="87"/>
      <c r="U441" s="87"/>
      <c r="V441" s="87"/>
      <c r="W441" s="87"/>
      <c r="X441" s="87"/>
      <c r="Y441" s="87"/>
      <c r="Z441" s="87"/>
      <c r="AA441" s="87"/>
    </row>
    <row r="442" spans="1:27" s="176" customFormat="1" ht="36">
      <c r="A442" s="87"/>
      <c r="B442" s="88">
        <v>528</v>
      </c>
      <c r="C442" s="89"/>
      <c r="D442" s="90" t="s">
        <v>288</v>
      </c>
      <c r="E442" s="90" t="s">
        <v>844</v>
      </c>
      <c r="F442" s="90" t="s">
        <v>844</v>
      </c>
      <c r="G442" s="87"/>
      <c r="H442" s="87"/>
      <c r="I442" s="87"/>
      <c r="J442" s="87"/>
      <c r="K442" s="87"/>
      <c r="L442" s="87"/>
      <c r="M442" s="87"/>
      <c r="N442" s="87"/>
      <c r="O442" s="87"/>
      <c r="P442" s="87"/>
      <c r="Q442" s="87"/>
      <c r="R442" s="87"/>
      <c r="S442" s="87"/>
      <c r="T442" s="87"/>
      <c r="U442" s="87"/>
      <c r="V442" s="87"/>
      <c r="W442" s="87"/>
      <c r="X442" s="87"/>
      <c r="Y442" s="87"/>
      <c r="Z442" s="87"/>
      <c r="AA442" s="87"/>
    </row>
    <row r="443" spans="1:27" s="176" customFormat="1" ht="24">
      <c r="A443" s="87"/>
      <c r="B443" s="88">
        <v>529</v>
      </c>
      <c r="C443" s="89"/>
      <c r="D443" s="90" t="s">
        <v>289</v>
      </c>
      <c r="E443" s="90" t="s">
        <v>845</v>
      </c>
      <c r="F443" s="90" t="s">
        <v>845</v>
      </c>
      <c r="G443" s="87"/>
      <c r="H443" s="87"/>
      <c r="I443" s="87"/>
      <c r="J443" s="87"/>
      <c r="K443" s="87"/>
      <c r="L443" s="87"/>
      <c r="M443" s="87"/>
      <c r="N443" s="87"/>
      <c r="O443" s="87"/>
      <c r="P443" s="87"/>
      <c r="Q443" s="87"/>
      <c r="R443" s="87"/>
      <c r="S443" s="87"/>
      <c r="T443" s="87"/>
      <c r="U443" s="87"/>
      <c r="V443" s="87"/>
      <c r="W443" s="87"/>
      <c r="X443" s="87"/>
      <c r="Y443" s="87"/>
      <c r="Z443" s="87"/>
      <c r="AA443" s="87"/>
    </row>
    <row r="444" spans="1:27" s="176" customFormat="1" ht="24">
      <c r="A444" s="87"/>
      <c r="B444" s="88">
        <v>530</v>
      </c>
      <c r="C444" s="89"/>
      <c r="D444" s="90" t="s">
        <v>290</v>
      </c>
      <c r="E444" s="90" t="s">
        <v>846</v>
      </c>
      <c r="F444" s="90" t="s">
        <v>846</v>
      </c>
      <c r="G444" s="87"/>
      <c r="H444" s="87"/>
      <c r="I444" s="87"/>
      <c r="J444" s="87"/>
      <c r="K444" s="87"/>
      <c r="L444" s="87"/>
      <c r="M444" s="87"/>
      <c r="N444" s="87"/>
      <c r="O444" s="87"/>
      <c r="P444" s="87"/>
      <c r="Q444" s="87"/>
      <c r="R444" s="87"/>
      <c r="S444" s="87"/>
      <c r="T444" s="87"/>
      <c r="U444" s="87"/>
      <c r="V444" s="87"/>
      <c r="W444" s="87"/>
      <c r="X444" s="87"/>
      <c r="Y444" s="87"/>
      <c r="Z444" s="87"/>
      <c r="AA444" s="87"/>
    </row>
    <row r="445" spans="1:27" s="176" customFormat="1" ht="24">
      <c r="A445" s="87"/>
      <c r="B445" s="88">
        <v>531</v>
      </c>
      <c r="C445" s="89"/>
      <c r="D445" s="90" t="s">
        <v>291</v>
      </c>
      <c r="E445" s="90" t="s">
        <v>847</v>
      </c>
      <c r="F445" s="90" t="s">
        <v>847</v>
      </c>
      <c r="G445" s="87"/>
      <c r="H445" s="87"/>
      <c r="I445" s="87"/>
      <c r="J445" s="87"/>
      <c r="K445" s="87"/>
      <c r="L445" s="87"/>
      <c r="M445" s="87"/>
      <c r="N445" s="87"/>
      <c r="O445" s="87"/>
      <c r="P445" s="87"/>
      <c r="Q445" s="87"/>
      <c r="R445" s="87"/>
      <c r="S445" s="87"/>
      <c r="T445" s="87"/>
      <c r="U445" s="87"/>
      <c r="V445" s="87"/>
      <c r="W445" s="87"/>
      <c r="X445" s="87"/>
      <c r="Y445" s="87"/>
      <c r="Z445" s="87"/>
      <c r="AA445" s="87"/>
    </row>
    <row r="446" spans="1:27" s="176" customFormat="1" ht="24">
      <c r="A446" s="87"/>
      <c r="B446" s="88">
        <v>532</v>
      </c>
      <c r="C446" s="89"/>
      <c r="D446" s="90" t="s">
        <v>292</v>
      </c>
      <c r="E446" s="90" t="s">
        <v>848</v>
      </c>
      <c r="F446" s="90" t="s">
        <v>848</v>
      </c>
      <c r="G446" s="87"/>
      <c r="H446" s="87"/>
      <c r="I446" s="87"/>
      <c r="J446" s="87"/>
      <c r="K446" s="87"/>
      <c r="L446" s="87"/>
      <c r="M446" s="87"/>
      <c r="N446" s="87"/>
      <c r="O446" s="87"/>
      <c r="P446" s="87"/>
      <c r="Q446" s="87"/>
      <c r="R446" s="87"/>
      <c r="S446" s="87"/>
      <c r="T446" s="87"/>
      <c r="U446" s="87"/>
      <c r="V446" s="87"/>
      <c r="W446" s="87"/>
      <c r="X446" s="87"/>
      <c r="Y446" s="87"/>
      <c r="Z446" s="87"/>
      <c r="AA446" s="87"/>
    </row>
    <row r="447" spans="1:27" s="176" customFormat="1">
      <c r="A447" s="87"/>
      <c r="B447" s="88">
        <v>533</v>
      </c>
      <c r="C447" s="89"/>
      <c r="D447" s="90" t="s">
        <v>293</v>
      </c>
      <c r="E447" s="90" t="s">
        <v>849</v>
      </c>
      <c r="F447" s="90" t="s">
        <v>849</v>
      </c>
      <c r="G447" s="87"/>
      <c r="H447" s="87"/>
      <c r="I447" s="87"/>
      <c r="J447" s="87"/>
      <c r="K447" s="87"/>
      <c r="L447" s="87"/>
      <c r="M447" s="87"/>
      <c r="N447" s="87"/>
      <c r="O447" s="87"/>
      <c r="P447" s="87"/>
      <c r="Q447" s="87"/>
      <c r="R447" s="87"/>
      <c r="S447" s="87"/>
      <c r="T447" s="87"/>
      <c r="U447" s="87"/>
      <c r="V447" s="87"/>
      <c r="W447" s="87"/>
      <c r="X447" s="87"/>
      <c r="Y447" s="87"/>
      <c r="Z447" s="87"/>
      <c r="AA447" s="87"/>
    </row>
    <row r="448" spans="1:27" s="176" customFormat="1">
      <c r="A448" s="87"/>
      <c r="B448" s="88">
        <v>534</v>
      </c>
      <c r="C448" s="89"/>
      <c r="D448" s="90" t="s">
        <v>294</v>
      </c>
      <c r="E448" s="90" t="s">
        <v>850</v>
      </c>
      <c r="F448" s="90" t="s">
        <v>850</v>
      </c>
      <c r="G448" s="87"/>
      <c r="H448" s="87"/>
      <c r="I448" s="87"/>
      <c r="J448" s="87"/>
      <c r="K448" s="87"/>
      <c r="L448" s="87"/>
      <c r="M448" s="87"/>
      <c r="N448" s="87"/>
      <c r="O448" s="87"/>
      <c r="P448" s="87"/>
      <c r="Q448" s="87"/>
      <c r="R448" s="87"/>
      <c r="S448" s="87"/>
      <c r="T448" s="87"/>
      <c r="U448" s="87"/>
      <c r="V448" s="87"/>
      <c r="W448" s="87"/>
      <c r="X448" s="87"/>
      <c r="Y448" s="87"/>
      <c r="Z448" s="87"/>
      <c r="AA448" s="87"/>
    </row>
    <row r="449" spans="1:27" s="176" customFormat="1" ht="24">
      <c r="A449" s="87"/>
      <c r="B449" s="88">
        <v>535</v>
      </c>
      <c r="C449" s="89"/>
      <c r="D449" s="90" t="s">
        <v>295</v>
      </c>
      <c r="E449" s="90" t="s">
        <v>851</v>
      </c>
      <c r="F449" s="90" t="s">
        <v>851</v>
      </c>
      <c r="G449" s="87"/>
      <c r="H449" s="87"/>
      <c r="I449" s="87"/>
      <c r="J449" s="87"/>
      <c r="K449" s="87"/>
      <c r="L449" s="87"/>
      <c r="M449" s="87"/>
      <c r="N449" s="87"/>
      <c r="O449" s="87"/>
      <c r="P449" s="87"/>
      <c r="Q449" s="87"/>
      <c r="R449" s="87"/>
      <c r="S449" s="87"/>
      <c r="T449" s="87"/>
      <c r="U449" s="87"/>
      <c r="V449" s="87"/>
      <c r="W449" s="87"/>
      <c r="X449" s="87"/>
      <c r="Y449" s="87"/>
      <c r="Z449" s="87"/>
      <c r="AA449" s="87"/>
    </row>
    <row r="450" spans="1:27" s="176" customFormat="1">
      <c r="A450" s="87"/>
      <c r="B450" s="88">
        <v>536</v>
      </c>
      <c r="C450" s="89"/>
      <c r="D450" s="90" t="s">
        <v>296</v>
      </c>
      <c r="E450" s="90" t="s">
        <v>852</v>
      </c>
      <c r="F450" s="90" t="s">
        <v>852</v>
      </c>
      <c r="G450" s="87"/>
      <c r="H450" s="87"/>
      <c r="I450" s="87"/>
      <c r="J450" s="87"/>
      <c r="K450" s="87"/>
      <c r="L450" s="87"/>
      <c r="M450" s="87"/>
      <c r="N450" s="87"/>
      <c r="O450" s="87"/>
      <c r="P450" s="87"/>
      <c r="Q450" s="87"/>
      <c r="R450" s="87"/>
      <c r="S450" s="87"/>
      <c r="T450" s="87"/>
      <c r="U450" s="87"/>
      <c r="V450" s="87"/>
      <c r="W450" s="87"/>
      <c r="X450" s="87"/>
      <c r="Y450" s="87"/>
      <c r="Z450" s="87"/>
      <c r="AA450" s="87"/>
    </row>
    <row r="451" spans="1:27">
      <c r="B451" s="88">
        <v>537</v>
      </c>
      <c r="D451" s="90" t="s">
        <v>297</v>
      </c>
      <c r="E451" s="90" t="s">
        <v>853</v>
      </c>
      <c r="F451" s="90" t="s">
        <v>853</v>
      </c>
    </row>
    <row r="452" spans="1:27">
      <c r="B452" s="88">
        <v>538</v>
      </c>
      <c r="D452" s="90" t="s">
        <v>298</v>
      </c>
      <c r="E452" s="90" t="s">
        <v>854</v>
      </c>
      <c r="F452" s="90" t="s">
        <v>854</v>
      </c>
    </row>
    <row r="453" spans="1:27" ht="24">
      <c r="B453" s="88">
        <v>539</v>
      </c>
      <c r="D453" s="90" t="s">
        <v>475</v>
      </c>
      <c r="E453" s="90" t="s">
        <v>855</v>
      </c>
      <c r="F453" s="90" t="s">
        <v>855</v>
      </c>
    </row>
    <row r="454" spans="1:27" ht="48">
      <c r="A454" s="175"/>
      <c r="B454" s="88">
        <v>540</v>
      </c>
      <c r="C454" s="181" t="s">
        <v>507</v>
      </c>
      <c r="D454" s="175" t="s">
        <v>523</v>
      </c>
      <c r="E454" s="175" t="s">
        <v>856</v>
      </c>
      <c r="F454" s="175" t="s">
        <v>856</v>
      </c>
    </row>
    <row r="455" spans="1:27" ht="36">
      <c r="B455" s="88">
        <v>541</v>
      </c>
      <c r="D455" s="90" t="s">
        <v>299</v>
      </c>
      <c r="E455" s="90" t="s">
        <v>857</v>
      </c>
      <c r="F455" s="90" t="s">
        <v>857</v>
      </c>
    </row>
    <row r="456" spans="1:27">
      <c r="B456" s="88">
        <v>542</v>
      </c>
      <c r="D456" s="90" t="s">
        <v>300</v>
      </c>
      <c r="E456" s="90" t="s">
        <v>858</v>
      </c>
      <c r="F456" s="90" t="s">
        <v>858</v>
      </c>
    </row>
    <row r="457" spans="1:27">
      <c r="B457" s="88">
        <v>543</v>
      </c>
      <c r="D457" s="90" t="s">
        <v>301</v>
      </c>
      <c r="E457" s="90" t="s">
        <v>859</v>
      </c>
      <c r="F457" s="90" t="s">
        <v>859</v>
      </c>
    </row>
    <row r="458" spans="1:27">
      <c r="B458" s="88">
        <v>544</v>
      </c>
      <c r="D458" s="90" t="s">
        <v>302</v>
      </c>
      <c r="E458" s="90" t="s">
        <v>860</v>
      </c>
      <c r="F458" s="90" t="s">
        <v>860</v>
      </c>
    </row>
    <row r="459" spans="1:27" ht="24">
      <c r="B459" s="88">
        <v>545</v>
      </c>
      <c r="D459" s="90" t="s">
        <v>976</v>
      </c>
      <c r="E459" s="90" t="s">
        <v>977</v>
      </c>
      <c r="F459" s="90" t="s">
        <v>977</v>
      </c>
    </row>
    <row r="460" spans="1:27">
      <c r="B460" s="88">
        <v>546</v>
      </c>
      <c r="D460" s="90" t="s">
        <v>303</v>
      </c>
      <c r="E460" s="90" t="s">
        <v>861</v>
      </c>
      <c r="F460" s="90" t="s">
        <v>861</v>
      </c>
    </row>
    <row r="461" spans="1:27">
      <c r="B461" s="88">
        <v>547</v>
      </c>
      <c r="D461" s="90" t="s">
        <v>304</v>
      </c>
      <c r="E461" s="90" t="s">
        <v>862</v>
      </c>
      <c r="F461" s="90" t="s">
        <v>862</v>
      </c>
    </row>
    <row r="462" spans="1:27">
      <c r="B462" s="88">
        <v>548</v>
      </c>
      <c r="D462" s="90" t="s">
        <v>305</v>
      </c>
      <c r="E462" s="90" t="s">
        <v>863</v>
      </c>
      <c r="F462" s="90" t="s">
        <v>863</v>
      </c>
    </row>
    <row r="463" spans="1:27" ht="24">
      <c r="B463" s="88">
        <v>549</v>
      </c>
      <c r="D463" s="90" t="s">
        <v>1255</v>
      </c>
      <c r="E463" s="90" t="s">
        <v>1256</v>
      </c>
      <c r="F463" s="90" t="s">
        <v>1256</v>
      </c>
    </row>
    <row r="464" spans="1:27">
      <c r="B464" s="88">
        <v>550</v>
      </c>
      <c r="D464" s="90" t="s">
        <v>1257</v>
      </c>
      <c r="E464" s="90" t="s">
        <v>1258</v>
      </c>
      <c r="F464" s="90" t="s">
        <v>1258</v>
      </c>
    </row>
    <row r="465" spans="2:6" ht="24">
      <c r="B465" s="88">
        <v>551</v>
      </c>
      <c r="D465" s="90" t="s">
        <v>306</v>
      </c>
      <c r="E465" s="90" t="s">
        <v>864</v>
      </c>
      <c r="F465" s="90" t="s">
        <v>864</v>
      </c>
    </row>
    <row r="466" spans="2:6">
      <c r="B466" s="88">
        <v>552</v>
      </c>
      <c r="D466" s="90" t="s">
        <v>476</v>
      </c>
      <c r="E466" s="90" t="s">
        <v>865</v>
      </c>
      <c r="F466" s="90" t="s">
        <v>865</v>
      </c>
    </row>
    <row r="467" spans="2:6" ht="24">
      <c r="B467" s="88">
        <v>553</v>
      </c>
      <c r="D467" s="90" t="s">
        <v>307</v>
      </c>
      <c r="E467" s="90" t="s">
        <v>866</v>
      </c>
      <c r="F467" s="90" t="s">
        <v>866</v>
      </c>
    </row>
    <row r="468" spans="2:6" ht="24">
      <c r="B468" s="88">
        <v>554</v>
      </c>
      <c r="D468" s="90" t="s">
        <v>477</v>
      </c>
      <c r="E468" s="90" t="s">
        <v>867</v>
      </c>
      <c r="F468" s="90" t="s">
        <v>867</v>
      </c>
    </row>
    <row r="469" spans="2:6" ht="24">
      <c r="B469" s="88">
        <v>555</v>
      </c>
      <c r="D469" s="90" t="s">
        <v>308</v>
      </c>
      <c r="E469" s="90" t="s">
        <v>868</v>
      </c>
      <c r="F469" s="90" t="s">
        <v>868</v>
      </c>
    </row>
    <row r="470" spans="2:6">
      <c r="B470" s="88">
        <v>556</v>
      </c>
      <c r="D470" s="90" t="s">
        <v>309</v>
      </c>
      <c r="E470" s="90" t="s">
        <v>869</v>
      </c>
      <c r="F470" s="90" t="s">
        <v>869</v>
      </c>
    </row>
    <row r="471" spans="2:6">
      <c r="B471" s="88">
        <v>557</v>
      </c>
      <c r="C471" s="89" t="s">
        <v>986</v>
      </c>
      <c r="D471" s="90" t="s">
        <v>983</v>
      </c>
      <c r="E471" s="90" t="s">
        <v>984</v>
      </c>
      <c r="F471" s="90" t="s">
        <v>984</v>
      </c>
    </row>
    <row r="472" spans="2:6" ht="24">
      <c r="B472" s="88">
        <v>558</v>
      </c>
      <c r="C472" s="89" t="s">
        <v>986</v>
      </c>
      <c r="D472" s="90" t="s">
        <v>980</v>
      </c>
      <c r="E472" s="90" t="s">
        <v>985</v>
      </c>
      <c r="F472" s="90" t="s">
        <v>985</v>
      </c>
    </row>
    <row r="473" spans="2:6">
      <c r="B473" s="88">
        <v>559</v>
      </c>
      <c r="D473" s="90" t="s">
        <v>310</v>
      </c>
      <c r="E473" s="90" t="s">
        <v>870</v>
      </c>
      <c r="F473" s="90" t="s">
        <v>870</v>
      </c>
    </row>
    <row r="474" spans="2:6">
      <c r="B474" s="88">
        <v>560</v>
      </c>
      <c r="D474" s="90" t="s">
        <v>311</v>
      </c>
      <c r="E474" s="90" t="s">
        <v>871</v>
      </c>
      <c r="F474" s="90" t="s">
        <v>871</v>
      </c>
    </row>
    <row r="475" spans="2:6" ht="36">
      <c r="B475" s="88">
        <v>561</v>
      </c>
      <c r="D475" s="90" t="s">
        <v>378</v>
      </c>
      <c r="E475" s="90" t="s">
        <v>872</v>
      </c>
      <c r="F475" s="90" t="s">
        <v>872</v>
      </c>
    </row>
    <row r="476" spans="2:6">
      <c r="B476" s="88">
        <v>562</v>
      </c>
      <c r="D476" s="90" t="s">
        <v>312</v>
      </c>
      <c r="E476" s="90" t="s">
        <v>873</v>
      </c>
      <c r="F476" s="90" t="s">
        <v>873</v>
      </c>
    </row>
    <row r="477" spans="2:6">
      <c r="B477" s="88">
        <v>563</v>
      </c>
      <c r="D477" s="90" t="s">
        <v>313</v>
      </c>
      <c r="E477" s="90" t="s">
        <v>874</v>
      </c>
      <c r="F477" s="90" t="s">
        <v>874</v>
      </c>
    </row>
    <row r="478" spans="2:6">
      <c r="B478" s="88">
        <v>564</v>
      </c>
      <c r="D478" s="90" t="s">
        <v>314</v>
      </c>
      <c r="E478" s="90" t="s">
        <v>875</v>
      </c>
      <c r="F478" s="90" t="s">
        <v>875</v>
      </c>
    </row>
    <row r="479" spans="2:6">
      <c r="B479" s="88">
        <v>565</v>
      </c>
      <c r="D479" s="90" t="s">
        <v>315</v>
      </c>
      <c r="E479" s="90" t="s">
        <v>876</v>
      </c>
      <c r="F479" s="90" t="s">
        <v>876</v>
      </c>
    </row>
    <row r="480" spans="2:6">
      <c r="B480" s="88">
        <v>566</v>
      </c>
      <c r="D480" s="90" t="s">
        <v>316</v>
      </c>
      <c r="E480" s="90" t="s">
        <v>877</v>
      </c>
      <c r="F480" s="90" t="s">
        <v>877</v>
      </c>
    </row>
    <row r="481" spans="2:6" ht="36">
      <c r="B481" s="88">
        <v>567</v>
      </c>
      <c r="D481" s="90" t="s">
        <v>317</v>
      </c>
      <c r="E481" s="90" t="s">
        <v>878</v>
      </c>
      <c r="F481" s="90" t="s">
        <v>878</v>
      </c>
    </row>
    <row r="482" spans="2:6" ht="24">
      <c r="B482" s="88">
        <v>568</v>
      </c>
      <c r="D482" s="90" t="s">
        <v>318</v>
      </c>
      <c r="E482" s="90" t="s">
        <v>879</v>
      </c>
      <c r="F482" s="90" t="s">
        <v>879</v>
      </c>
    </row>
    <row r="483" spans="2:6">
      <c r="B483" s="88">
        <v>569</v>
      </c>
      <c r="D483" s="90" t="s">
        <v>319</v>
      </c>
      <c r="E483" s="90" t="s">
        <v>880</v>
      </c>
      <c r="F483" s="90" t="s">
        <v>880</v>
      </c>
    </row>
    <row r="484" spans="2:6">
      <c r="B484" s="88">
        <v>570</v>
      </c>
      <c r="D484" s="90" t="s">
        <v>320</v>
      </c>
      <c r="E484" s="90" t="s">
        <v>881</v>
      </c>
      <c r="F484" s="90" t="s">
        <v>881</v>
      </c>
    </row>
    <row r="485" spans="2:6" ht="24">
      <c r="B485" s="88">
        <v>571</v>
      </c>
      <c r="D485" s="90" t="s">
        <v>478</v>
      </c>
      <c r="E485" s="90" t="s">
        <v>882</v>
      </c>
      <c r="F485" s="90" t="s">
        <v>882</v>
      </c>
    </row>
    <row r="486" spans="2:6">
      <c r="B486" s="88">
        <v>572</v>
      </c>
      <c r="D486" s="90" t="s">
        <v>321</v>
      </c>
      <c r="E486" s="90" t="s">
        <v>883</v>
      </c>
      <c r="F486" s="90" t="s">
        <v>883</v>
      </c>
    </row>
    <row r="487" spans="2:6">
      <c r="B487" s="88">
        <v>573</v>
      </c>
      <c r="D487" s="90" t="s">
        <v>322</v>
      </c>
      <c r="E487" s="90" t="s">
        <v>884</v>
      </c>
      <c r="F487" s="90" t="s">
        <v>884</v>
      </c>
    </row>
    <row r="488" spans="2:6">
      <c r="B488" s="88">
        <v>574</v>
      </c>
      <c r="D488" s="90" t="s">
        <v>1296</v>
      </c>
      <c r="E488" s="90" t="s">
        <v>1297</v>
      </c>
      <c r="F488" s="90" t="s">
        <v>1297</v>
      </c>
    </row>
    <row r="489" spans="2:6">
      <c r="B489" s="88">
        <v>575</v>
      </c>
      <c r="D489" s="90" t="s">
        <v>1265</v>
      </c>
      <c r="E489" s="90" t="s">
        <v>1266</v>
      </c>
      <c r="F489" s="90" t="s">
        <v>1266</v>
      </c>
    </row>
    <row r="490" spans="2:6">
      <c r="B490" s="88">
        <v>576</v>
      </c>
      <c r="D490" s="90" t="s">
        <v>323</v>
      </c>
      <c r="E490" s="90" t="s">
        <v>885</v>
      </c>
      <c r="F490" s="90" t="s">
        <v>885</v>
      </c>
    </row>
    <row r="491" spans="2:6">
      <c r="B491" s="88">
        <v>577</v>
      </c>
      <c r="D491" s="90" t="s">
        <v>479</v>
      </c>
      <c r="E491" s="90" t="s">
        <v>886</v>
      </c>
      <c r="F491" s="90" t="s">
        <v>886</v>
      </c>
    </row>
    <row r="492" spans="2:6" ht="36">
      <c r="B492" s="88">
        <v>578</v>
      </c>
      <c r="D492" s="90" t="s">
        <v>480</v>
      </c>
      <c r="E492" s="90" t="s">
        <v>887</v>
      </c>
      <c r="F492" s="90" t="s">
        <v>887</v>
      </c>
    </row>
    <row r="493" spans="2:6">
      <c r="B493" s="88">
        <v>579</v>
      </c>
      <c r="D493" s="90" t="s">
        <v>324</v>
      </c>
      <c r="E493" s="90" t="s">
        <v>888</v>
      </c>
      <c r="F493" s="90" t="s">
        <v>888</v>
      </c>
    </row>
    <row r="494" spans="2:6">
      <c r="B494" s="88">
        <v>580</v>
      </c>
      <c r="D494" s="90" t="s">
        <v>325</v>
      </c>
      <c r="E494" s="90" t="s">
        <v>889</v>
      </c>
      <c r="F494" s="90" t="s">
        <v>889</v>
      </c>
    </row>
    <row r="495" spans="2:6">
      <c r="B495" s="88">
        <v>581</v>
      </c>
      <c r="C495" s="89" t="s">
        <v>573</v>
      </c>
      <c r="D495" s="87" t="s">
        <v>568</v>
      </c>
      <c r="E495" s="179" t="s">
        <v>559</v>
      </c>
      <c r="F495" s="179" t="s">
        <v>559</v>
      </c>
    </row>
    <row r="496" spans="2:6">
      <c r="B496" s="88">
        <v>582</v>
      </c>
      <c r="C496" s="89" t="s">
        <v>573</v>
      </c>
      <c r="D496" s="90" t="s">
        <v>566</v>
      </c>
      <c r="E496" s="179" t="s">
        <v>557</v>
      </c>
      <c r="F496" s="179" t="s">
        <v>557</v>
      </c>
    </row>
    <row r="497" spans="1:6">
      <c r="B497" s="88">
        <v>583</v>
      </c>
      <c r="D497" s="90" t="s">
        <v>326</v>
      </c>
      <c r="E497" s="90" t="s">
        <v>890</v>
      </c>
      <c r="F497" s="90" t="s">
        <v>890</v>
      </c>
    </row>
    <row r="498" spans="1:6" ht="36">
      <c r="B498" s="88">
        <v>584</v>
      </c>
      <c r="D498" s="90" t="s">
        <v>327</v>
      </c>
      <c r="E498" s="90" t="s">
        <v>891</v>
      </c>
      <c r="F498" s="90" t="s">
        <v>891</v>
      </c>
    </row>
    <row r="499" spans="1:6">
      <c r="B499" s="88">
        <v>585</v>
      </c>
      <c r="D499" s="90" t="s">
        <v>328</v>
      </c>
      <c r="E499" s="90" t="s">
        <v>892</v>
      </c>
      <c r="F499" s="90" t="s">
        <v>892</v>
      </c>
    </row>
    <row r="500" spans="1:6">
      <c r="A500" s="176"/>
      <c r="B500" s="88">
        <v>586</v>
      </c>
      <c r="C500" s="177" t="s">
        <v>489</v>
      </c>
      <c r="D500" s="175" t="s">
        <v>495</v>
      </c>
      <c r="E500" s="175" t="s">
        <v>893</v>
      </c>
      <c r="F500" s="175" t="s">
        <v>893</v>
      </c>
    </row>
    <row r="501" spans="1:6">
      <c r="A501" s="176"/>
      <c r="B501" s="88">
        <v>587</v>
      </c>
      <c r="C501" s="177" t="s">
        <v>489</v>
      </c>
      <c r="D501" s="175" t="s">
        <v>524</v>
      </c>
      <c r="E501" s="175" t="s">
        <v>894</v>
      </c>
      <c r="F501" s="175" t="s">
        <v>894</v>
      </c>
    </row>
    <row r="502" spans="1:6">
      <c r="B502" s="88">
        <v>588</v>
      </c>
      <c r="D502" s="90" t="s">
        <v>329</v>
      </c>
      <c r="E502" s="175" t="s">
        <v>895</v>
      </c>
      <c r="F502" s="175" t="s">
        <v>895</v>
      </c>
    </row>
    <row r="503" spans="1:6">
      <c r="B503" s="88">
        <v>589</v>
      </c>
      <c r="D503" s="90" t="s">
        <v>330</v>
      </c>
      <c r="E503" s="90" t="s">
        <v>896</v>
      </c>
      <c r="F503" s="90" t="s">
        <v>896</v>
      </c>
    </row>
    <row r="504" spans="1:6">
      <c r="B504" s="88">
        <v>590</v>
      </c>
      <c r="D504" s="90" t="s">
        <v>331</v>
      </c>
      <c r="E504" s="90" t="s">
        <v>897</v>
      </c>
      <c r="F504" s="90" t="s">
        <v>897</v>
      </c>
    </row>
    <row r="505" spans="1:6" ht="24">
      <c r="B505" s="88">
        <v>591</v>
      </c>
      <c r="D505" s="90" t="s">
        <v>332</v>
      </c>
      <c r="E505" s="90" t="s">
        <v>898</v>
      </c>
      <c r="F505" s="90" t="s">
        <v>898</v>
      </c>
    </row>
    <row r="506" spans="1:6">
      <c r="B506" s="88">
        <v>592</v>
      </c>
      <c r="D506" s="90" t="s">
        <v>333</v>
      </c>
      <c r="E506" s="90" t="s">
        <v>899</v>
      </c>
      <c r="F506" s="90" t="s">
        <v>899</v>
      </c>
    </row>
    <row r="507" spans="1:6" ht="36">
      <c r="B507" s="88">
        <v>593</v>
      </c>
      <c r="D507" s="90" t="s">
        <v>334</v>
      </c>
      <c r="E507" s="90" t="s">
        <v>900</v>
      </c>
      <c r="F507" s="90" t="s">
        <v>900</v>
      </c>
    </row>
    <row r="508" spans="1:6">
      <c r="B508" s="88">
        <v>594</v>
      </c>
      <c r="D508" s="90" t="s">
        <v>335</v>
      </c>
      <c r="E508" s="90" t="s">
        <v>996</v>
      </c>
      <c r="F508" s="90" t="s">
        <v>996</v>
      </c>
    </row>
    <row r="509" spans="1:6">
      <c r="B509" s="88">
        <v>595</v>
      </c>
      <c r="D509" s="90" t="s">
        <v>336</v>
      </c>
      <c r="E509" s="90" t="s">
        <v>901</v>
      </c>
      <c r="F509" s="90" t="s">
        <v>901</v>
      </c>
    </row>
    <row r="510" spans="1:6">
      <c r="B510" s="88">
        <v>596</v>
      </c>
      <c r="D510" s="90" t="s">
        <v>337</v>
      </c>
      <c r="E510" s="90" t="s">
        <v>902</v>
      </c>
      <c r="F510" s="90" t="s">
        <v>902</v>
      </c>
    </row>
    <row r="511" spans="1:6">
      <c r="B511" s="88">
        <v>597</v>
      </c>
      <c r="D511" s="90" t="s">
        <v>338</v>
      </c>
      <c r="E511" s="90" t="s">
        <v>903</v>
      </c>
      <c r="F511" s="90" t="s">
        <v>903</v>
      </c>
    </row>
    <row r="512" spans="1:6">
      <c r="B512" s="88">
        <v>598</v>
      </c>
      <c r="D512" s="90" t="s">
        <v>339</v>
      </c>
      <c r="E512" s="90" t="s">
        <v>904</v>
      </c>
      <c r="F512" s="90" t="s">
        <v>904</v>
      </c>
    </row>
    <row r="513" spans="2:6">
      <c r="B513" s="88">
        <v>599</v>
      </c>
      <c r="D513" s="90" t="s">
        <v>340</v>
      </c>
      <c r="E513" s="90" t="s">
        <v>905</v>
      </c>
      <c r="F513" s="90" t="s">
        <v>905</v>
      </c>
    </row>
    <row r="514" spans="2:6">
      <c r="B514" s="88">
        <v>600</v>
      </c>
      <c r="D514" s="90" t="s">
        <v>341</v>
      </c>
      <c r="E514" s="90" t="s">
        <v>341</v>
      </c>
      <c r="F514" s="90" t="s">
        <v>341</v>
      </c>
    </row>
    <row r="515" spans="2:6">
      <c r="B515" s="88">
        <v>601</v>
      </c>
      <c r="D515" s="90" t="s">
        <v>481</v>
      </c>
      <c r="E515" s="90" t="s">
        <v>906</v>
      </c>
      <c r="F515" s="90" t="s">
        <v>906</v>
      </c>
    </row>
    <row r="516" spans="2:6" ht="24">
      <c r="B516" s="88">
        <v>602</v>
      </c>
      <c r="D516" s="90" t="s">
        <v>342</v>
      </c>
      <c r="E516" s="90" t="s">
        <v>907</v>
      </c>
      <c r="F516" s="90" t="s">
        <v>907</v>
      </c>
    </row>
    <row r="517" spans="2:6">
      <c r="B517" s="88">
        <v>603</v>
      </c>
      <c r="D517" s="90" t="s">
        <v>343</v>
      </c>
      <c r="E517" s="90" t="s">
        <v>343</v>
      </c>
      <c r="F517" s="90" t="s">
        <v>343</v>
      </c>
    </row>
    <row r="518" spans="2:6">
      <c r="B518" s="88">
        <v>604</v>
      </c>
      <c r="D518" s="90" t="s">
        <v>1225</v>
      </c>
      <c r="E518" s="90" t="s">
        <v>1227</v>
      </c>
      <c r="F518" s="90" t="s">
        <v>1227</v>
      </c>
    </row>
    <row r="519" spans="2:6">
      <c r="B519" s="88">
        <v>605</v>
      </c>
      <c r="D519" s="90" t="s">
        <v>1224</v>
      </c>
      <c r="E519" s="90" t="s">
        <v>1226</v>
      </c>
      <c r="F519" s="90" t="s">
        <v>1226</v>
      </c>
    </row>
    <row r="520" spans="2:6">
      <c r="B520" s="88">
        <v>606</v>
      </c>
      <c r="D520" s="90" t="s">
        <v>482</v>
      </c>
      <c r="F520" s="90"/>
    </row>
    <row r="521" spans="2:6">
      <c r="B521" s="88">
        <v>607</v>
      </c>
      <c r="D521" s="90" t="s">
        <v>344</v>
      </c>
      <c r="E521" s="90" t="s">
        <v>908</v>
      </c>
      <c r="F521" s="90" t="s">
        <v>908</v>
      </c>
    </row>
    <row r="522" spans="2:6">
      <c r="B522" s="88">
        <v>608</v>
      </c>
      <c r="C522" s="89" t="s">
        <v>986</v>
      </c>
      <c r="D522" s="90" t="s">
        <v>990</v>
      </c>
      <c r="E522" s="90" t="s">
        <v>991</v>
      </c>
      <c r="F522" s="90" t="s">
        <v>991</v>
      </c>
    </row>
    <row r="523" spans="2:6">
      <c r="B523" s="88">
        <v>609</v>
      </c>
      <c r="D523" s="90" t="s">
        <v>483</v>
      </c>
      <c r="E523" s="90" t="s">
        <v>909</v>
      </c>
      <c r="F523" s="90" t="s">
        <v>909</v>
      </c>
    </row>
    <row r="524" spans="2:6">
      <c r="B524" s="88">
        <v>610</v>
      </c>
      <c r="D524" s="90" t="s">
        <v>484</v>
      </c>
      <c r="E524" s="90" t="s">
        <v>910</v>
      </c>
      <c r="F524" s="90" t="s">
        <v>910</v>
      </c>
    </row>
    <row r="525" spans="2:6">
      <c r="B525" s="88">
        <v>611</v>
      </c>
      <c r="D525" s="90" t="s">
        <v>485</v>
      </c>
      <c r="E525" s="90" t="s">
        <v>909</v>
      </c>
      <c r="F525" s="90" t="s">
        <v>909</v>
      </c>
    </row>
    <row r="526" spans="2:6">
      <c r="B526" s="88">
        <v>612</v>
      </c>
      <c r="D526" s="90" t="s">
        <v>345</v>
      </c>
      <c r="E526" s="90" t="s">
        <v>530</v>
      </c>
      <c r="F526" s="90" t="s">
        <v>530</v>
      </c>
    </row>
    <row r="527" spans="2:6">
      <c r="B527" s="88">
        <v>613</v>
      </c>
      <c r="D527" s="90" t="s">
        <v>346</v>
      </c>
      <c r="E527" s="90" t="s">
        <v>911</v>
      </c>
      <c r="F527" s="90" t="s">
        <v>911</v>
      </c>
    </row>
    <row r="528" spans="2:6">
      <c r="B528" s="88">
        <v>614</v>
      </c>
      <c r="D528" s="90" t="s">
        <v>347</v>
      </c>
      <c r="E528" s="90" t="s">
        <v>912</v>
      </c>
      <c r="F528" s="90" t="s">
        <v>912</v>
      </c>
    </row>
    <row r="529" spans="1:6">
      <c r="B529" s="88">
        <v>615</v>
      </c>
      <c r="D529" s="90" t="s">
        <v>1322</v>
      </c>
      <c r="E529" s="90" t="s">
        <v>1324</v>
      </c>
      <c r="F529" s="90" t="s">
        <v>1324</v>
      </c>
    </row>
    <row r="530" spans="1:6">
      <c r="B530" s="88">
        <v>616</v>
      </c>
      <c r="D530" s="90" t="s">
        <v>1321</v>
      </c>
      <c r="E530" s="90" t="s">
        <v>1323</v>
      </c>
      <c r="F530" s="90" t="s">
        <v>1323</v>
      </c>
    </row>
    <row r="531" spans="1:6" ht="24">
      <c r="B531" s="88">
        <v>617</v>
      </c>
      <c r="C531" s="89" t="s">
        <v>1127</v>
      </c>
      <c r="D531" s="90" t="s">
        <v>1168</v>
      </c>
      <c r="E531" s="90" t="s">
        <v>1131</v>
      </c>
      <c r="F531" s="90" t="s">
        <v>1131</v>
      </c>
    </row>
    <row r="532" spans="1:6" ht="36">
      <c r="B532" s="88">
        <v>618</v>
      </c>
      <c r="C532" s="89" t="s">
        <v>1127</v>
      </c>
      <c r="D532" s="90" t="s">
        <v>1183</v>
      </c>
      <c r="E532" s="90" t="s">
        <v>1148</v>
      </c>
      <c r="F532" s="90" t="s">
        <v>1148</v>
      </c>
    </row>
    <row r="533" spans="1:6">
      <c r="B533" s="88">
        <v>619</v>
      </c>
      <c r="D533" s="90" t="s">
        <v>348</v>
      </c>
      <c r="E533" s="90" t="s">
        <v>913</v>
      </c>
      <c r="F533" s="90" t="s">
        <v>913</v>
      </c>
    </row>
    <row r="534" spans="1:6">
      <c r="B534" s="88">
        <v>620</v>
      </c>
      <c r="D534" s="90" t="s">
        <v>1231</v>
      </c>
      <c r="E534" s="90" t="s">
        <v>1232</v>
      </c>
      <c r="F534" s="90" t="s">
        <v>1232</v>
      </c>
    </row>
    <row r="535" spans="1:6">
      <c r="B535" s="88">
        <v>621</v>
      </c>
      <c r="D535" s="90" t="s">
        <v>1076</v>
      </c>
      <c r="E535" s="90" t="s">
        <v>1076</v>
      </c>
      <c r="F535" s="90" t="s">
        <v>1076</v>
      </c>
    </row>
    <row r="536" spans="1:6">
      <c r="B536" s="88">
        <v>622</v>
      </c>
      <c r="D536" s="90" t="s">
        <v>349</v>
      </c>
      <c r="F536" s="90"/>
    </row>
    <row r="537" spans="1:6">
      <c r="B537" s="88">
        <v>623</v>
      </c>
      <c r="D537" s="90" t="s">
        <v>350</v>
      </c>
      <c r="F537" s="90"/>
    </row>
    <row r="538" spans="1:6">
      <c r="B538" s="88">
        <v>624</v>
      </c>
      <c r="D538" s="90" t="s">
        <v>1074</v>
      </c>
      <c r="E538" s="90" t="s">
        <v>1075</v>
      </c>
      <c r="F538" s="90" t="s">
        <v>1075</v>
      </c>
    </row>
    <row r="539" spans="1:6">
      <c r="B539" s="88">
        <v>625</v>
      </c>
      <c r="D539" s="90" t="s">
        <v>351</v>
      </c>
      <c r="E539" s="90" t="s">
        <v>914</v>
      </c>
      <c r="F539" s="90" t="s">
        <v>914</v>
      </c>
    </row>
    <row r="540" spans="1:6">
      <c r="B540" s="88">
        <v>626</v>
      </c>
      <c r="D540" s="90" t="s">
        <v>486</v>
      </c>
      <c r="E540" s="90" t="s">
        <v>915</v>
      </c>
      <c r="F540" s="90" t="s">
        <v>915</v>
      </c>
    </row>
    <row r="541" spans="1:6">
      <c r="B541" s="88">
        <v>627</v>
      </c>
      <c r="D541" s="90" t="s">
        <v>352</v>
      </c>
      <c r="E541" s="90" t="s">
        <v>916</v>
      </c>
      <c r="F541" s="90" t="s">
        <v>916</v>
      </c>
    </row>
    <row r="542" spans="1:6">
      <c r="B542" s="88">
        <v>628</v>
      </c>
      <c r="D542" s="90" t="s">
        <v>415</v>
      </c>
      <c r="E542" s="90" t="s">
        <v>917</v>
      </c>
      <c r="F542" s="90" t="s">
        <v>917</v>
      </c>
    </row>
    <row r="543" spans="1:6">
      <c r="B543" s="88">
        <v>629</v>
      </c>
      <c r="D543" s="90" t="s">
        <v>353</v>
      </c>
      <c r="E543" s="90" t="s">
        <v>916</v>
      </c>
      <c r="F543" s="90" t="s">
        <v>916</v>
      </c>
    </row>
    <row r="544" spans="1:6" ht="24">
      <c r="A544" s="175"/>
      <c r="B544" s="88">
        <v>630</v>
      </c>
      <c r="C544" s="175"/>
      <c r="D544" s="175" t="s">
        <v>525</v>
      </c>
      <c r="E544" s="175" t="s">
        <v>918</v>
      </c>
      <c r="F544" s="175" t="s">
        <v>918</v>
      </c>
    </row>
    <row r="545" spans="2:6">
      <c r="B545" s="88">
        <v>631</v>
      </c>
      <c r="C545" s="89" t="s">
        <v>1127</v>
      </c>
      <c r="D545" s="90" t="s">
        <v>1165</v>
      </c>
      <c r="E545" s="90" t="s">
        <v>1126</v>
      </c>
      <c r="F545" s="90" t="s">
        <v>1126</v>
      </c>
    </row>
    <row r="546" spans="2:6">
      <c r="B546" s="88">
        <v>632</v>
      </c>
      <c r="C546" s="89" t="s">
        <v>1127</v>
      </c>
      <c r="D546" s="90" t="s">
        <v>1369</v>
      </c>
      <c r="E546" s="90" t="s">
        <v>1370</v>
      </c>
      <c r="F546" s="90" t="s">
        <v>1370</v>
      </c>
    </row>
    <row r="547" spans="2:6">
      <c r="B547" s="88">
        <v>633</v>
      </c>
      <c r="D547" s="90" t="s">
        <v>354</v>
      </c>
      <c r="E547" s="90" t="s">
        <v>354</v>
      </c>
      <c r="F547" s="90" t="s">
        <v>354</v>
      </c>
    </row>
    <row r="548" spans="2:6">
      <c r="B548" s="88">
        <v>634</v>
      </c>
      <c r="D548" s="90" t="s">
        <v>355</v>
      </c>
      <c r="E548" s="90" t="s">
        <v>919</v>
      </c>
      <c r="F548" s="90" t="s">
        <v>919</v>
      </c>
    </row>
    <row r="549" spans="2:6">
      <c r="B549" s="88">
        <v>635</v>
      </c>
      <c r="D549" s="90" t="s">
        <v>356</v>
      </c>
      <c r="E549" s="90" t="s">
        <v>920</v>
      </c>
      <c r="F549" s="90" t="s">
        <v>920</v>
      </c>
    </row>
    <row r="550" spans="2:6">
      <c r="B550" s="88">
        <v>636</v>
      </c>
      <c r="D550" s="90" t="s">
        <v>487</v>
      </c>
      <c r="E550" s="90" t="s">
        <v>921</v>
      </c>
      <c r="F550" s="90" t="s">
        <v>921</v>
      </c>
    </row>
    <row r="551" spans="2:6" ht="24">
      <c r="B551" s="88">
        <v>637</v>
      </c>
      <c r="C551" s="89" t="s">
        <v>1127</v>
      </c>
      <c r="D551" s="90" t="s">
        <v>1185</v>
      </c>
      <c r="E551" s="90" t="s">
        <v>1184</v>
      </c>
      <c r="F551" s="90" t="s">
        <v>1184</v>
      </c>
    </row>
    <row r="552" spans="2:6">
      <c r="B552" s="88">
        <v>638</v>
      </c>
      <c r="D552" s="90" t="s">
        <v>357</v>
      </c>
      <c r="E552" s="90" t="s">
        <v>922</v>
      </c>
      <c r="F552" s="90" t="s">
        <v>922</v>
      </c>
    </row>
    <row r="553" spans="2:6" ht="36">
      <c r="B553" s="88">
        <v>639</v>
      </c>
      <c r="C553" s="89" t="s">
        <v>1127</v>
      </c>
      <c r="D553" s="90" t="s">
        <v>1194</v>
      </c>
      <c r="E553" s="90" t="s">
        <v>1155</v>
      </c>
      <c r="F553" s="90" t="s">
        <v>1155</v>
      </c>
    </row>
    <row r="554" spans="2:6">
      <c r="B554" s="88">
        <v>640</v>
      </c>
      <c r="D554" s="90" t="s">
        <v>358</v>
      </c>
      <c r="E554" s="90" t="s">
        <v>923</v>
      </c>
      <c r="F554" s="90" t="s">
        <v>923</v>
      </c>
    </row>
    <row r="555" spans="2:6">
      <c r="B555" s="88">
        <v>641</v>
      </c>
      <c r="D555" s="90" t="s">
        <v>359</v>
      </c>
      <c r="E555" s="90" t="s">
        <v>924</v>
      </c>
      <c r="F555" s="90" t="s">
        <v>924</v>
      </c>
    </row>
    <row r="556" spans="2:6">
      <c r="B556" s="88">
        <v>642</v>
      </c>
      <c r="D556" s="90" t="s">
        <v>488</v>
      </c>
      <c r="E556" s="90" t="s">
        <v>925</v>
      </c>
      <c r="F556" s="90" t="s">
        <v>925</v>
      </c>
    </row>
    <row r="557" spans="2:6" ht="24">
      <c r="B557" s="88">
        <v>643</v>
      </c>
      <c r="D557" s="90" t="s">
        <v>360</v>
      </c>
      <c r="E557" s="90" t="s">
        <v>926</v>
      </c>
      <c r="F557" s="90" t="s">
        <v>926</v>
      </c>
    </row>
    <row r="558" spans="2:6">
      <c r="B558" s="88">
        <v>644</v>
      </c>
      <c r="D558" s="90" t="s">
        <v>361</v>
      </c>
      <c r="E558" s="90" t="s">
        <v>924</v>
      </c>
      <c r="F558" s="90" t="s">
        <v>924</v>
      </c>
    </row>
    <row r="559" spans="2:6">
      <c r="B559" s="88">
        <v>645</v>
      </c>
      <c r="D559" s="90" t="s">
        <v>362</v>
      </c>
      <c r="E559" s="90" t="s">
        <v>927</v>
      </c>
      <c r="F559" s="90" t="s">
        <v>927</v>
      </c>
    </row>
    <row r="560" spans="2:6">
      <c r="B560" s="88">
        <v>646</v>
      </c>
      <c r="D560" s="90" t="s">
        <v>363</v>
      </c>
      <c r="E560" s="90" t="s">
        <v>928</v>
      </c>
      <c r="F560" s="90" t="s">
        <v>928</v>
      </c>
    </row>
    <row r="561" spans="2:27">
      <c r="B561" s="88">
        <v>647</v>
      </c>
      <c r="D561" s="90" t="s">
        <v>364</v>
      </c>
      <c r="E561" s="90" t="s">
        <v>929</v>
      </c>
      <c r="F561" s="90" t="s">
        <v>929</v>
      </c>
    </row>
    <row r="562" spans="2:27">
      <c r="B562" s="88">
        <v>648</v>
      </c>
      <c r="D562" s="90" t="s">
        <v>365</v>
      </c>
      <c r="E562" s="90" t="s">
        <v>930</v>
      </c>
      <c r="F562" s="90" t="s">
        <v>930</v>
      </c>
      <c r="G562" s="175"/>
      <c r="H562" s="175"/>
      <c r="I562" s="175"/>
      <c r="J562" s="175"/>
      <c r="K562" s="175"/>
      <c r="L562" s="175"/>
      <c r="M562" s="175"/>
      <c r="N562" s="175"/>
      <c r="O562" s="175"/>
      <c r="P562" s="175"/>
      <c r="Q562" s="175"/>
      <c r="R562" s="175"/>
      <c r="S562" s="175"/>
      <c r="T562" s="175"/>
      <c r="U562" s="175"/>
      <c r="V562" s="175"/>
      <c r="W562" s="175"/>
      <c r="X562" s="175"/>
      <c r="Y562" s="175"/>
      <c r="Z562" s="175"/>
      <c r="AA562" s="175"/>
    </row>
    <row r="563" spans="2:27" ht="24">
      <c r="B563" s="88">
        <v>649</v>
      </c>
      <c r="D563" s="90" t="s">
        <v>366</v>
      </c>
      <c r="E563" s="90" t="s">
        <v>931</v>
      </c>
      <c r="F563" s="90" t="s">
        <v>931</v>
      </c>
      <c r="G563" s="175"/>
      <c r="H563" s="175"/>
      <c r="I563" s="175"/>
      <c r="J563" s="175"/>
      <c r="K563" s="175"/>
      <c r="L563" s="175"/>
      <c r="M563" s="175"/>
      <c r="N563" s="175"/>
      <c r="O563" s="175"/>
      <c r="P563" s="175"/>
      <c r="Q563" s="175"/>
      <c r="R563" s="175"/>
      <c r="S563" s="175"/>
      <c r="T563" s="175"/>
      <c r="U563" s="175"/>
      <c r="V563" s="175"/>
      <c r="W563" s="175"/>
      <c r="X563" s="175"/>
      <c r="Y563" s="175"/>
      <c r="Z563" s="175"/>
      <c r="AA563" s="175"/>
    </row>
    <row r="564" spans="2:27">
      <c r="B564" s="88">
        <v>650</v>
      </c>
      <c r="D564" s="90" t="s">
        <v>367</v>
      </c>
      <c r="E564" s="90" t="s">
        <v>923</v>
      </c>
      <c r="F564" s="90" t="s">
        <v>923</v>
      </c>
      <c r="G564" s="176"/>
      <c r="H564" s="176"/>
      <c r="I564" s="176"/>
      <c r="J564" s="176"/>
      <c r="K564" s="176"/>
      <c r="L564" s="176"/>
      <c r="M564" s="176"/>
      <c r="N564" s="176"/>
      <c r="O564" s="176"/>
      <c r="P564" s="176"/>
      <c r="Q564" s="176"/>
      <c r="R564" s="176"/>
      <c r="S564" s="176"/>
      <c r="T564" s="176"/>
      <c r="U564" s="176"/>
      <c r="V564" s="176"/>
      <c r="W564" s="176"/>
      <c r="X564" s="176"/>
      <c r="Y564" s="176"/>
      <c r="Z564" s="176"/>
      <c r="AA564" s="176"/>
    </row>
    <row r="565" spans="2:27" ht="24">
      <c r="B565" s="88">
        <v>651</v>
      </c>
      <c r="C565" s="89" t="s">
        <v>1127</v>
      </c>
      <c r="D565" s="90" t="s">
        <v>1186</v>
      </c>
      <c r="E565" s="90" t="s">
        <v>1149</v>
      </c>
      <c r="F565" s="90" t="s">
        <v>1149</v>
      </c>
    </row>
    <row r="566" spans="2:27" ht="24">
      <c r="B566" s="88">
        <v>652</v>
      </c>
      <c r="D566" s="90" t="s">
        <v>368</v>
      </c>
      <c r="E566" s="90" t="s">
        <v>932</v>
      </c>
      <c r="F566" s="90" t="s">
        <v>932</v>
      </c>
      <c r="G566" s="176"/>
      <c r="H566" s="176"/>
      <c r="I566" s="176"/>
      <c r="J566" s="176"/>
      <c r="K566" s="176"/>
      <c r="L566" s="176"/>
      <c r="M566" s="176"/>
      <c r="N566" s="176"/>
      <c r="O566" s="176"/>
      <c r="P566" s="176"/>
      <c r="Q566" s="176"/>
      <c r="R566" s="176"/>
      <c r="S566" s="176"/>
      <c r="T566" s="176"/>
      <c r="U566" s="176"/>
      <c r="V566" s="176"/>
      <c r="W566" s="176"/>
      <c r="X566" s="176"/>
      <c r="Y566" s="176"/>
      <c r="Z566" s="176"/>
      <c r="AA566" s="176"/>
    </row>
    <row r="567" spans="2:27" ht="36">
      <c r="B567" s="88">
        <v>653</v>
      </c>
      <c r="D567" s="90" t="s">
        <v>369</v>
      </c>
      <c r="E567" s="90" t="s">
        <v>933</v>
      </c>
      <c r="F567" s="90" t="s">
        <v>933</v>
      </c>
      <c r="G567" s="176"/>
      <c r="H567" s="176"/>
      <c r="I567" s="176"/>
      <c r="J567" s="176"/>
      <c r="K567" s="176"/>
      <c r="L567" s="176"/>
      <c r="M567" s="176"/>
      <c r="N567" s="176"/>
      <c r="O567" s="176"/>
      <c r="P567" s="176"/>
      <c r="Q567" s="176"/>
      <c r="R567" s="176"/>
      <c r="S567" s="176"/>
      <c r="T567" s="176"/>
      <c r="U567" s="176"/>
      <c r="V567" s="176"/>
      <c r="W567" s="176"/>
      <c r="X567" s="176"/>
      <c r="Y567" s="176"/>
      <c r="Z567" s="176"/>
      <c r="AA567" s="176"/>
    </row>
    <row r="568" spans="2:27">
      <c r="B568" s="88">
        <v>654</v>
      </c>
      <c r="D568" s="90" t="s">
        <v>370</v>
      </c>
      <c r="E568" s="90" t="s">
        <v>934</v>
      </c>
      <c r="F568" s="90" t="s">
        <v>934</v>
      </c>
      <c r="G568" s="176"/>
      <c r="H568" s="176"/>
      <c r="I568" s="176"/>
      <c r="J568" s="176"/>
      <c r="K568" s="176"/>
      <c r="L568" s="176"/>
      <c r="M568" s="176"/>
      <c r="N568" s="176"/>
      <c r="O568" s="176"/>
      <c r="P568" s="176"/>
      <c r="Q568" s="176"/>
      <c r="R568" s="176"/>
      <c r="S568" s="176"/>
      <c r="T568" s="176"/>
      <c r="U568" s="176"/>
      <c r="V568" s="176"/>
      <c r="W568" s="176"/>
      <c r="X568" s="176"/>
      <c r="Y568" s="176"/>
      <c r="Z568" s="176"/>
      <c r="AA568" s="176"/>
    </row>
    <row r="569" spans="2:27" ht="36">
      <c r="B569" s="88">
        <v>655</v>
      </c>
      <c r="D569" s="90" t="s">
        <v>371</v>
      </c>
      <c r="E569" s="90" t="s">
        <v>935</v>
      </c>
      <c r="F569" s="90" t="s">
        <v>935</v>
      </c>
      <c r="G569" s="176"/>
      <c r="H569" s="176"/>
      <c r="I569" s="176"/>
      <c r="J569" s="176"/>
      <c r="K569" s="176"/>
      <c r="L569" s="176"/>
      <c r="M569" s="176"/>
      <c r="N569" s="176"/>
      <c r="O569" s="176"/>
      <c r="P569" s="176"/>
      <c r="Q569" s="176"/>
      <c r="R569" s="176"/>
      <c r="S569" s="176"/>
      <c r="T569" s="176"/>
      <c r="U569" s="176"/>
      <c r="V569" s="176"/>
      <c r="W569" s="176"/>
      <c r="X569" s="176"/>
      <c r="Y569" s="176"/>
      <c r="Z569" s="176"/>
      <c r="AA569" s="176"/>
    </row>
    <row r="570" spans="2:27">
      <c r="B570" s="88">
        <v>656</v>
      </c>
      <c r="D570" s="90" t="s">
        <v>372</v>
      </c>
      <c r="E570" s="90" t="s">
        <v>936</v>
      </c>
      <c r="F570" s="90" t="s">
        <v>936</v>
      </c>
      <c r="G570" s="176"/>
      <c r="H570" s="176"/>
      <c r="I570" s="176"/>
      <c r="J570" s="176"/>
      <c r="K570" s="176"/>
      <c r="L570" s="176"/>
      <c r="M570" s="176"/>
      <c r="N570" s="176"/>
      <c r="O570" s="176"/>
      <c r="P570" s="176"/>
      <c r="Q570" s="176"/>
      <c r="R570" s="176"/>
      <c r="S570" s="176"/>
      <c r="T570" s="176"/>
      <c r="U570" s="176"/>
      <c r="V570" s="176"/>
      <c r="W570" s="176"/>
      <c r="X570" s="176"/>
      <c r="Y570" s="176"/>
      <c r="Z570" s="176"/>
      <c r="AA570" s="176"/>
    </row>
    <row r="571" spans="2:27">
      <c r="B571" s="88">
        <v>657</v>
      </c>
      <c r="D571" s="90" t="s">
        <v>373</v>
      </c>
      <c r="E571" s="90" t="s">
        <v>937</v>
      </c>
      <c r="F571" s="90" t="s">
        <v>937</v>
      </c>
      <c r="G571" s="176"/>
      <c r="H571" s="176"/>
      <c r="I571" s="176"/>
      <c r="J571" s="176"/>
      <c r="K571" s="176"/>
      <c r="L571" s="176"/>
      <c r="M571" s="176"/>
      <c r="N571" s="176"/>
      <c r="O571" s="176"/>
      <c r="P571" s="176"/>
      <c r="Q571" s="176"/>
      <c r="R571" s="176"/>
      <c r="S571" s="176"/>
      <c r="T571" s="176"/>
      <c r="U571" s="176"/>
      <c r="V571" s="176"/>
      <c r="W571" s="176"/>
      <c r="X571" s="176"/>
      <c r="Y571" s="176"/>
      <c r="Z571" s="176"/>
      <c r="AA571" s="176"/>
    </row>
    <row r="572" spans="2:27">
      <c r="B572" s="88">
        <v>658</v>
      </c>
      <c r="D572" s="90" t="s">
        <v>374</v>
      </c>
      <c r="E572" s="90" t="s">
        <v>938</v>
      </c>
      <c r="F572" s="90" t="s">
        <v>938</v>
      </c>
      <c r="G572" s="176"/>
      <c r="H572" s="176"/>
      <c r="I572" s="176"/>
      <c r="J572" s="176"/>
      <c r="K572" s="176"/>
      <c r="L572" s="176"/>
      <c r="M572" s="176"/>
      <c r="N572" s="176"/>
      <c r="O572" s="176"/>
      <c r="P572" s="176"/>
      <c r="Q572" s="176"/>
      <c r="R572" s="176"/>
      <c r="S572" s="176"/>
      <c r="T572" s="176"/>
      <c r="U572" s="176"/>
      <c r="V572" s="176"/>
      <c r="W572" s="176"/>
      <c r="X572" s="176"/>
      <c r="Y572" s="176"/>
      <c r="Z572" s="176"/>
      <c r="AA572" s="176"/>
    </row>
    <row r="573" spans="2:27">
      <c r="B573" s="88">
        <v>659</v>
      </c>
      <c r="D573" s="90" t="s">
        <v>375</v>
      </c>
      <c r="E573" s="90" t="s">
        <v>939</v>
      </c>
      <c r="F573" s="90" t="s">
        <v>939</v>
      </c>
      <c r="G573" s="176"/>
      <c r="H573" s="176"/>
      <c r="I573" s="176"/>
      <c r="J573" s="176"/>
      <c r="K573" s="176"/>
      <c r="L573" s="176"/>
      <c r="M573" s="176"/>
      <c r="N573" s="176"/>
      <c r="O573" s="176"/>
      <c r="P573" s="176"/>
      <c r="Q573" s="176"/>
      <c r="R573" s="176"/>
      <c r="S573" s="176"/>
      <c r="T573" s="176"/>
      <c r="U573" s="176"/>
      <c r="V573" s="176"/>
      <c r="W573" s="176"/>
      <c r="X573" s="176"/>
      <c r="Y573" s="176"/>
      <c r="Z573" s="176"/>
      <c r="AA573" s="176"/>
    </row>
    <row r="574" spans="2:27">
      <c r="B574" s="88">
        <v>660</v>
      </c>
      <c r="D574" s="90" t="s">
        <v>376</v>
      </c>
      <c r="E574" s="90" t="s">
        <v>940</v>
      </c>
      <c r="F574" s="90" t="s">
        <v>940</v>
      </c>
      <c r="G574" s="176"/>
      <c r="H574" s="176"/>
      <c r="I574" s="176"/>
      <c r="J574" s="176"/>
      <c r="K574" s="176"/>
      <c r="L574" s="176"/>
      <c r="M574" s="176"/>
      <c r="N574" s="176"/>
      <c r="O574" s="176"/>
      <c r="P574" s="176"/>
      <c r="Q574" s="176"/>
      <c r="R574" s="176"/>
      <c r="S574" s="176"/>
      <c r="T574" s="176"/>
      <c r="U574" s="176"/>
      <c r="V574" s="176"/>
      <c r="W574" s="176"/>
      <c r="X574" s="176"/>
      <c r="Y574" s="176"/>
      <c r="Z574" s="176"/>
      <c r="AA574" s="176"/>
    </row>
    <row r="575" spans="2:27">
      <c r="B575" s="88">
        <v>661</v>
      </c>
      <c r="D575" s="90" t="s">
        <v>377</v>
      </c>
      <c r="E575" s="90" t="s">
        <v>941</v>
      </c>
      <c r="F575" s="90" t="s">
        <v>941</v>
      </c>
      <c r="G575" s="176"/>
      <c r="H575" s="176"/>
      <c r="I575" s="176"/>
      <c r="J575" s="176"/>
      <c r="K575" s="176"/>
      <c r="L575" s="176"/>
      <c r="M575" s="176"/>
      <c r="N575" s="176"/>
      <c r="O575" s="176"/>
      <c r="P575" s="176"/>
      <c r="Q575" s="176"/>
      <c r="R575" s="176"/>
      <c r="S575" s="176"/>
      <c r="T575" s="176"/>
      <c r="U575" s="176"/>
      <c r="V575" s="176"/>
      <c r="W575" s="176"/>
      <c r="X575" s="176"/>
      <c r="Y575" s="176"/>
      <c r="Z575" s="176"/>
      <c r="AA575" s="176"/>
    </row>
    <row r="576" spans="2:27">
      <c r="B576" s="88">
        <v>662</v>
      </c>
      <c r="D576" s="90" t="s">
        <v>1386</v>
      </c>
      <c r="E576" s="90" t="s">
        <v>1371</v>
      </c>
      <c r="F576" s="90" t="s">
        <v>1371</v>
      </c>
    </row>
    <row r="577" spans="2:6">
      <c r="B577" s="88">
        <v>663</v>
      </c>
      <c r="D577" s="90" t="s">
        <v>1387</v>
      </c>
      <c r="E577" s="90" t="s">
        <v>1372</v>
      </c>
      <c r="F577" s="90" t="s">
        <v>1372</v>
      </c>
    </row>
    <row r="578" spans="2:6">
      <c r="B578" s="88">
        <v>664</v>
      </c>
      <c r="D578" s="90" t="s">
        <v>1373</v>
      </c>
      <c r="E578" s="90" t="s">
        <v>1374</v>
      </c>
      <c r="F578" s="90" t="s">
        <v>1374</v>
      </c>
    </row>
    <row r="579" spans="2:6">
      <c r="B579" s="88">
        <v>665</v>
      </c>
      <c r="D579" s="90" t="s">
        <v>1383</v>
      </c>
      <c r="E579" s="90" t="s">
        <v>1384</v>
      </c>
      <c r="F579" s="90" t="s">
        <v>1384</v>
      </c>
    </row>
    <row r="580" spans="2:6">
      <c r="B580" s="88">
        <v>666</v>
      </c>
      <c r="D580" s="90" t="s">
        <v>1377</v>
      </c>
      <c r="E580" s="90" t="s">
        <v>1380</v>
      </c>
      <c r="F580" s="90" t="s">
        <v>1380</v>
      </c>
    </row>
    <row r="581" spans="2:6">
      <c r="B581" s="88">
        <v>667</v>
      </c>
      <c r="D581" s="90" t="s">
        <v>1378</v>
      </c>
      <c r="E581" s="90" t="s">
        <v>1381</v>
      </c>
      <c r="F581" s="90" t="s">
        <v>1381</v>
      </c>
    </row>
    <row r="582" spans="2:6">
      <c r="B582" s="88">
        <v>667</v>
      </c>
      <c r="D582" s="90" t="s">
        <v>1379</v>
      </c>
      <c r="E582" s="90" t="s">
        <v>1382</v>
      </c>
      <c r="F582" s="90" t="s">
        <v>1382</v>
      </c>
    </row>
    <row r="583" spans="2:6">
      <c r="B583" s="88">
        <v>667</v>
      </c>
      <c r="D583" s="90" t="s">
        <v>1391</v>
      </c>
      <c r="E583" s="90" t="s">
        <v>1390</v>
      </c>
      <c r="F583" s="90" t="s">
        <v>1390</v>
      </c>
    </row>
  </sheetData>
  <sortState xmlns:xlrd2="http://schemas.microsoft.com/office/spreadsheetml/2017/richdata2" ref="A14:AA575">
    <sortCondition ref="D14:D575"/>
  </sortState>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3"/>
  <dimension ref="A1:AF96"/>
  <sheetViews>
    <sheetView zoomScale="81" zoomScaleNormal="81" workbookViewId="0">
      <selection activeCell="J30" sqref="J30"/>
    </sheetView>
  </sheetViews>
  <sheetFormatPr defaultColWidth="10.625" defaultRowHeight="15"/>
  <cols>
    <col min="1" max="1" width="9.5" style="128" bestFit="1" customWidth="1"/>
    <col min="2" max="2" width="9.75" style="128" bestFit="1" customWidth="1"/>
    <col min="3" max="12" width="11.375" style="128" bestFit="1" customWidth="1"/>
    <col min="13" max="13" width="31.875" style="128" bestFit="1" customWidth="1"/>
    <col min="14" max="14" width="14.625" style="128" bestFit="1" customWidth="1"/>
    <col min="15" max="16" width="10.5" style="128" bestFit="1" customWidth="1"/>
    <col min="17" max="17" width="15.5" style="128" bestFit="1" customWidth="1"/>
    <col min="18" max="18" width="17.125" style="128" bestFit="1" customWidth="1"/>
    <col min="19" max="19" width="13.25" style="128" bestFit="1" customWidth="1"/>
    <col min="20" max="20" width="19.875" style="128" bestFit="1" customWidth="1"/>
    <col min="21" max="21" width="14.375" style="128" bestFit="1" customWidth="1"/>
    <col min="22" max="22" width="14.125" style="129" bestFit="1" customWidth="1"/>
    <col min="23" max="23" width="15.5" style="128" bestFit="1" customWidth="1"/>
    <col min="24" max="24" width="19.375" style="130" bestFit="1" customWidth="1"/>
    <col min="25" max="25" width="9.5" style="130" bestFit="1" customWidth="1"/>
    <col min="26" max="26" width="10.875" style="130" bestFit="1" customWidth="1"/>
    <col min="27" max="27" width="10.875" style="129" bestFit="1" customWidth="1"/>
    <col min="28" max="28" width="12.5" style="129" bestFit="1" customWidth="1"/>
    <col min="29" max="29" width="12.875" style="129" bestFit="1" customWidth="1"/>
    <col min="30" max="30" width="15.75" style="128" bestFit="1" customWidth="1"/>
    <col min="31" max="32" width="10.625" style="128"/>
    <col min="33" max="16384" width="10.625" style="129"/>
  </cols>
  <sheetData>
    <row r="1" spans="1:30">
      <c r="A1" s="132" t="s">
        <v>1073</v>
      </c>
      <c r="B1" s="132" t="s">
        <v>379</v>
      </c>
      <c r="C1" s="132" t="s">
        <v>1061</v>
      </c>
      <c r="D1" s="132" t="s">
        <v>1062</v>
      </c>
      <c r="E1" s="132" t="s">
        <v>1063</v>
      </c>
      <c r="F1" s="132" t="s">
        <v>1064</v>
      </c>
      <c r="G1" s="132" t="s">
        <v>1065</v>
      </c>
      <c r="H1" s="132" t="s">
        <v>1066</v>
      </c>
      <c r="I1" s="132" t="s">
        <v>1067</v>
      </c>
      <c r="J1" s="132" t="s">
        <v>1068</v>
      </c>
      <c r="K1" s="132" t="s">
        <v>1069</v>
      </c>
      <c r="L1" s="132" t="s">
        <v>1070</v>
      </c>
      <c r="M1" s="132" t="s">
        <v>380</v>
      </c>
      <c r="N1" s="132" t="s">
        <v>381</v>
      </c>
      <c r="O1" s="132" t="s">
        <v>382</v>
      </c>
      <c r="P1" s="132" t="s">
        <v>383</v>
      </c>
      <c r="Q1" s="132" t="s">
        <v>1022</v>
      </c>
      <c r="R1" s="132" t="s">
        <v>1023</v>
      </c>
      <c r="S1" s="132" t="s">
        <v>1072</v>
      </c>
      <c r="T1" s="132" t="s">
        <v>1269</v>
      </c>
      <c r="U1" s="132" t="s">
        <v>1000</v>
      </c>
      <c r="V1" s="133" t="s">
        <v>1001</v>
      </c>
      <c r="W1" s="132" t="s">
        <v>1003</v>
      </c>
      <c r="X1" s="134" t="s">
        <v>1248</v>
      </c>
      <c r="Y1" s="134" t="s">
        <v>1004</v>
      </c>
      <c r="Z1" s="134" t="s">
        <v>1005</v>
      </c>
      <c r="AA1" s="133" t="s">
        <v>1024</v>
      </c>
      <c r="AB1" s="133" t="s">
        <v>1025</v>
      </c>
      <c r="AC1" s="133" t="s">
        <v>1058</v>
      </c>
      <c r="AD1" s="132" t="s">
        <v>1002</v>
      </c>
    </row>
    <row r="2" spans="1:30">
      <c r="A2" s="131" t="s">
        <v>1088</v>
      </c>
      <c r="B2" s="131" t="s">
        <v>1082</v>
      </c>
      <c r="C2" s="131" t="s">
        <v>1007</v>
      </c>
      <c r="D2" s="131" t="s">
        <v>1081</v>
      </c>
      <c r="E2" s="131" t="s">
        <v>1082</v>
      </c>
      <c r="M2" s="131" t="s">
        <v>1450</v>
      </c>
      <c r="N2" s="131" t="s">
        <v>1317</v>
      </c>
      <c r="O2" s="127">
        <v>44336</v>
      </c>
      <c r="P2" s="127">
        <v>44337</v>
      </c>
      <c r="Q2" s="127">
        <v>44336</v>
      </c>
      <c r="R2" s="127">
        <v>44338</v>
      </c>
      <c r="S2" s="128">
        <v>21</v>
      </c>
      <c r="T2" s="128">
        <v>1</v>
      </c>
      <c r="U2" s="128">
        <v>2</v>
      </c>
      <c r="V2" s="129">
        <v>2</v>
      </c>
      <c r="W2" s="128">
        <v>0</v>
      </c>
      <c r="X2" s="130">
        <v>1</v>
      </c>
      <c r="Y2" s="130">
        <v>1</v>
      </c>
      <c r="Z2" s="130">
        <v>1</v>
      </c>
      <c r="AC2" s="129">
        <v>0</v>
      </c>
    </row>
    <row r="3" spans="1:30">
      <c r="A3" s="131" t="s">
        <v>1088</v>
      </c>
      <c r="B3" s="131" t="s">
        <v>1082</v>
      </c>
      <c r="C3" s="131" t="s">
        <v>1007</v>
      </c>
      <c r="D3" s="131" t="s">
        <v>1081</v>
      </c>
      <c r="E3" s="131" t="s">
        <v>1082</v>
      </c>
      <c r="M3" s="131" t="s">
        <v>1450</v>
      </c>
      <c r="N3" s="131" t="s">
        <v>1318</v>
      </c>
      <c r="O3" s="127">
        <v>44336</v>
      </c>
      <c r="P3" s="127">
        <v>44337</v>
      </c>
      <c r="Q3" s="127">
        <v>44336</v>
      </c>
      <c r="R3" s="127">
        <v>44338</v>
      </c>
      <c r="S3" s="128">
        <v>21</v>
      </c>
      <c r="T3" s="128">
        <v>1</v>
      </c>
      <c r="U3" s="128">
        <v>2</v>
      </c>
      <c r="V3" s="129">
        <v>2</v>
      </c>
      <c r="W3" s="128">
        <v>0</v>
      </c>
      <c r="X3" s="130">
        <v>1</v>
      </c>
      <c r="Y3" s="130">
        <v>1</v>
      </c>
      <c r="Z3" s="130">
        <v>1</v>
      </c>
      <c r="AC3" s="129">
        <v>0</v>
      </c>
    </row>
    <row r="4" spans="1:30">
      <c r="A4" s="131" t="s">
        <v>1089</v>
      </c>
      <c r="B4" s="131" t="s">
        <v>1451</v>
      </c>
      <c r="C4" s="131" t="s">
        <v>1007</v>
      </c>
      <c r="D4" s="131" t="s">
        <v>1081</v>
      </c>
      <c r="E4" s="131" t="s">
        <v>1083</v>
      </c>
      <c r="F4" s="131" t="s">
        <v>1451</v>
      </c>
      <c r="M4" s="131" t="s">
        <v>1452</v>
      </c>
      <c r="N4" s="131" t="s">
        <v>1317</v>
      </c>
      <c r="O4" s="127">
        <v>44340</v>
      </c>
      <c r="P4" s="127">
        <v>44346</v>
      </c>
      <c r="Q4" s="127">
        <v>44336</v>
      </c>
      <c r="R4" s="127">
        <v>44338</v>
      </c>
      <c r="S4" s="128">
        <v>21</v>
      </c>
      <c r="T4" s="128">
        <v>1</v>
      </c>
      <c r="U4" s="128">
        <v>0</v>
      </c>
      <c r="V4" s="129">
        <v>0</v>
      </c>
      <c r="W4" s="128">
        <v>0</v>
      </c>
      <c r="X4" s="130">
        <v>1</v>
      </c>
      <c r="Y4" s="130">
        <v>1</v>
      </c>
      <c r="Z4" s="130">
        <v>0.9</v>
      </c>
      <c r="AC4" s="129">
        <v>0</v>
      </c>
    </row>
    <row r="5" spans="1:30">
      <c r="A5" s="131" t="s">
        <v>1089</v>
      </c>
      <c r="B5" s="131" t="s">
        <v>1451</v>
      </c>
      <c r="C5" s="131" t="s">
        <v>1007</v>
      </c>
      <c r="D5" s="131" t="s">
        <v>1081</v>
      </c>
      <c r="E5" s="131" t="s">
        <v>1083</v>
      </c>
      <c r="F5" s="131" t="s">
        <v>1451</v>
      </c>
      <c r="M5" s="131" t="s">
        <v>1452</v>
      </c>
      <c r="N5" s="131" t="s">
        <v>1317</v>
      </c>
      <c r="O5" s="127">
        <v>44340</v>
      </c>
      <c r="P5" s="127">
        <v>44346</v>
      </c>
      <c r="Q5" s="127">
        <v>44339</v>
      </c>
      <c r="R5" s="127">
        <v>44345</v>
      </c>
      <c r="S5" s="128">
        <v>22</v>
      </c>
      <c r="T5" s="128">
        <v>2</v>
      </c>
      <c r="U5" s="128">
        <v>5</v>
      </c>
      <c r="V5" s="129">
        <v>5</v>
      </c>
      <c r="W5" s="128">
        <v>0</v>
      </c>
      <c r="X5" s="130">
        <v>1</v>
      </c>
      <c r="Y5" s="130">
        <v>1</v>
      </c>
      <c r="Z5" s="130">
        <v>0.9</v>
      </c>
      <c r="AC5" s="129">
        <v>0</v>
      </c>
    </row>
    <row r="6" spans="1:30">
      <c r="A6" s="131" t="s">
        <v>1089</v>
      </c>
      <c r="B6" s="131" t="s">
        <v>1451</v>
      </c>
      <c r="C6" s="131" t="s">
        <v>1007</v>
      </c>
      <c r="D6" s="131" t="s">
        <v>1081</v>
      </c>
      <c r="E6" s="131" t="s">
        <v>1083</v>
      </c>
      <c r="F6" s="131" t="s">
        <v>1451</v>
      </c>
      <c r="M6" s="131" t="s">
        <v>1452</v>
      </c>
      <c r="N6" s="131" t="s">
        <v>1317</v>
      </c>
      <c r="O6" s="127">
        <v>44340</v>
      </c>
      <c r="P6" s="127">
        <v>44346</v>
      </c>
      <c r="Q6" s="127">
        <v>44346</v>
      </c>
      <c r="R6" s="127">
        <v>44352</v>
      </c>
      <c r="S6" s="128">
        <v>23</v>
      </c>
      <c r="T6" s="128">
        <v>3</v>
      </c>
      <c r="U6" s="128">
        <v>0</v>
      </c>
      <c r="V6" s="129">
        <v>0</v>
      </c>
      <c r="W6" s="128">
        <v>0</v>
      </c>
      <c r="X6" s="130">
        <v>1</v>
      </c>
      <c r="Y6" s="130">
        <v>1</v>
      </c>
      <c r="Z6" s="130">
        <v>0.9</v>
      </c>
      <c r="AC6" s="129">
        <v>0</v>
      </c>
    </row>
    <row r="7" spans="1:30">
      <c r="A7" s="131" t="s">
        <v>1089</v>
      </c>
      <c r="B7" s="131" t="s">
        <v>1453</v>
      </c>
      <c r="C7" s="131" t="s">
        <v>1007</v>
      </c>
      <c r="D7" s="131" t="s">
        <v>1081</v>
      </c>
      <c r="E7" s="131" t="s">
        <v>1083</v>
      </c>
      <c r="F7" s="131" t="s">
        <v>1453</v>
      </c>
      <c r="M7" s="131" t="s">
        <v>1454</v>
      </c>
      <c r="N7" s="131" t="s">
        <v>1317</v>
      </c>
      <c r="O7" s="127">
        <v>44358</v>
      </c>
      <c r="P7" s="127">
        <v>44358</v>
      </c>
      <c r="Q7" s="127">
        <v>44353</v>
      </c>
      <c r="R7" s="127">
        <v>44359</v>
      </c>
      <c r="S7" s="128">
        <v>24</v>
      </c>
      <c r="T7" s="128">
        <v>4</v>
      </c>
      <c r="U7" s="128">
        <v>0</v>
      </c>
      <c r="V7" s="129">
        <v>0</v>
      </c>
      <c r="W7" s="128">
        <v>0</v>
      </c>
      <c r="X7" s="130">
        <v>0</v>
      </c>
      <c r="Y7" s="130">
        <v>0</v>
      </c>
      <c r="Z7" s="130">
        <v>0</v>
      </c>
      <c r="AC7" s="129">
        <v>0</v>
      </c>
    </row>
    <row r="8" spans="1:30">
      <c r="A8" s="131" t="s">
        <v>1088</v>
      </c>
      <c r="B8" s="131" t="s">
        <v>1085</v>
      </c>
      <c r="C8" s="131" t="s">
        <v>1007</v>
      </c>
      <c r="D8" s="131" t="s">
        <v>1084</v>
      </c>
      <c r="E8" s="131" t="s">
        <v>1085</v>
      </c>
      <c r="M8" s="131" t="s">
        <v>1455</v>
      </c>
      <c r="N8" s="131" t="s">
        <v>1526</v>
      </c>
      <c r="O8" s="127">
        <v>44361</v>
      </c>
      <c r="P8" s="127">
        <v>44365</v>
      </c>
      <c r="Q8" s="127">
        <v>44336</v>
      </c>
      <c r="R8" s="127">
        <v>44338</v>
      </c>
      <c r="S8" s="128">
        <v>21</v>
      </c>
      <c r="T8" s="128">
        <v>1</v>
      </c>
      <c r="U8" s="128">
        <v>0</v>
      </c>
      <c r="V8" s="129">
        <v>0</v>
      </c>
      <c r="W8" s="128">
        <v>0</v>
      </c>
      <c r="X8" s="130">
        <v>0.2</v>
      </c>
      <c r="Y8" s="130">
        <v>0</v>
      </c>
      <c r="Z8" s="130">
        <v>0.5</v>
      </c>
      <c r="AC8" s="129">
        <v>0</v>
      </c>
    </row>
    <row r="9" spans="1:30">
      <c r="A9" s="131" t="s">
        <v>1088</v>
      </c>
      <c r="B9" s="131" t="s">
        <v>1085</v>
      </c>
      <c r="C9" s="131" t="s">
        <v>1007</v>
      </c>
      <c r="D9" s="131" t="s">
        <v>1084</v>
      </c>
      <c r="E9" s="131" t="s">
        <v>1085</v>
      </c>
      <c r="M9" s="131" t="s">
        <v>1455</v>
      </c>
      <c r="N9" s="131" t="s">
        <v>1526</v>
      </c>
      <c r="O9" s="127">
        <v>44361</v>
      </c>
      <c r="P9" s="127">
        <v>44365</v>
      </c>
      <c r="Q9" s="127">
        <v>44339</v>
      </c>
      <c r="R9" s="127">
        <v>44345</v>
      </c>
      <c r="S9" s="128">
        <v>22</v>
      </c>
      <c r="T9" s="128">
        <v>2</v>
      </c>
      <c r="U9" s="128">
        <v>0</v>
      </c>
      <c r="V9" s="129">
        <v>0</v>
      </c>
      <c r="W9" s="128">
        <v>0</v>
      </c>
      <c r="X9" s="130">
        <v>0.2</v>
      </c>
      <c r="Y9" s="130">
        <v>0</v>
      </c>
      <c r="Z9" s="130">
        <v>0.5</v>
      </c>
      <c r="AC9" s="129">
        <v>0</v>
      </c>
    </row>
    <row r="10" spans="1:30">
      <c r="A10" s="131" t="s">
        <v>1088</v>
      </c>
      <c r="B10" s="131" t="s">
        <v>1085</v>
      </c>
      <c r="C10" s="131" t="s">
        <v>1007</v>
      </c>
      <c r="D10" s="131" t="s">
        <v>1084</v>
      </c>
      <c r="E10" s="131" t="s">
        <v>1085</v>
      </c>
      <c r="M10" s="131" t="s">
        <v>1455</v>
      </c>
      <c r="N10" s="131" t="s">
        <v>1526</v>
      </c>
      <c r="O10" s="127">
        <v>44361</v>
      </c>
      <c r="P10" s="127">
        <v>44365</v>
      </c>
      <c r="Q10" s="127">
        <v>44346</v>
      </c>
      <c r="R10" s="127">
        <v>44352</v>
      </c>
      <c r="S10" s="128">
        <v>23</v>
      </c>
      <c r="T10" s="128">
        <v>3</v>
      </c>
      <c r="U10" s="128">
        <v>0</v>
      </c>
      <c r="V10" s="129">
        <v>0</v>
      </c>
      <c r="W10" s="128">
        <v>0</v>
      </c>
      <c r="X10" s="130">
        <v>0.2</v>
      </c>
      <c r="Y10" s="130">
        <v>0</v>
      </c>
      <c r="Z10" s="130">
        <v>0.5</v>
      </c>
      <c r="AC10" s="129">
        <v>0</v>
      </c>
    </row>
    <row r="11" spans="1:30">
      <c r="A11" s="131" t="s">
        <v>1088</v>
      </c>
      <c r="B11" s="131" t="s">
        <v>1085</v>
      </c>
      <c r="C11" s="131" t="s">
        <v>1007</v>
      </c>
      <c r="D11" s="131" t="s">
        <v>1084</v>
      </c>
      <c r="E11" s="131" t="s">
        <v>1085</v>
      </c>
      <c r="M11" s="131" t="s">
        <v>1455</v>
      </c>
      <c r="N11" s="131" t="s">
        <v>1526</v>
      </c>
      <c r="O11" s="127">
        <v>44361</v>
      </c>
      <c r="P11" s="127">
        <v>44365</v>
      </c>
      <c r="Q11" s="127">
        <v>44353</v>
      </c>
      <c r="R11" s="127">
        <v>44359</v>
      </c>
      <c r="S11" s="128">
        <v>24</v>
      </c>
      <c r="T11" s="128">
        <v>4</v>
      </c>
      <c r="U11" s="128">
        <v>0</v>
      </c>
      <c r="V11" s="129">
        <v>0</v>
      </c>
      <c r="W11" s="128">
        <v>0</v>
      </c>
      <c r="X11" s="130">
        <v>0.2</v>
      </c>
      <c r="Y11" s="130">
        <v>0</v>
      </c>
      <c r="Z11" s="130">
        <v>0.5</v>
      </c>
      <c r="AC11" s="129">
        <v>0</v>
      </c>
    </row>
    <row r="12" spans="1:30">
      <c r="A12" s="131" t="s">
        <v>1088</v>
      </c>
      <c r="B12" s="131" t="s">
        <v>1085</v>
      </c>
      <c r="C12" s="131" t="s">
        <v>1007</v>
      </c>
      <c r="D12" s="131" t="s">
        <v>1084</v>
      </c>
      <c r="E12" s="131" t="s">
        <v>1085</v>
      </c>
      <c r="M12" s="131" t="s">
        <v>1455</v>
      </c>
      <c r="N12" s="131" t="s">
        <v>1526</v>
      </c>
      <c r="O12" s="127">
        <v>44361</v>
      </c>
      <c r="P12" s="127">
        <v>44365</v>
      </c>
      <c r="Q12" s="127">
        <v>44360</v>
      </c>
      <c r="R12" s="127">
        <v>44366</v>
      </c>
      <c r="S12" s="128">
        <v>25</v>
      </c>
      <c r="T12" s="128">
        <v>5</v>
      </c>
      <c r="U12" s="128">
        <v>1</v>
      </c>
      <c r="V12" s="129">
        <v>0</v>
      </c>
      <c r="W12" s="128">
        <v>0</v>
      </c>
      <c r="X12" s="130">
        <v>0.2</v>
      </c>
      <c r="Y12" s="130">
        <v>0</v>
      </c>
      <c r="Z12" s="130">
        <v>0.5</v>
      </c>
      <c r="AC12" s="129">
        <v>0</v>
      </c>
    </row>
    <row r="13" spans="1:30">
      <c r="A13" s="131" t="s">
        <v>1088</v>
      </c>
      <c r="B13" s="131" t="s">
        <v>1106</v>
      </c>
      <c r="C13" s="131" t="s">
        <v>1007</v>
      </c>
      <c r="D13" s="131" t="s">
        <v>1084</v>
      </c>
      <c r="E13" s="131" t="s">
        <v>1106</v>
      </c>
      <c r="M13" s="131" t="s">
        <v>1456</v>
      </c>
      <c r="N13" s="131" t="s">
        <v>1526</v>
      </c>
      <c r="O13" s="127">
        <v>44393</v>
      </c>
      <c r="P13" s="127">
        <v>44393</v>
      </c>
      <c r="Q13" s="127">
        <v>44388</v>
      </c>
      <c r="R13" s="127">
        <v>44394</v>
      </c>
      <c r="S13" s="128">
        <v>29</v>
      </c>
      <c r="T13" s="128">
        <v>9</v>
      </c>
      <c r="U13" s="128">
        <v>0.2</v>
      </c>
      <c r="V13" s="129">
        <v>0</v>
      </c>
      <c r="W13" s="128">
        <v>0</v>
      </c>
      <c r="X13" s="130">
        <v>0.2</v>
      </c>
      <c r="Y13" s="130">
        <v>0</v>
      </c>
      <c r="Z13" s="130">
        <v>0</v>
      </c>
      <c r="AC13" s="129">
        <v>0</v>
      </c>
    </row>
    <row r="14" spans="1:30">
      <c r="A14" s="131" t="s">
        <v>1088</v>
      </c>
      <c r="B14" s="131" t="s">
        <v>1457</v>
      </c>
      <c r="C14" s="131" t="s">
        <v>1007</v>
      </c>
      <c r="D14" s="131" t="s">
        <v>1084</v>
      </c>
      <c r="E14" s="131" t="s">
        <v>1457</v>
      </c>
      <c r="M14" s="131" t="s">
        <v>1458</v>
      </c>
      <c r="N14" s="131" t="s">
        <v>1526</v>
      </c>
      <c r="O14" s="127">
        <v>44429</v>
      </c>
      <c r="P14" s="127">
        <v>44454</v>
      </c>
      <c r="Q14" s="127">
        <v>44423</v>
      </c>
      <c r="R14" s="127">
        <v>44429</v>
      </c>
      <c r="S14" s="128">
        <v>34</v>
      </c>
      <c r="T14" s="128">
        <v>14</v>
      </c>
      <c r="U14" s="128">
        <v>0</v>
      </c>
      <c r="V14" s="129">
        <v>0</v>
      </c>
      <c r="W14" s="128">
        <v>0</v>
      </c>
      <c r="X14" s="130">
        <v>0.2</v>
      </c>
      <c r="Y14" s="130">
        <v>0</v>
      </c>
      <c r="Z14" s="130">
        <v>0</v>
      </c>
      <c r="AC14" s="129">
        <v>0</v>
      </c>
    </row>
    <row r="15" spans="1:30">
      <c r="A15" s="131" t="s">
        <v>1088</v>
      </c>
      <c r="B15" s="131" t="s">
        <v>1457</v>
      </c>
      <c r="C15" s="131" t="s">
        <v>1007</v>
      </c>
      <c r="D15" s="131" t="s">
        <v>1084</v>
      </c>
      <c r="E15" s="131" t="s">
        <v>1457</v>
      </c>
      <c r="M15" s="131" t="s">
        <v>1458</v>
      </c>
      <c r="N15" s="131" t="s">
        <v>1526</v>
      </c>
      <c r="O15" s="127">
        <v>44429</v>
      </c>
      <c r="P15" s="127">
        <v>44454</v>
      </c>
      <c r="Q15" s="127">
        <v>44430</v>
      </c>
      <c r="R15" s="127">
        <v>44436</v>
      </c>
      <c r="S15" s="128">
        <v>35</v>
      </c>
      <c r="T15" s="128">
        <v>15</v>
      </c>
      <c r="U15" s="128">
        <v>1</v>
      </c>
      <c r="V15" s="129">
        <v>0</v>
      </c>
      <c r="W15" s="128">
        <v>0</v>
      </c>
      <c r="X15" s="130">
        <v>0.2</v>
      </c>
      <c r="Y15" s="130">
        <v>0</v>
      </c>
      <c r="Z15" s="130">
        <v>0</v>
      </c>
      <c r="AC15" s="129">
        <v>0</v>
      </c>
    </row>
    <row r="16" spans="1:30">
      <c r="A16" s="131" t="s">
        <v>1088</v>
      </c>
      <c r="B16" s="131" t="s">
        <v>1457</v>
      </c>
      <c r="C16" s="131" t="s">
        <v>1007</v>
      </c>
      <c r="D16" s="131" t="s">
        <v>1084</v>
      </c>
      <c r="E16" s="131" t="s">
        <v>1457</v>
      </c>
      <c r="M16" s="131" t="s">
        <v>1458</v>
      </c>
      <c r="N16" s="131" t="s">
        <v>1526</v>
      </c>
      <c r="O16" s="127">
        <v>44429</v>
      </c>
      <c r="P16" s="127">
        <v>44454</v>
      </c>
      <c r="Q16" s="127">
        <v>44437</v>
      </c>
      <c r="R16" s="127">
        <v>44443</v>
      </c>
      <c r="S16" s="128">
        <v>36</v>
      </c>
      <c r="T16" s="128">
        <v>16</v>
      </c>
      <c r="U16" s="128">
        <v>1</v>
      </c>
      <c r="V16" s="129">
        <v>0</v>
      </c>
      <c r="W16" s="128">
        <v>0</v>
      </c>
      <c r="X16" s="130">
        <v>0.2</v>
      </c>
      <c r="Y16" s="130">
        <v>0</v>
      </c>
      <c r="Z16" s="130">
        <v>0</v>
      </c>
      <c r="AC16" s="129">
        <v>0</v>
      </c>
    </row>
    <row r="17" spans="1:29">
      <c r="A17" s="131" t="s">
        <v>1088</v>
      </c>
      <c r="B17" s="131" t="s">
        <v>1457</v>
      </c>
      <c r="C17" s="131" t="s">
        <v>1007</v>
      </c>
      <c r="D17" s="131" t="s">
        <v>1084</v>
      </c>
      <c r="E17" s="131" t="s">
        <v>1457</v>
      </c>
      <c r="M17" s="131" t="s">
        <v>1458</v>
      </c>
      <c r="N17" s="131" t="s">
        <v>1526</v>
      </c>
      <c r="O17" s="127">
        <v>44429</v>
      </c>
      <c r="P17" s="127">
        <v>44454</v>
      </c>
      <c r="Q17" s="127">
        <v>44444</v>
      </c>
      <c r="R17" s="127">
        <v>44450</v>
      </c>
      <c r="S17" s="128">
        <v>37</v>
      </c>
      <c r="T17" s="128">
        <v>17</v>
      </c>
      <c r="U17" s="128">
        <v>1</v>
      </c>
      <c r="V17" s="129">
        <v>0</v>
      </c>
      <c r="W17" s="128">
        <v>0</v>
      </c>
      <c r="X17" s="130">
        <v>0.2</v>
      </c>
      <c r="Y17" s="130">
        <v>0</v>
      </c>
      <c r="Z17" s="130">
        <v>0</v>
      </c>
      <c r="AC17" s="129">
        <v>0</v>
      </c>
    </row>
    <row r="18" spans="1:29">
      <c r="A18" s="131" t="s">
        <v>1088</v>
      </c>
      <c r="B18" s="131" t="s">
        <v>1457</v>
      </c>
      <c r="C18" s="131" t="s">
        <v>1007</v>
      </c>
      <c r="D18" s="131" t="s">
        <v>1084</v>
      </c>
      <c r="E18" s="131" t="s">
        <v>1457</v>
      </c>
      <c r="M18" s="131" t="s">
        <v>1458</v>
      </c>
      <c r="N18" s="131" t="s">
        <v>1526</v>
      </c>
      <c r="O18" s="127">
        <v>44429</v>
      </c>
      <c r="P18" s="127">
        <v>44454</v>
      </c>
      <c r="Q18" s="127">
        <v>44451</v>
      </c>
      <c r="R18" s="127">
        <v>44457</v>
      </c>
      <c r="S18" s="128">
        <v>38</v>
      </c>
      <c r="T18" s="128">
        <v>18</v>
      </c>
      <c r="U18" s="128">
        <v>0.60000000000000009</v>
      </c>
      <c r="V18" s="129">
        <v>0</v>
      </c>
      <c r="W18" s="128">
        <v>0</v>
      </c>
      <c r="X18" s="130">
        <v>0.2</v>
      </c>
      <c r="Y18" s="130">
        <v>0</v>
      </c>
      <c r="Z18" s="130">
        <v>0</v>
      </c>
      <c r="AC18" s="129">
        <v>0</v>
      </c>
    </row>
    <row r="19" spans="1:29">
      <c r="A19" s="131" t="s">
        <v>1088</v>
      </c>
      <c r="B19" s="131" t="s">
        <v>1459</v>
      </c>
      <c r="C19" s="131" t="s">
        <v>1007</v>
      </c>
      <c r="D19" s="131" t="s">
        <v>1084</v>
      </c>
      <c r="E19" s="131" t="s">
        <v>1459</v>
      </c>
      <c r="M19" s="131" t="s">
        <v>1460</v>
      </c>
      <c r="N19" s="131" t="s">
        <v>1441</v>
      </c>
      <c r="O19" s="127">
        <v>44358</v>
      </c>
      <c r="P19" s="127">
        <v>44358</v>
      </c>
      <c r="Q19" s="127">
        <v>44353</v>
      </c>
      <c r="R19" s="127">
        <v>44359</v>
      </c>
      <c r="S19" s="128">
        <v>24</v>
      </c>
      <c r="T19" s="128">
        <v>4</v>
      </c>
      <c r="U19" s="128">
        <v>1</v>
      </c>
      <c r="V19" s="129">
        <v>0</v>
      </c>
      <c r="W19" s="128">
        <v>0</v>
      </c>
      <c r="X19" s="130">
        <v>1</v>
      </c>
      <c r="Y19" s="130">
        <v>0</v>
      </c>
      <c r="Z19" s="130">
        <v>0</v>
      </c>
      <c r="AC19" s="129">
        <v>0</v>
      </c>
    </row>
    <row r="20" spans="1:29">
      <c r="A20" s="131" t="s">
        <v>1088</v>
      </c>
      <c r="B20" s="131" t="s">
        <v>1087</v>
      </c>
      <c r="C20" s="131" t="s">
        <v>1007</v>
      </c>
      <c r="D20" s="131" t="s">
        <v>1086</v>
      </c>
      <c r="E20" s="131" t="s">
        <v>1087</v>
      </c>
      <c r="M20" s="131" t="s">
        <v>1461</v>
      </c>
      <c r="N20" s="131" t="s">
        <v>1318</v>
      </c>
      <c r="O20" s="127">
        <v>44462</v>
      </c>
      <c r="P20" s="127">
        <v>44466</v>
      </c>
      <c r="Q20" s="127">
        <v>44458</v>
      </c>
      <c r="R20" s="127">
        <v>44464</v>
      </c>
      <c r="S20" s="128">
        <v>39</v>
      </c>
      <c r="T20" s="128">
        <v>19</v>
      </c>
      <c r="U20" s="128">
        <v>2</v>
      </c>
      <c r="V20" s="129">
        <v>0</v>
      </c>
      <c r="W20" s="128">
        <v>0</v>
      </c>
      <c r="X20" s="130">
        <v>1</v>
      </c>
      <c r="Y20" s="130">
        <v>0</v>
      </c>
      <c r="Z20" s="130">
        <v>0</v>
      </c>
      <c r="AC20" s="129">
        <v>0</v>
      </c>
    </row>
    <row r="21" spans="1:29">
      <c r="A21" s="131" t="s">
        <v>1088</v>
      </c>
      <c r="B21" s="131" t="s">
        <v>1087</v>
      </c>
      <c r="C21" s="131" t="s">
        <v>1007</v>
      </c>
      <c r="D21" s="131" t="s">
        <v>1086</v>
      </c>
      <c r="E21" s="131" t="s">
        <v>1087</v>
      </c>
      <c r="M21" s="131" t="s">
        <v>1461</v>
      </c>
      <c r="N21" s="131" t="s">
        <v>1317</v>
      </c>
      <c r="O21" s="127">
        <v>44462</v>
      </c>
      <c r="P21" s="127">
        <v>44466</v>
      </c>
      <c r="Q21" s="127">
        <v>44458</v>
      </c>
      <c r="R21" s="127">
        <v>44464</v>
      </c>
      <c r="S21" s="128">
        <v>39</v>
      </c>
      <c r="T21" s="128">
        <v>19</v>
      </c>
      <c r="U21" s="128">
        <v>2</v>
      </c>
      <c r="V21" s="129">
        <v>0</v>
      </c>
      <c r="W21" s="128">
        <v>0</v>
      </c>
      <c r="X21" s="130">
        <v>1</v>
      </c>
      <c r="Y21" s="130">
        <v>0</v>
      </c>
      <c r="Z21" s="130">
        <v>0</v>
      </c>
      <c r="AC21" s="129">
        <v>0</v>
      </c>
    </row>
    <row r="22" spans="1:29">
      <c r="A22" s="131" t="s">
        <v>1088</v>
      </c>
      <c r="B22" s="131" t="s">
        <v>1087</v>
      </c>
      <c r="C22" s="131" t="s">
        <v>1007</v>
      </c>
      <c r="D22" s="131" t="s">
        <v>1086</v>
      </c>
      <c r="E22" s="131" t="s">
        <v>1087</v>
      </c>
      <c r="M22" s="131" t="s">
        <v>1461</v>
      </c>
      <c r="N22" s="131" t="s">
        <v>1318</v>
      </c>
      <c r="O22" s="127">
        <v>44462</v>
      </c>
      <c r="P22" s="127">
        <v>44466</v>
      </c>
      <c r="Q22" s="127">
        <v>44465</v>
      </c>
      <c r="R22" s="127">
        <v>44471</v>
      </c>
      <c r="S22" s="128">
        <v>40</v>
      </c>
      <c r="T22" s="128">
        <v>20</v>
      </c>
      <c r="U22" s="128">
        <v>1</v>
      </c>
      <c r="V22" s="129">
        <v>0</v>
      </c>
      <c r="W22" s="128">
        <v>0</v>
      </c>
      <c r="X22" s="130">
        <v>1</v>
      </c>
      <c r="Y22" s="130">
        <v>0</v>
      </c>
      <c r="Z22" s="130">
        <v>0</v>
      </c>
      <c r="AC22" s="129">
        <v>0</v>
      </c>
    </row>
    <row r="23" spans="1:29">
      <c r="A23" s="131" t="s">
        <v>1088</v>
      </c>
      <c r="B23" s="131" t="s">
        <v>1087</v>
      </c>
      <c r="C23" s="131" t="s">
        <v>1007</v>
      </c>
      <c r="D23" s="131" t="s">
        <v>1086</v>
      </c>
      <c r="E23" s="131" t="s">
        <v>1087</v>
      </c>
      <c r="M23" s="131" t="s">
        <v>1461</v>
      </c>
      <c r="N23" s="131" t="s">
        <v>1317</v>
      </c>
      <c r="O23" s="127">
        <v>44462</v>
      </c>
      <c r="P23" s="127">
        <v>44466</v>
      </c>
      <c r="Q23" s="127">
        <v>44465</v>
      </c>
      <c r="R23" s="127">
        <v>44471</v>
      </c>
      <c r="S23" s="128">
        <v>40</v>
      </c>
      <c r="T23" s="128">
        <v>20</v>
      </c>
      <c r="U23" s="128">
        <v>1</v>
      </c>
      <c r="V23" s="129">
        <v>0</v>
      </c>
      <c r="W23" s="128">
        <v>0</v>
      </c>
      <c r="X23" s="130">
        <v>1</v>
      </c>
      <c r="Y23" s="130">
        <v>0</v>
      </c>
      <c r="Z23" s="130">
        <v>0</v>
      </c>
      <c r="AC23" s="129">
        <v>0</v>
      </c>
    </row>
    <row r="24" spans="1:29">
      <c r="A24" s="131" t="s">
        <v>1088</v>
      </c>
      <c r="B24" s="131" t="s">
        <v>1107</v>
      </c>
      <c r="C24" s="131" t="s">
        <v>1007</v>
      </c>
      <c r="D24" s="131" t="s">
        <v>1086</v>
      </c>
      <c r="E24" s="131" t="s">
        <v>1107</v>
      </c>
      <c r="M24" s="131" t="s">
        <v>1462</v>
      </c>
      <c r="N24" s="131" t="s">
        <v>729</v>
      </c>
      <c r="O24" s="127">
        <v>44469</v>
      </c>
      <c r="P24" s="127">
        <v>44487</v>
      </c>
      <c r="Q24" s="127">
        <v>44465</v>
      </c>
      <c r="R24" s="127">
        <v>44471</v>
      </c>
      <c r="S24" s="128">
        <v>40</v>
      </c>
      <c r="T24" s="128">
        <v>20</v>
      </c>
      <c r="U24" s="128">
        <v>2</v>
      </c>
      <c r="V24" s="129">
        <v>0</v>
      </c>
      <c r="W24" s="128">
        <v>0</v>
      </c>
      <c r="X24" s="130">
        <v>1</v>
      </c>
      <c r="Y24" s="130">
        <v>0</v>
      </c>
      <c r="Z24" s="130">
        <v>0</v>
      </c>
      <c r="AC24" s="129">
        <v>0</v>
      </c>
    </row>
    <row r="25" spans="1:29">
      <c r="A25" s="131" t="s">
        <v>1088</v>
      </c>
      <c r="B25" s="131" t="s">
        <v>1107</v>
      </c>
      <c r="C25" s="131" t="s">
        <v>1007</v>
      </c>
      <c r="D25" s="131" t="s">
        <v>1086</v>
      </c>
      <c r="E25" s="131" t="s">
        <v>1107</v>
      </c>
      <c r="M25" s="131" t="s">
        <v>1462</v>
      </c>
      <c r="N25" s="131" t="s">
        <v>729</v>
      </c>
      <c r="O25" s="127">
        <v>44469</v>
      </c>
      <c r="P25" s="127">
        <v>44487</v>
      </c>
      <c r="Q25" s="127">
        <v>44472</v>
      </c>
      <c r="R25" s="127">
        <v>44478</v>
      </c>
      <c r="S25" s="128">
        <v>41</v>
      </c>
      <c r="T25" s="128">
        <v>21</v>
      </c>
      <c r="U25" s="128">
        <v>5</v>
      </c>
      <c r="V25" s="129">
        <v>0</v>
      </c>
      <c r="W25" s="128">
        <v>0</v>
      </c>
      <c r="X25" s="130">
        <v>1</v>
      </c>
      <c r="Y25" s="130">
        <v>0</v>
      </c>
      <c r="Z25" s="130">
        <v>0</v>
      </c>
      <c r="AC25" s="129">
        <v>0</v>
      </c>
    </row>
    <row r="26" spans="1:29">
      <c r="A26" s="131" t="s">
        <v>1088</v>
      </c>
      <c r="B26" s="131" t="s">
        <v>1107</v>
      </c>
      <c r="C26" s="131" t="s">
        <v>1007</v>
      </c>
      <c r="D26" s="131" t="s">
        <v>1086</v>
      </c>
      <c r="E26" s="131" t="s">
        <v>1107</v>
      </c>
      <c r="M26" s="131" t="s">
        <v>1462</v>
      </c>
      <c r="N26" s="131" t="s">
        <v>729</v>
      </c>
      <c r="O26" s="127">
        <v>44469</v>
      </c>
      <c r="P26" s="127">
        <v>44487</v>
      </c>
      <c r="Q26" s="127">
        <v>44479</v>
      </c>
      <c r="R26" s="127">
        <v>44485</v>
      </c>
      <c r="S26" s="128">
        <v>42</v>
      </c>
      <c r="T26" s="128">
        <v>22</v>
      </c>
      <c r="U26" s="128">
        <v>5</v>
      </c>
      <c r="V26" s="129">
        <v>0</v>
      </c>
      <c r="W26" s="128">
        <v>0</v>
      </c>
      <c r="X26" s="130">
        <v>1</v>
      </c>
      <c r="Y26" s="130">
        <v>0</v>
      </c>
      <c r="Z26" s="130">
        <v>0</v>
      </c>
      <c r="AC26" s="129">
        <v>0</v>
      </c>
    </row>
    <row r="27" spans="1:29">
      <c r="A27" s="131" t="s">
        <v>1088</v>
      </c>
      <c r="B27" s="131" t="s">
        <v>1107</v>
      </c>
      <c r="C27" s="131" t="s">
        <v>1007</v>
      </c>
      <c r="D27" s="131" t="s">
        <v>1086</v>
      </c>
      <c r="E27" s="131" t="s">
        <v>1107</v>
      </c>
      <c r="M27" s="131" t="s">
        <v>1462</v>
      </c>
      <c r="N27" s="131" t="s">
        <v>729</v>
      </c>
      <c r="O27" s="127">
        <v>44469</v>
      </c>
      <c r="P27" s="127">
        <v>44487</v>
      </c>
      <c r="Q27" s="127">
        <v>44486</v>
      </c>
      <c r="R27" s="127">
        <v>44492</v>
      </c>
      <c r="S27" s="128">
        <v>43</v>
      </c>
      <c r="T27" s="128">
        <v>23</v>
      </c>
      <c r="U27" s="128">
        <v>1</v>
      </c>
      <c r="V27" s="129">
        <v>0</v>
      </c>
      <c r="W27" s="128">
        <v>0</v>
      </c>
      <c r="X27" s="130">
        <v>1</v>
      </c>
      <c r="Y27" s="130">
        <v>0</v>
      </c>
      <c r="Z27" s="130">
        <v>0</v>
      </c>
      <c r="AC27" s="129">
        <v>0</v>
      </c>
    </row>
    <row r="28" spans="1:29">
      <c r="A28" s="131" t="s">
        <v>1088</v>
      </c>
      <c r="B28" s="131" t="s">
        <v>1463</v>
      </c>
      <c r="C28" s="131" t="s">
        <v>1007</v>
      </c>
      <c r="D28" s="131" t="s">
        <v>1086</v>
      </c>
      <c r="E28" s="131" t="s">
        <v>1463</v>
      </c>
      <c r="M28" s="131" t="s">
        <v>1464</v>
      </c>
      <c r="N28" s="131" t="s">
        <v>1349</v>
      </c>
      <c r="O28" s="127">
        <v>44487</v>
      </c>
      <c r="P28" s="127">
        <v>44487</v>
      </c>
      <c r="Q28" s="127">
        <v>44486</v>
      </c>
      <c r="R28" s="127">
        <v>44492</v>
      </c>
      <c r="S28" s="128">
        <v>43</v>
      </c>
      <c r="T28" s="128">
        <v>23</v>
      </c>
      <c r="U28" s="128">
        <v>1</v>
      </c>
      <c r="V28" s="129">
        <v>0</v>
      </c>
      <c r="W28" s="128">
        <v>0</v>
      </c>
      <c r="X28" s="130">
        <v>1</v>
      </c>
      <c r="Y28" s="130">
        <v>0</v>
      </c>
      <c r="Z28" s="130">
        <v>0</v>
      </c>
      <c r="AC28" s="129">
        <v>0</v>
      </c>
    </row>
    <row r="29" spans="1:29">
      <c r="A29" s="131" t="s">
        <v>1088</v>
      </c>
      <c r="B29" s="131" t="s">
        <v>1463</v>
      </c>
      <c r="C29" s="131" t="s">
        <v>1007</v>
      </c>
      <c r="D29" s="131" t="s">
        <v>1086</v>
      </c>
      <c r="E29" s="131" t="s">
        <v>1463</v>
      </c>
      <c r="M29" s="131" t="s">
        <v>1464</v>
      </c>
      <c r="N29" s="131" t="s">
        <v>1350</v>
      </c>
      <c r="O29" s="127">
        <v>44487</v>
      </c>
      <c r="P29" s="127">
        <v>44487</v>
      </c>
      <c r="Q29" s="127">
        <v>44486</v>
      </c>
      <c r="R29" s="127">
        <v>44492</v>
      </c>
      <c r="S29" s="128">
        <v>43</v>
      </c>
      <c r="T29" s="128">
        <v>23</v>
      </c>
      <c r="U29" s="128">
        <v>1</v>
      </c>
      <c r="V29" s="129">
        <v>0</v>
      </c>
      <c r="W29" s="128">
        <v>0</v>
      </c>
      <c r="X29" s="130">
        <v>1</v>
      </c>
      <c r="Y29" s="130">
        <v>0</v>
      </c>
      <c r="Z29" s="130">
        <v>0</v>
      </c>
      <c r="AC29" s="129">
        <v>0</v>
      </c>
    </row>
    <row r="30" spans="1:29">
      <c r="A30" s="131" t="s">
        <v>1088</v>
      </c>
      <c r="B30" s="131" t="s">
        <v>1465</v>
      </c>
      <c r="C30" s="131" t="s">
        <v>1007</v>
      </c>
      <c r="D30" s="131" t="s">
        <v>1086</v>
      </c>
      <c r="E30" s="131" t="s">
        <v>1465</v>
      </c>
      <c r="M30" s="131" t="s">
        <v>1466</v>
      </c>
      <c r="N30" s="131" t="s">
        <v>1441</v>
      </c>
      <c r="O30" s="127">
        <v>44487</v>
      </c>
      <c r="P30" s="127">
        <v>44487</v>
      </c>
      <c r="Q30" s="127">
        <v>44486</v>
      </c>
      <c r="R30" s="127">
        <v>44492</v>
      </c>
      <c r="S30" s="128">
        <v>43</v>
      </c>
      <c r="T30" s="128">
        <v>23</v>
      </c>
      <c r="U30" s="128">
        <v>0</v>
      </c>
      <c r="V30" s="129">
        <v>0</v>
      </c>
      <c r="W30" s="128">
        <v>0</v>
      </c>
      <c r="X30" s="130">
        <v>0</v>
      </c>
      <c r="Y30" s="130">
        <v>0</v>
      </c>
      <c r="Z30" s="130">
        <v>0</v>
      </c>
      <c r="AC30" s="129">
        <v>0</v>
      </c>
    </row>
    <row r="31" spans="1:29">
      <c r="A31" s="131" t="s">
        <v>1088</v>
      </c>
      <c r="B31" s="131" t="s">
        <v>1467</v>
      </c>
      <c r="C31" s="131" t="s">
        <v>1071</v>
      </c>
      <c r="D31" s="131" t="s">
        <v>1519</v>
      </c>
      <c r="E31" s="131" t="s">
        <v>1467</v>
      </c>
      <c r="M31" s="131" t="s">
        <v>1468</v>
      </c>
      <c r="N31" s="131" t="s">
        <v>1441</v>
      </c>
      <c r="O31" s="127">
        <v>44340</v>
      </c>
      <c r="P31" s="127">
        <v>44358</v>
      </c>
      <c r="Q31" s="127">
        <v>44336</v>
      </c>
      <c r="R31" s="127">
        <v>44338</v>
      </c>
      <c r="S31" s="128">
        <v>21</v>
      </c>
      <c r="T31" s="128">
        <v>1</v>
      </c>
      <c r="U31" s="128">
        <v>0</v>
      </c>
      <c r="V31" s="129">
        <v>0</v>
      </c>
      <c r="W31" s="128">
        <v>0</v>
      </c>
      <c r="X31" s="130">
        <v>1</v>
      </c>
      <c r="Y31" s="130">
        <v>0.46666666666666667</v>
      </c>
      <c r="Z31" s="130">
        <v>1</v>
      </c>
      <c r="AC31" s="129">
        <v>0</v>
      </c>
    </row>
    <row r="32" spans="1:29">
      <c r="A32" s="131" t="s">
        <v>1088</v>
      </c>
      <c r="B32" s="131" t="s">
        <v>1467</v>
      </c>
      <c r="C32" s="131" t="s">
        <v>1071</v>
      </c>
      <c r="D32" s="131" t="s">
        <v>1519</v>
      </c>
      <c r="E32" s="131" t="s">
        <v>1467</v>
      </c>
      <c r="M32" s="131" t="s">
        <v>1468</v>
      </c>
      <c r="N32" s="131" t="s">
        <v>1441</v>
      </c>
      <c r="O32" s="127">
        <v>44340</v>
      </c>
      <c r="P32" s="127">
        <v>44358</v>
      </c>
      <c r="Q32" s="127">
        <v>44339</v>
      </c>
      <c r="R32" s="127">
        <v>44345</v>
      </c>
      <c r="S32" s="128">
        <v>22</v>
      </c>
      <c r="T32" s="128">
        <v>2</v>
      </c>
      <c r="U32" s="128">
        <v>5</v>
      </c>
      <c r="V32" s="129">
        <v>5</v>
      </c>
      <c r="W32" s="128">
        <v>0</v>
      </c>
      <c r="X32" s="130">
        <v>1</v>
      </c>
      <c r="Y32" s="130">
        <v>0.46666666666666667</v>
      </c>
      <c r="Z32" s="130">
        <v>1</v>
      </c>
      <c r="AC32" s="129">
        <v>0</v>
      </c>
    </row>
    <row r="33" spans="1:29">
      <c r="A33" s="131" t="s">
        <v>1088</v>
      </c>
      <c r="B33" s="131" t="s">
        <v>1467</v>
      </c>
      <c r="C33" s="131" t="s">
        <v>1071</v>
      </c>
      <c r="D33" s="131" t="s">
        <v>1519</v>
      </c>
      <c r="E33" s="131" t="s">
        <v>1467</v>
      </c>
      <c r="M33" s="131" t="s">
        <v>1468</v>
      </c>
      <c r="N33" s="131" t="s">
        <v>1441</v>
      </c>
      <c r="O33" s="127">
        <v>44340</v>
      </c>
      <c r="P33" s="127">
        <v>44358</v>
      </c>
      <c r="Q33" s="127">
        <v>44346</v>
      </c>
      <c r="R33" s="127">
        <v>44352</v>
      </c>
      <c r="S33" s="128">
        <v>23</v>
      </c>
      <c r="T33" s="128">
        <v>3</v>
      </c>
      <c r="U33" s="128">
        <v>5</v>
      </c>
      <c r="V33" s="129">
        <v>2</v>
      </c>
      <c r="W33" s="128">
        <v>0</v>
      </c>
      <c r="X33" s="130">
        <v>1</v>
      </c>
      <c r="Y33" s="130">
        <v>0.46666666666666667</v>
      </c>
      <c r="Z33" s="130">
        <v>1</v>
      </c>
      <c r="AC33" s="129">
        <v>0</v>
      </c>
    </row>
    <row r="34" spans="1:29">
      <c r="A34" s="131" t="s">
        <v>1088</v>
      </c>
      <c r="B34" s="131" t="s">
        <v>1467</v>
      </c>
      <c r="C34" s="131" t="s">
        <v>1071</v>
      </c>
      <c r="D34" s="131" t="s">
        <v>1519</v>
      </c>
      <c r="E34" s="131" t="s">
        <v>1467</v>
      </c>
      <c r="M34" s="131" t="s">
        <v>1468</v>
      </c>
      <c r="N34" s="131" t="s">
        <v>1441</v>
      </c>
      <c r="O34" s="127">
        <v>44340</v>
      </c>
      <c r="P34" s="127">
        <v>44358</v>
      </c>
      <c r="Q34" s="127">
        <v>44353</v>
      </c>
      <c r="R34" s="127">
        <v>44359</v>
      </c>
      <c r="S34" s="128">
        <v>24</v>
      </c>
      <c r="T34" s="128">
        <v>4</v>
      </c>
      <c r="U34" s="128">
        <v>5</v>
      </c>
      <c r="V34" s="129">
        <v>0</v>
      </c>
      <c r="W34" s="128">
        <v>0</v>
      </c>
      <c r="X34" s="130">
        <v>1</v>
      </c>
      <c r="Y34" s="130">
        <v>0.46666666666666667</v>
      </c>
      <c r="Z34" s="130">
        <v>1</v>
      </c>
      <c r="AC34" s="129">
        <v>0</v>
      </c>
    </row>
    <row r="35" spans="1:29">
      <c r="A35" s="131" t="s">
        <v>1089</v>
      </c>
      <c r="B35" s="131" t="s">
        <v>1470</v>
      </c>
      <c r="C35" s="131" t="s">
        <v>1071</v>
      </c>
      <c r="D35" s="131" t="s">
        <v>1519</v>
      </c>
      <c r="E35" s="131" t="s">
        <v>1469</v>
      </c>
      <c r="F35" s="131" t="s">
        <v>1470</v>
      </c>
      <c r="M35" s="131" t="s">
        <v>1471</v>
      </c>
      <c r="N35" s="131" t="s">
        <v>1441</v>
      </c>
      <c r="O35" s="127">
        <v>44346</v>
      </c>
      <c r="P35" s="127">
        <v>44357</v>
      </c>
      <c r="Q35" s="127">
        <v>44336</v>
      </c>
      <c r="R35" s="127">
        <v>44338</v>
      </c>
      <c r="S35" s="128">
        <v>21</v>
      </c>
      <c r="T35" s="128">
        <v>1</v>
      </c>
      <c r="U35" s="128">
        <v>0</v>
      </c>
      <c r="V35" s="129">
        <v>0</v>
      </c>
      <c r="W35" s="128">
        <v>0</v>
      </c>
      <c r="X35" s="130">
        <v>1</v>
      </c>
      <c r="Y35" s="130">
        <v>0.22222222222222221</v>
      </c>
      <c r="Z35" s="130">
        <v>0.2</v>
      </c>
      <c r="AC35" s="129">
        <v>0</v>
      </c>
    </row>
    <row r="36" spans="1:29">
      <c r="A36" s="131" t="s">
        <v>1089</v>
      </c>
      <c r="B36" s="131" t="s">
        <v>1470</v>
      </c>
      <c r="C36" s="131" t="s">
        <v>1071</v>
      </c>
      <c r="D36" s="131" t="s">
        <v>1519</v>
      </c>
      <c r="E36" s="131" t="s">
        <v>1469</v>
      </c>
      <c r="F36" s="131" t="s">
        <v>1470</v>
      </c>
      <c r="M36" s="131" t="s">
        <v>1471</v>
      </c>
      <c r="N36" s="131" t="s">
        <v>1441</v>
      </c>
      <c r="O36" s="127">
        <v>44346</v>
      </c>
      <c r="P36" s="127">
        <v>44357</v>
      </c>
      <c r="Q36" s="127">
        <v>44339</v>
      </c>
      <c r="R36" s="127">
        <v>44345</v>
      </c>
      <c r="S36" s="128">
        <v>22</v>
      </c>
      <c r="T36" s="128">
        <v>2</v>
      </c>
      <c r="U36" s="128">
        <v>0</v>
      </c>
      <c r="V36" s="129">
        <v>0</v>
      </c>
      <c r="W36" s="128">
        <v>0</v>
      </c>
      <c r="X36" s="130">
        <v>1</v>
      </c>
      <c r="Y36" s="130">
        <v>0.22222222222222221</v>
      </c>
      <c r="Z36" s="130">
        <v>0.2</v>
      </c>
      <c r="AC36" s="129">
        <v>0</v>
      </c>
    </row>
    <row r="37" spans="1:29">
      <c r="A37" s="131" t="s">
        <v>1089</v>
      </c>
      <c r="B37" s="131" t="s">
        <v>1470</v>
      </c>
      <c r="C37" s="131" t="s">
        <v>1071</v>
      </c>
      <c r="D37" s="131" t="s">
        <v>1519</v>
      </c>
      <c r="E37" s="131" t="s">
        <v>1469</v>
      </c>
      <c r="F37" s="131" t="s">
        <v>1470</v>
      </c>
      <c r="M37" s="131" t="s">
        <v>1471</v>
      </c>
      <c r="N37" s="131" t="s">
        <v>1441</v>
      </c>
      <c r="O37" s="127">
        <v>44346</v>
      </c>
      <c r="P37" s="127">
        <v>44357</v>
      </c>
      <c r="Q37" s="127">
        <v>44346</v>
      </c>
      <c r="R37" s="127">
        <v>44352</v>
      </c>
      <c r="S37" s="128">
        <v>23</v>
      </c>
      <c r="T37" s="128">
        <v>3</v>
      </c>
      <c r="U37" s="128">
        <v>5</v>
      </c>
      <c r="V37" s="129">
        <v>2</v>
      </c>
      <c r="W37" s="128">
        <v>0</v>
      </c>
      <c r="X37" s="130">
        <v>1</v>
      </c>
      <c r="Y37" s="130">
        <v>0.22222222222222221</v>
      </c>
      <c r="Z37" s="130">
        <v>0.2</v>
      </c>
      <c r="AC37" s="129">
        <v>0</v>
      </c>
    </row>
    <row r="38" spans="1:29">
      <c r="A38" s="131" t="s">
        <v>1089</v>
      </c>
      <c r="B38" s="131" t="s">
        <v>1470</v>
      </c>
      <c r="C38" s="131" t="s">
        <v>1071</v>
      </c>
      <c r="D38" s="131" t="s">
        <v>1519</v>
      </c>
      <c r="E38" s="131" t="s">
        <v>1469</v>
      </c>
      <c r="F38" s="131" t="s">
        <v>1470</v>
      </c>
      <c r="M38" s="131" t="s">
        <v>1471</v>
      </c>
      <c r="N38" s="131" t="s">
        <v>1441</v>
      </c>
      <c r="O38" s="127">
        <v>44346</v>
      </c>
      <c r="P38" s="127">
        <v>44357</v>
      </c>
      <c r="Q38" s="127">
        <v>44353</v>
      </c>
      <c r="R38" s="127">
        <v>44359</v>
      </c>
      <c r="S38" s="128">
        <v>24</v>
      </c>
      <c r="T38" s="128">
        <v>4</v>
      </c>
      <c r="U38" s="128">
        <v>4</v>
      </c>
      <c r="V38" s="129">
        <v>0</v>
      </c>
      <c r="W38" s="128">
        <v>0</v>
      </c>
      <c r="X38" s="130">
        <v>1</v>
      </c>
      <c r="Y38" s="130">
        <v>0.22222222222222221</v>
      </c>
      <c r="Z38" s="130">
        <v>0.2</v>
      </c>
      <c r="AC38" s="129">
        <v>0</v>
      </c>
    </row>
    <row r="39" spans="1:29">
      <c r="A39" s="131" t="s">
        <v>1089</v>
      </c>
      <c r="B39" s="131" t="s">
        <v>1472</v>
      </c>
      <c r="C39" s="131" t="s">
        <v>1071</v>
      </c>
      <c r="D39" s="131" t="s">
        <v>1519</v>
      </c>
      <c r="E39" s="131" t="s">
        <v>1469</v>
      </c>
      <c r="F39" s="131" t="s">
        <v>1472</v>
      </c>
      <c r="M39" s="131" t="s">
        <v>1473</v>
      </c>
      <c r="N39" s="131" t="s">
        <v>1319</v>
      </c>
      <c r="O39" s="127">
        <v>44346</v>
      </c>
      <c r="P39" s="127">
        <v>44357</v>
      </c>
      <c r="Q39" s="127">
        <v>44336</v>
      </c>
      <c r="R39" s="127">
        <v>44338</v>
      </c>
      <c r="S39" s="128">
        <v>21</v>
      </c>
      <c r="T39" s="128">
        <v>1</v>
      </c>
      <c r="U39" s="128">
        <v>0</v>
      </c>
      <c r="V39" s="129">
        <v>0</v>
      </c>
      <c r="W39" s="128">
        <v>0</v>
      </c>
      <c r="X39" s="130">
        <v>1.2</v>
      </c>
      <c r="Y39" s="130">
        <v>0.22222222222222221</v>
      </c>
      <c r="Z39" s="130">
        <v>0.15</v>
      </c>
      <c r="AC39" s="129">
        <v>0</v>
      </c>
    </row>
    <row r="40" spans="1:29">
      <c r="A40" s="131" t="s">
        <v>1089</v>
      </c>
      <c r="B40" s="131" t="s">
        <v>1472</v>
      </c>
      <c r="C40" s="131" t="s">
        <v>1071</v>
      </c>
      <c r="D40" s="131" t="s">
        <v>1519</v>
      </c>
      <c r="E40" s="131" t="s">
        <v>1469</v>
      </c>
      <c r="F40" s="131" t="s">
        <v>1472</v>
      </c>
      <c r="M40" s="131" t="s">
        <v>1473</v>
      </c>
      <c r="N40" s="131" t="s">
        <v>1317</v>
      </c>
      <c r="O40" s="127">
        <v>44346</v>
      </c>
      <c r="P40" s="127">
        <v>44357</v>
      </c>
      <c r="Q40" s="127">
        <v>44336</v>
      </c>
      <c r="R40" s="127">
        <v>44338</v>
      </c>
      <c r="S40" s="128">
        <v>21</v>
      </c>
      <c r="T40" s="128">
        <v>1</v>
      </c>
      <c r="U40" s="128">
        <v>0</v>
      </c>
      <c r="V40" s="129">
        <v>0</v>
      </c>
      <c r="W40" s="128">
        <v>0</v>
      </c>
      <c r="X40" s="130">
        <v>0.5</v>
      </c>
      <c r="Y40" s="130">
        <v>0.22222222222222221</v>
      </c>
      <c r="Z40" s="130">
        <v>0.15</v>
      </c>
      <c r="AC40" s="129">
        <v>0</v>
      </c>
    </row>
    <row r="41" spans="1:29">
      <c r="A41" s="131" t="s">
        <v>1089</v>
      </c>
      <c r="B41" s="131" t="s">
        <v>1472</v>
      </c>
      <c r="C41" s="131" t="s">
        <v>1071</v>
      </c>
      <c r="D41" s="131" t="s">
        <v>1519</v>
      </c>
      <c r="E41" s="131" t="s">
        <v>1469</v>
      </c>
      <c r="F41" s="131" t="s">
        <v>1472</v>
      </c>
      <c r="M41" s="131" t="s">
        <v>1473</v>
      </c>
      <c r="N41" s="131" t="s">
        <v>1319</v>
      </c>
      <c r="O41" s="127">
        <v>44346</v>
      </c>
      <c r="P41" s="127">
        <v>44357</v>
      </c>
      <c r="Q41" s="127">
        <v>44339</v>
      </c>
      <c r="R41" s="127">
        <v>44345</v>
      </c>
      <c r="S41" s="128">
        <v>22</v>
      </c>
      <c r="T41" s="128">
        <v>2</v>
      </c>
      <c r="U41" s="128">
        <v>0</v>
      </c>
      <c r="V41" s="129">
        <v>0</v>
      </c>
      <c r="W41" s="128">
        <v>0</v>
      </c>
      <c r="X41" s="130">
        <v>1.2</v>
      </c>
      <c r="Y41" s="130">
        <v>0.22222222222222221</v>
      </c>
      <c r="Z41" s="130">
        <v>0.15</v>
      </c>
      <c r="AC41" s="129">
        <v>0</v>
      </c>
    </row>
    <row r="42" spans="1:29">
      <c r="A42" s="131" t="s">
        <v>1089</v>
      </c>
      <c r="B42" s="131" t="s">
        <v>1472</v>
      </c>
      <c r="C42" s="131" t="s">
        <v>1071</v>
      </c>
      <c r="D42" s="131" t="s">
        <v>1519</v>
      </c>
      <c r="E42" s="131" t="s">
        <v>1469</v>
      </c>
      <c r="F42" s="131" t="s">
        <v>1472</v>
      </c>
      <c r="M42" s="131" t="s">
        <v>1473</v>
      </c>
      <c r="N42" s="131" t="s">
        <v>1317</v>
      </c>
      <c r="O42" s="127">
        <v>44346</v>
      </c>
      <c r="P42" s="127">
        <v>44357</v>
      </c>
      <c r="Q42" s="127">
        <v>44339</v>
      </c>
      <c r="R42" s="127">
        <v>44345</v>
      </c>
      <c r="S42" s="128">
        <v>22</v>
      </c>
      <c r="T42" s="128">
        <v>2</v>
      </c>
      <c r="U42" s="128">
        <v>0</v>
      </c>
      <c r="V42" s="129">
        <v>0</v>
      </c>
      <c r="W42" s="128">
        <v>0</v>
      </c>
      <c r="X42" s="130">
        <v>0.5</v>
      </c>
      <c r="Y42" s="130">
        <v>0.22222222222222221</v>
      </c>
      <c r="Z42" s="130">
        <v>0.15</v>
      </c>
      <c r="AC42" s="129">
        <v>0</v>
      </c>
    </row>
    <row r="43" spans="1:29">
      <c r="A43" s="131" t="s">
        <v>1089</v>
      </c>
      <c r="B43" s="131" t="s">
        <v>1472</v>
      </c>
      <c r="C43" s="131" t="s">
        <v>1071</v>
      </c>
      <c r="D43" s="131" t="s">
        <v>1519</v>
      </c>
      <c r="E43" s="131" t="s">
        <v>1469</v>
      </c>
      <c r="F43" s="131" t="s">
        <v>1472</v>
      </c>
      <c r="M43" s="131" t="s">
        <v>1473</v>
      </c>
      <c r="N43" s="131" t="s">
        <v>1319</v>
      </c>
      <c r="O43" s="127">
        <v>44346</v>
      </c>
      <c r="P43" s="127">
        <v>44357</v>
      </c>
      <c r="Q43" s="127">
        <v>44346</v>
      </c>
      <c r="R43" s="127">
        <v>44352</v>
      </c>
      <c r="S43" s="128">
        <v>23</v>
      </c>
      <c r="T43" s="128">
        <v>3</v>
      </c>
      <c r="U43" s="128">
        <v>6</v>
      </c>
      <c r="V43" s="129">
        <v>2.4</v>
      </c>
      <c r="W43" s="128">
        <v>0</v>
      </c>
      <c r="X43" s="130">
        <v>1.2</v>
      </c>
      <c r="Y43" s="130">
        <v>0.22222222222222221</v>
      </c>
      <c r="Z43" s="130">
        <v>0.15</v>
      </c>
      <c r="AC43" s="129">
        <v>0</v>
      </c>
    </row>
    <row r="44" spans="1:29">
      <c r="A44" s="131" t="s">
        <v>1089</v>
      </c>
      <c r="B44" s="131" t="s">
        <v>1472</v>
      </c>
      <c r="C44" s="131" t="s">
        <v>1071</v>
      </c>
      <c r="D44" s="131" t="s">
        <v>1519</v>
      </c>
      <c r="E44" s="131" t="s">
        <v>1469</v>
      </c>
      <c r="F44" s="131" t="s">
        <v>1472</v>
      </c>
      <c r="M44" s="131" t="s">
        <v>1473</v>
      </c>
      <c r="N44" s="131" t="s">
        <v>1317</v>
      </c>
      <c r="O44" s="127">
        <v>44346</v>
      </c>
      <c r="P44" s="127">
        <v>44357</v>
      </c>
      <c r="Q44" s="127">
        <v>44346</v>
      </c>
      <c r="R44" s="127">
        <v>44352</v>
      </c>
      <c r="S44" s="128">
        <v>23</v>
      </c>
      <c r="T44" s="128">
        <v>3</v>
      </c>
      <c r="U44" s="128">
        <v>2.5</v>
      </c>
      <c r="V44" s="129">
        <v>1</v>
      </c>
      <c r="W44" s="128">
        <v>0</v>
      </c>
      <c r="X44" s="130">
        <v>0.5</v>
      </c>
      <c r="Y44" s="130">
        <v>0.22222222222222221</v>
      </c>
      <c r="Z44" s="130">
        <v>0.15</v>
      </c>
      <c r="AC44" s="129">
        <v>0</v>
      </c>
    </row>
    <row r="45" spans="1:29">
      <c r="A45" s="131" t="s">
        <v>1089</v>
      </c>
      <c r="B45" s="131" t="s">
        <v>1472</v>
      </c>
      <c r="C45" s="131" t="s">
        <v>1071</v>
      </c>
      <c r="D45" s="131" t="s">
        <v>1519</v>
      </c>
      <c r="E45" s="131" t="s">
        <v>1469</v>
      </c>
      <c r="F45" s="131" t="s">
        <v>1472</v>
      </c>
      <c r="M45" s="131" t="s">
        <v>1473</v>
      </c>
      <c r="N45" s="131" t="s">
        <v>1319</v>
      </c>
      <c r="O45" s="127">
        <v>44346</v>
      </c>
      <c r="P45" s="127">
        <v>44357</v>
      </c>
      <c r="Q45" s="127">
        <v>44353</v>
      </c>
      <c r="R45" s="127">
        <v>44359</v>
      </c>
      <c r="S45" s="128">
        <v>24</v>
      </c>
      <c r="T45" s="128">
        <v>4</v>
      </c>
      <c r="U45" s="128">
        <v>4.8</v>
      </c>
      <c r="V45" s="129">
        <v>0</v>
      </c>
      <c r="W45" s="128">
        <v>0</v>
      </c>
      <c r="X45" s="130">
        <v>1.2</v>
      </c>
      <c r="Y45" s="130">
        <v>0.22222222222222221</v>
      </c>
      <c r="Z45" s="130">
        <v>0.15</v>
      </c>
      <c r="AC45" s="129">
        <v>0</v>
      </c>
    </row>
    <row r="46" spans="1:29">
      <c r="A46" s="131" t="s">
        <v>1089</v>
      </c>
      <c r="B46" s="131" t="s">
        <v>1472</v>
      </c>
      <c r="C46" s="131" t="s">
        <v>1071</v>
      </c>
      <c r="D46" s="131" t="s">
        <v>1519</v>
      </c>
      <c r="E46" s="131" t="s">
        <v>1469</v>
      </c>
      <c r="F46" s="131" t="s">
        <v>1472</v>
      </c>
      <c r="M46" s="131" t="s">
        <v>1473</v>
      </c>
      <c r="N46" s="131" t="s">
        <v>1317</v>
      </c>
      <c r="O46" s="127">
        <v>44346</v>
      </c>
      <c r="P46" s="127">
        <v>44357</v>
      </c>
      <c r="Q46" s="127">
        <v>44353</v>
      </c>
      <c r="R46" s="127">
        <v>44359</v>
      </c>
      <c r="S46" s="128">
        <v>24</v>
      </c>
      <c r="T46" s="128">
        <v>4</v>
      </c>
      <c r="U46" s="128">
        <v>2</v>
      </c>
      <c r="V46" s="129">
        <v>0</v>
      </c>
      <c r="W46" s="128">
        <v>0</v>
      </c>
      <c r="X46" s="130">
        <v>0.5</v>
      </c>
      <c r="Y46" s="130">
        <v>0.22222222222222221</v>
      </c>
      <c r="Z46" s="130">
        <v>0.15</v>
      </c>
      <c r="AC46" s="129">
        <v>0</v>
      </c>
    </row>
    <row r="47" spans="1:29">
      <c r="A47" s="131" t="s">
        <v>1088</v>
      </c>
      <c r="B47" s="131" t="s">
        <v>1474</v>
      </c>
      <c r="C47" s="131" t="s">
        <v>1071</v>
      </c>
      <c r="D47" s="131" t="s">
        <v>1520</v>
      </c>
      <c r="E47" s="131" t="s">
        <v>1474</v>
      </c>
      <c r="M47" s="131" t="s">
        <v>1475</v>
      </c>
      <c r="N47" s="131" t="s">
        <v>1441</v>
      </c>
      <c r="O47" s="127">
        <v>44360</v>
      </c>
      <c r="P47" s="127">
        <v>44378</v>
      </c>
      <c r="Q47" s="127">
        <v>44360</v>
      </c>
      <c r="R47" s="127">
        <v>44366</v>
      </c>
      <c r="S47" s="128">
        <v>25</v>
      </c>
      <c r="T47" s="128">
        <v>5</v>
      </c>
      <c r="U47" s="128">
        <v>5</v>
      </c>
      <c r="V47" s="129">
        <v>0</v>
      </c>
      <c r="W47" s="128">
        <v>0</v>
      </c>
      <c r="X47" s="130">
        <v>1</v>
      </c>
      <c r="Y47" s="130">
        <v>0</v>
      </c>
      <c r="Z47" s="130">
        <v>0</v>
      </c>
      <c r="AC47" s="129">
        <v>0</v>
      </c>
    </row>
    <row r="48" spans="1:29">
      <c r="A48" s="131" t="s">
        <v>1088</v>
      </c>
      <c r="B48" s="131" t="s">
        <v>1474</v>
      </c>
      <c r="C48" s="131" t="s">
        <v>1071</v>
      </c>
      <c r="D48" s="131" t="s">
        <v>1520</v>
      </c>
      <c r="E48" s="131" t="s">
        <v>1474</v>
      </c>
      <c r="M48" s="131" t="s">
        <v>1475</v>
      </c>
      <c r="N48" s="131" t="s">
        <v>1441</v>
      </c>
      <c r="O48" s="127">
        <v>44360</v>
      </c>
      <c r="P48" s="127">
        <v>44378</v>
      </c>
      <c r="Q48" s="127">
        <v>44367</v>
      </c>
      <c r="R48" s="127">
        <v>44373</v>
      </c>
      <c r="S48" s="128">
        <v>26</v>
      </c>
      <c r="T48" s="128">
        <v>6</v>
      </c>
      <c r="U48" s="128">
        <v>5</v>
      </c>
      <c r="V48" s="129">
        <v>0</v>
      </c>
      <c r="W48" s="128">
        <v>0</v>
      </c>
      <c r="X48" s="130">
        <v>1</v>
      </c>
      <c r="Y48" s="130">
        <v>0</v>
      </c>
      <c r="Z48" s="130">
        <v>0</v>
      </c>
      <c r="AC48" s="129">
        <v>0</v>
      </c>
    </row>
    <row r="49" spans="1:29">
      <c r="A49" s="131" t="s">
        <v>1088</v>
      </c>
      <c r="B49" s="131" t="s">
        <v>1474</v>
      </c>
      <c r="C49" s="131" t="s">
        <v>1071</v>
      </c>
      <c r="D49" s="131" t="s">
        <v>1520</v>
      </c>
      <c r="E49" s="131" t="s">
        <v>1474</v>
      </c>
      <c r="M49" s="131" t="s">
        <v>1475</v>
      </c>
      <c r="N49" s="131" t="s">
        <v>1441</v>
      </c>
      <c r="O49" s="127">
        <v>44360</v>
      </c>
      <c r="P49" s="127">
        <v>44378</v>
      </c>
      <c r="Q49" s="127">
        <v>44374</v>
      </c>
      <c r="R49" s="127">
        <v>44380</v>
      </c>
      <c r="S49" s="128">
        <v>27</v>
      </c>
      <c r="T49" s="128">
        <v>7</v>
      </c>
      <c r="U49" s="128">
        <v>4</v>
      </c>
      <c r="V49" s="129">
        <v>0</v>
      </c>
      <c r="W49" s="128">
        <v>0</v>
      </c>
      <c r="X49" s="130">
        <v>1</v>
      </c>
      <c r="Y49" s="130">
        <v>0</v>
      </c>
      <c r="Z49" s="130">
        <v>0</v>
      </c>
      <c r="AC49" s="129">
        <v>0</v>
      </c>
    </row>
    <row r="50" spans="1:29">
      <c r="A50" s="131" t="s">
        <v>1089</v>
      </c>
      <c r="B50" s="131" t="s">
        <v>1477</v>
      </c>
      <c r="C50" s="131" t="s">
        <v>1071</v>
      </c>
      <c r="D50" s="131" t="s">
        <v>1520</v>
      </c>
      <c r="E50" s="131" t="s">
        <v>1476</v>
      </c>
      <c r="F50" s="131" t="s">
        <v>1477</v>
      </c>
      <c r="M50" s="131" t="s">
        <v>1478</v>
      </c>
      <c r="N50" s="131" t="s">
        <v>1441</v>
      </c>
      <c r="O50" s="127">
        <v>44367</v>
      </c>
      <c r="P50" s="127">
        <v>44378</v>
      </c>
      <c r="Q50" s="127">
        <v>44367</v>
      </c>
      <c r="R50" s="127">
        <v>44373</v>
      </c>
      <c r="S50" s="128">
        <v>26</v>
      </c>
      <c r="T50" s="128">
        <v>6</v>
      </c>
      <c r="U50" s="128">
        <v>5</v>
      </c>
      <c r="V50" s="129">
        <v>0</v>
      </c>
      <c r="W50" s="128">
        <v>0</v>
      </c>
      <c r="X50" s="130">
        <v>1</v>
      </c>
      <c r="Y50" s="130">
        <v>0</v>
      </c>
      <c r="Z50" s="130">
        <v>0</v>
      </c>
      <c r="AC50" s="129">
        <v>0</v>
      </c>
    </row>
    <row r="51" spans="1:29">
      <c r="A51" s="131" t="s">
        <v>1089</v>
      </c>
      <c r="B51" s="131" t="s">
        <v>1477</v>
      </c>
      <c r="C51" s="131" t="s">
        <v>1071</v>
      </c>
      <c r="D51" s="131" t="s">
        <v>1520</v>
      </c>
      <c r="E51" s="131" t="s">
        <v>1476</v>
      </c>
      <c r="F51" s="131" t="s">
        <v>1477</v>
      </c>
      <c r="M51" s="131" t="s">
        <v>1478</v>
      </c>
      <c r="N51" s="131" t="s">
        <v>1441</v>
      </c>
      <c r="O51" s="127">
        <v>44367</v>
      </c>
      <c r="P51" s="127">
        <v>44378</v>
      </c>
      <c r="Q51" s="127">
        <v>44374</v>
      </c>
      <c r="R51" s="127">
        <v>44380</v>
      </c>
      <c r="S51" s="128">
        <v>27</v>
      </c>
      <c r="T51" s="128">
        <v>7</v>
      </c>
      <c r="U51" s="128">
        <v>4</v>
      </c>
      <c r="V51" s="129">
        <v>0</v>
      </c>
      <c r="W51" s="128">
        <v>0</v>
      </c>
      <c r="X51" s="130">
        <v>1</v>
      </c>
      <c r="Y51" s="130">
        <v>0</v>
      </c>
      <c r="Z51" s="130">
        <v>0</v>
      </c>
      <c r="AC51" s="129">
        <v>0</v>
      </c>
    </row>
    <row r="52" spans="1:29">
      <c r="A52" s="131" t="s">
        <v>1089</v>
      </c>
      <c r="B52" s="131" t="s">
        <v>1479</v>
      </c>
      <c r="C52" s="131" t="s">
        <v>1071</v>
      </c>
      <c r="D52" s="131" t="s">
        <v>1520</v>
      </c>
      <c r="E52" s="131" t="s">
        <v>1476</v>
      </c>
      <c r="F52" s="131" t="s">
        <v>1479</v>
      </c>
      <c r="M52" s="131" t="s">
        <v>1480</v>
      </c>
      <c r="N52" s="131" t="s">
        <v>1441</v>
      </c>
      <c r="O52" s="127">
        <v>44374</v>
      </c>
      <c r="P52" s="127">
        <v>44385</v>
      </c>
      <c r="Q52" s="127">
        <v>44374</v>
      </c>
      <c r="R52" s="127">
        <v>44380</v>
      </c>
      <c r="S52" s="128">
        <v>27</v>
      </c>
      <c r="T52" s="128">
        <v>7</v>
      </c>
      <c r="U52" s="128">
        <v>5</v>
      </c>
      <c r="V52" s="129">
        <v>0</v>
      </c>
      <c r="W52" s="128">
        <v>0</v>
      </c>
      <c r="X52" s="130">
        <v>1</v>
      </c>
      <c r="Y52" s="130">
        <v>0</v>
      </c>
      <c r="Z52" s="130">
        <v>0</v>
      </c>
      <c r="AC52" s="129">
        <v>0</v>
      </c>
    </row>
    <row r="53" spans="1:29">
      <c r="A53" s="131" t="s">
        <v>1089</v>
      </c>
      <c r="B53" s="131" t="s">
        <v>1479</v>
      </c>
      <c r="C53" s="131" t="s">
        <v>1071</v>
      </c>
      <c r="D53" s="131" t="s">
        <v>1520</v>
      </c>
      <c r="E53" s="131" t="s">
        <v>1476</v>
      </c>
      <c r="F53" s="131" t="s">
        <v>1479</v>
      </c>
      <c r="M53" s="131" t="s">
        <v>1480</v>
      </c>
      <c r="N53" s="131" t="s">
        <v>1441</v>
      </c>
      <c r="O53" s="127">
        <v>44374</v>
      </c>
      <c r="P53" s="127">
        <v>44385</v>
      </c>
      <c r="Q53" s="127">
        <v>44381</v>
      </c>
      <c r="R53" s="127">
        <v>44387</v>
      </c>
      <c r="S53" s="128">
        <v>28</v>
      </c>
      <c r="T53" s="128">
        <v>8</v>
      </c>
      <c r="U53" s="128">
        <v>4</v>
      </c>
      <c r="V53" s="129">
        <v>0</v>
      </c>
      <c r="W53" s="128">
        <v>0</v>
      </c>
      <c r="X53" s="130">
        <v>1</v>
      </c>
      <c r="Y53" s="130">
        <v>0</v>
      </c>
      <c r="Z53" s="130">
        <v>0</v>
      </c>
      <c r="AC53" s="129">
        <v>0</v>
      </c>
    </row>
    <row r="54" spans="1:29">
      <c r="A54" s="131" t="s">
        <v>1089</v>
      </c>
      <c r="B54" s="131" t="s">
        <v>1481</v>
      </c>
      <c r="C54" s="131" t="s">
        <v>1071</v>
      </c>
      <c r="D54" s="131" t="s">
        <v>1520</v>
      </c>
      <c r="E54" s="131" t="s">
        <v>1476</v>
      </c>
      <c r="F54" s="131" t="s">
        <v>1481</v>
      </c>
      <c r="M54" s="131" t="s">
        <v>1482</v>
      </c>
      <c r="N54" s="131" t="s">
        <v>1441</v>
      </c>
      <c r="O54" s="127">
        <v>44374</v>
      </c>
      <c r="P54" s="127">
        <v>44392</v>
      </c>
      <c r="Q54" s="127">
        <v>44374</v>
      </c>
      <c r="R54" s="127">
        <v>44380</v>
      </c>
      <c r="S54" s="128">
        <v>27</v>
      </c>
      <c r="T54" s="128">
        <v>7</v>
      </c>
      <c r="U54" s="128">
        <v>5</v>
      </c>
      <c r="V54" s="129">
        <v>0</v>
      </c>
      <c r="W54" s="128">
        <v>0</v>
      </c>
      <c r="X54" s="130">
        <v>1</v>
      </c>
      <c r="Y54" s="130">
        <v>0</v>
      </c>
      <c r="Z54" s="130">
        <v>0</v>
      </c>
      <c r="AC54" s="129">
        <v>0</v>
      </c>
    </row>
    <row r="55" spans="1:29">
      <c r="A55" s="131" t="s">
        <v>1089</v>
      </c>
      <c r="B55" s="131" t="s">
        <v>1481</v>
      </c>
      <c r="C55" s="131" t="s">
        <v>1071</v>
      </c>
      <c r="D55" s="131" t="s">
        <v>1520</v>
      </c>
      <c r="E55" s="131" t="s">
        <v>1476</v>
      </c>
      <c r="F55" s="131" t="s">
        <v>1481</v>
      </c>
      <c r="M55" s="131" t="s">
        <v>1482</v>
      </c>
      <c r="N55" s="131" t="s">
        <v>1441</v>
      </c>
      <c r="O55" s="127">
        <v>44374</v>
      </c>
      <c r="P55" s="127">
        <v>44392</v>
      </c>
      <c r="Q55" s="127">
        <v>44381</v>
      </c>
      <c r="R55" s="127">
        <v>44387</v>
      </c>
      <c r="S55" s="128">
        <v>28</v>
      </c>
      <c r="T55" s="128">
        <v>8</v>
      </c>
      <c r="U55" s="128">
        <v>5</v>
      </c>
      <c r="V55" s="129">
        <v>0</v>
      </c>
      <c r="W55" s="128">
        <v>0</v>
      </c>
      <c r="X55" s="130">
        <v>1</v>
      </c>
      <c r="Y55" s="130">
        <v>0</v>
      </c>
      <c r="Z55" s="130">
        <v>0</v>
      </c>
      <c r="AC55" s="129">
        <v>0</v>
      </c>
    </row>
    <row r="56" spans="1:29">
      <c r="A56" s="131" t="s">
        <v>1089</v>
      </c>
      <c r="B56" s="131" t="s">
        <v>1481</v>
      </c>
      <c r="C56" s="131" t="s">
        <v>1071</v>
      </c>
      <c r="D56" s="131" t="s">
        <v>1520</v>
      </c>
      <c r="E56" s="131" t="s">
        <v>1476</v>
      </c>
      <c r="F56" s="131" t="s">
        <v>1481</v>
      </c>
      <c r="M56" s="131" t="s">
        <v>1482</v>
      </c>
      <c r="N56" s="131" t="s">
        <v>1441</v>
      </c>
      <c r="O56" s="127">
        <v>44374</v>
      </c>
      <c r="P56" s="127">
        <v>44392</v>
      </c>
      <c r="Q56" s="127">
        <v>44388</v>
      </c>
      <c r="R56" s="127">
        <v>44394</v>
      </c>
      <c r="S56" s="128">
        <v>29</v>
      </c>
      <c r="T56" s="128">
        <v>9</v>
      </c>
      <c r="U56" s="128">
        <v>4</v>
      </c>
      <c r="V56" s="129">
        <v>0</v>
      </c>
      <c r="W56" s="128">
        <v>0</v>
      </c>
      <c r="X56" s="130">
        <v>1</v>
      </c>
      <c r="Y56" s="130">
        <v>0</v>
      </c>
      <c r="Z56" s="130">
        <v>0</v>
      </c>
      <c r="AC56" s="129">
        <v>0</v>
      </c>
    </row>
    <row r="57" spans="1:29">
      <c r="A57" s="131" t="s">
        <v>1088</v>
      </c>
      <c r="B57" s="131" t="s">
        <v>1483</v>
      </c>
      <c r="C57" s="131" t="s">
        <v>1071</v>
      </c>
      <c r="D57" s="131" t="s">
        <v>1520</v>
      </c>
      <c r="E57" s="131" t="s">
        <v>1483</v>
      </c>
      <c r="M57" s="131" t="s">
        <v>1484</v>
      </c>
      <c r="N57" s="131" t="s">
        <v>1441</v>
      </c>
      <c r="O57" s="127">
        <v>44395</v>
      </c>
      <c r="P57" s="127">
        <v>44399</v>
      </c>
      <c r="Q57" s="127">
        <v>44395</v>
      </c>
      <c r="R57" s="127">
        <v>44401</v>
      </c>
      <c r="S57" s="128">
        <v>30</v>
      </c>
      <c r="T57" s="128">
        <v>10</v>
      </c>
      <c r="U57" s="128">
        <v>4</v>
      </c>
      <c r="V57" s="129">
        <v>0</v>
      </c>
      <c r="W57" s="128">
        <v>0</v>
      </c>
      <c r="X57" s="130">
        <v>1</v>
      </c>
      <c r="Y57" s="130">
        <v>0</v>
      </c>
      <c r="Z57" s="130">
        <v>0</v>
      </c>
      <c r="AC57" s="129">
        <v>0</v>
      </c>
    </row>
    <row r="58" spans="1:29">
      <c r="A58" s="131" t="s">
        <v>1089</v>
      </c>
      <c r="B58" s="131" t="s">
        <v>1486</v>
      </c>
      <c r="C58" s="131" t="s">
        <v>1071</v>
      </c>
      <c r="D58" s="131" t="s">
        <v>1521</v>
      </c>
      <c r="E58" s="131" t="s">
        <v>1485</v>
      </c>
      <c r="F58" s="131" t="s">
        <v>1486</v>
      </c>
      <c r="M58" s="131" t="s">
        <v>1487</v>
      </c>
      <c r="N58" s="131" t="s">
        <v>1441</v>
      </c>
      <c r="O58" s="127">
        <v>44395</v>
      </c>
      <c r="P58" s="127">
        <v>44399</v>
      </c>
      <c r="Q58" s="127">
        <v>44395</v>
      </c>
      <c r="R58" s="127">
        <v>44401</v>
      </c>
      <c r="S58" s="128">
        <v>30</v>
      </c>
      <c r="T58" s="128">
        <v>10</v>
      </c>
      <c r="U58" s="128">
        <v>4</v>
      </c>
      <c r="V58" s="129">
        <v>0</v>
      </c>
      <c r="W58" s="128">
        <v>0</v>
      </c>
      <c r="X58" s="130">
        <v>1</v>
      </c>
      <c r="Y58" s="130">
        <v>0</v>
      </c>
      <c r="Z58" s="130">
        <v>0</v>
      </c>
      <c r="AC58" s="129">
        <v>0</v>
      </c>
    </row>
    <row r="59" spans="1:29">
      <c r="A59" s="131" t="s">
        <v>1091</v>
      </c>
      <c r="B59" s="131" t="s">
        <v>1490</v>
      </c>
      <c r="C59" s="131" t="s">
        <v>1071</v>
      </c>
      <c r="D59" s="131" t="s">
        <v>1521</v>
      </c>
      <c r="E59" s="131" t="s">
        <v>1485</v>
      </c>
      <c r="F59" s="131" t="s">
        <v>1488</v>
      </c>
      <c r="G59" s="131" t="s">
        <v>1489</v>
      </c>
      <c r="H59" s="131" t="s">
        <v>1490</v>
      </c>
      <c r="M59" s="131" t="s">
        <v>1491</v>
      </c>
      <c r="N59" s="131" t="s">
        <v>1441</v>
      </c>
      <c r="O59" s="127">
        <v>44395</v>
      </c>
      <c r="P59" s="127">
        <v>44399</v>
      </c>
      <c r="Q59" s="127">
        <v>44395</v>
      </c>
      <c r="R59" s="127">
        <v>44401</v>
      </c>
      <c r="S59" s="128">
        <v>30</v>
      </c>
      <c r="T59" s="128">
        <v>10</v>
      </c>
      <c r="U59" s="128">
        <v>4</v>
      </c>
      <c r="V59" s="129">
        <v>0</v>
      </c>
      <c r="W59" s="128">
        <v>0</v>
      </c>
      <c r="X59" s="130">
        <v>1</v>
      </c>
      <c r="Y59" s="130">
        <v>0</v>
      </c>
      <c r="Z59" s="130">
        <v>0</v>
      </c>
      <c r="AC59" s="129">
        <v>0</v>
      </c>
    </row>
    <row r="60" spans="1:29">
      <c r="A60" s="131" t="s">
        <v>1091</v>
      </c>
      <c r="B60" s="131" t="s">
        <v>1492</v>
      </c>
      <c r="C60" s="131" t="s">
        <v>1071</v>
      </c>
      <c r="D60" s="131" t="s">
        <v>1521</v>
      </c>
      <c r="E60" s="131" t="s">
        <v>1485</v>
      </c>
      <c r="F60" s="131" t="s">
        <v>1488</v>
      </c>
      <c r="G60" s="131" t="s">
        <v>1489</v>
      </c>
      <c r="H60" s="131" t="s">
        <v>1492</v>
      </c>
      <c r="M60" s="131" t="s">
        <v>1493</v>
      </c>
      <c r="N60" s="131" t="s">
        <v>1441</v>
      </c>
      <c r="O60" s="127">
        <v>44402</v>
      </c>
      <c r="P60" s="127">
        <v>44406</v>
      </c>
      <c r="Q60" s="127">
        <v>44402</v>
      </c>
      <c r="R60" s="127">
        <v>44408</v>
      </c>
      <c r="S60" s="128">
        <v>31</v>
      </c>
      <c r="T60" s="128">
        <v>11</v>
      </c>
      <c r="U60" s="128">
        <v>4</v>
      </c>
      <c r="V60" s="129">
        <v>0</v>
      </c>
      <c r="W60" s="128">
        <v>0</v>
      </c>
      <c r="X60" s="130">
        <v>1</v>
      </c>
      <c r="Y60" s="130">
        <v>0</v>
      </c>
      <c r="Z60" s="130">
        <v>0</v>
      </c>
      <c r="AC60" s="129">
        <v>0</v>
      </c>
    </row>
    <row r="61" spans="1:29">
      <c r="A61" s="131" t="s">
        <v>1091</v>
      </c>
      <c r="B61" s="131" t="s">
        <v>1494</v>
      </c>
      <c r="C61" s="131" t="s">
        <v>1071</v>
      </c>
      <c r="D61" s="131" t="s">
        <v>1521</v>
      </c>
      <c r="E61" s="131" t="s">
        <v>1485</v>
      </c>
      <c r="F61" s="131" t="s">
        <v>1488</v>
      </c>
      <c r="G61" s="131" t="s">
        <v>1489</v>
      </c>
      <c r="H61" s="131" t="s">
        <v>1494</v>
      </c>
      <c r="M61" s="131" t="s">
        <v>1495</v>
      </c>
      <c r="N61" s="131" t="s">
        <v>1441</v>
      </c>
      <c r="O61" s="127">
        <v>44402</v>
      </c>
      <c r="P61" s="127">
        <v>44413</v>
      </c>
      <c r="Q61" s="127">
        <v>44402</v>
      </c>
      <c r="R61" s="127">
        <v>44408</v>
      </c>
      <c r="S61" s="128">
        <v>31</v>
      </c>
      <c r="T61" s="128">
        <v>11</v>
      </c>
      <c r="U61" s="128">
        <v>5</v>
      </c>
      <c r="V61" s="129">
        <v>0</v>
      </c>
      <c r="W61" s="128">
        <v>0</v>
      </c>
      <c r="X61" s="130">
        <v>1</v>
      </c>
      <c r="Y61" s="130">
        <v>0</v>
      </c>
      <c r="Z61" s="130">
        <v>0</v>
      </c>
      <c r="AC61" s="129">
        <v>0</v>
      </c>
    </row>
    <row r="62" spans="1:29">
      <c r="A62" s="131" t="s">
        <v>1091</v>
      </c>
      <c r="B62" s="131" t="s">
        <v>1494</v>
      </c>
      <c r="C62" s="131" t="s">
        <v>1071</v>
      </c>
      <c r="D62" s="131" t="s">
        <v>1521</v>
      </c>
      <c r="E62" s="131" t="s">
        <v>1485</v>
      </c>
      <c r="F62" s="131" t="s">
        <v>1488</v>
      </c>
      <c r="G62" s="131" t="s">
        <v>1489</v>
      </c>
      <c r="H62" s="131" t="s">
        <v>1494</v>
      </c>
      <c r="M62" s="131" t="s">
        <v>1495</v>
      </c>
      <c r="N62" s="131" t="s">
        <v>1441</v>
      </c>
      <c r="O62" s="127">
        <v>44402</v>
      </c>
      <c r="P62" s="127">
        <v>44413</v>
      </c>
      <c r="Q62" s="127">
        <v>44409</v>
      </c>
      <c r="R62" s="127">
        <v>44415</v>
      </c>
      <c r="S62" s="128">
        <v>32</v>
      </c>
      <c r="T62" s="128">
        <v>12</v>
      </c>
      <c r="U62" s="128">
        <v>4</v>
      </c>
      <c r="V62" s="129">
        <v>0</v>
      </c>
      <c r="W62" s="128">
        <v>0</v>
      </c>
      <c r="X62" s="130">
        <v>1</v>
      </c>
      <c r="Y62" s="130">
        <v>0</v>
      </c>
      <c r="Z62" s="130">
        <v>0</v>
      </c>
      <c r="AC62" s="129">
        <v>0</v>
      </c>
    </row>
    <row r="63" spans="1:29">
      <c r="A63" s="131" t="s">
        <v>1090</v>
      </c>
      <c r="B63" s="131" t="s">
        <v>1496</v>
      </c>
      <c r="C63" s="131" t="s">
        <v>1071</v>
      </c>
      <c r="D63" s="131" t="s">
        <v>1521</v>
      </c>
      <c r="E63" s="131" t="s">
        <v>1485</v>
      </c>
      <c r="F63" s="131" t="s">
        <v>1488</v>
      </c>
      <c r="G63" s="131" t="s">
        <v>1496</v>
      </c>
      <c r="M63" s="131" t="s">
        <v>1497</v>
      </c>
      <c r="N63" s="131" t="s">
        <v>1441</v>
      </c>
      <c r="O63" s="127">
        <v>44395</v>
      </c>
      <c r="P63" s="127">
        <v>44454</v>
      </c>
      <c r="Q63" s="127">
        <v>44395</v>
      </c>
      <c r="R63" s="127">
        <v>44401</v>
      </c>
      <c r="S63" s="128">
        <v>30</v>
      </c>
      <c r="T63" s="128">
        <v>10</v>
      </c>
      <c r="U63" s="128">
        <v>5</v>
      </c>
      <c r="V63" s="129">
        <v>0</v>
      </c>
      <c r="W63" s="128">
        <v>0</v>
      </c>
      <c r="X63" s="130">
        <v>1</v>
      </c>
      <c r="Y63" s="130">
        <v>0</v>
      </c>
      <c r="Z63" s="130">
        <v>0</v>
      </c>
      <c r="AC63" s="129">
        <v>0</v>
      </c>
    </row>
    <row r="64" spans="1:29">
      <c r="A64" s="131" t="s">
        <v>1090</v>
      </c>
      <c r="B64" s="131" t="s">
        <v>1496</v>
      </c>
      <c r="C64" s="131" t="s">
        <v>1071</v>
      </c>
      <c r="D64" s="131" t="s">
        <v>1521</v>
      </c>
      <c r="E64" s="131" t="s">
        <v>1485</v>
      </c>
      <c r="F64" s="131" t="s">
        <v>1488</v>
      </c>
      <c r="G64" s="131" t="s">
        <v>1496</v>
      </c>
      <c r="M64" s="131" t="s">
        <v>1497</v>
      </c>
      <c r="N64" s="131" t="s">
        <v>1441</v>
      </c>
      <c r="O64" s="127">
        <v>44395</v>
      </c>
      <c r="P64" s="127">
        <v>44454</v>
      </c>
      <c r="Q64" s="127">
        <v>44402</v>
      </c>
      <c r="R64" s="127">
        <v>44408</v>
      </c>
      <c r="S64" s="128">
        <v>31</v>
      </c>
      <c r="T64" s="128">
        <v>11</v>
      </c>
      <c r="U64" s="128">
        <v>5</v>
      </c>
      <c r="V64" s="129">
        <v>0</v>
      </c>
      <c r="W64" s="128">
        <v>0</v>
      </c>
      <c r="X64" s="130">
        <v>1</v>
      </c>
      <c r="Y64" s="130">
        <v>0</v>
      </c>
      <c r="Z64" s="130">
        <v>0</v>
      </c>
      <c r="AC64" s="129">
        <v>0</v>
      </c>
    </row>
    <row r="65" spans="1:29">
      <c r="A65" s="131" t="s">
        <v>1090</v>
      </c>
      <c r="B65" s="131" t="s">
        <v>1496</v>
      </c>
      <c r="C65" s="131" t="s">
        <v>1071</v>
      </c>
      <c r="D65" s="131" t="s">
        <v>1521</v>
      </c>
      <c r="E65" s="131" t="s">
        <v>1485</v>
      </c>
      <c r="F65" s="131" t="s">
        <v>1488</v>
      </c>
      <c r="G65" s="131" t="s">
        <v>1496</v>
      </c>
      <c r="M65" s="131" t="s">
        <v>1497</v>
      </c>
      <c r="N65" s="131" t="s">
        <v>1441</v>
      </c>
      <c r="O65" s="127">
        <v>44395</v>
      </c>
      <c r="P65" s="127">
        <v>44454</v>
      </c>
      <c r="Q65" s="127">
        <v>44409</v>
      </c>
      <c r="R65" s="127">
        <v>44415</v>
      </c>
      <c r="S65" s="128">
        <v>32</v>
      </c>
      <c r="T65" s="128">
        <v>12</v>
      </c>
      <c r="U65" s="128">
        <v>5</v>
      </c>
      <c r="V65" s="129">
        <v>0</v>
      </c>
      <c r="W65" s="128">
        <v>0</v>
      </c>
      <c r="X65" s="130">
        <v>1</v>
      </c>
      <c r="Y65" s="130">
        <v>0</v>
      </c>
      <c r="Z65" s="130">
        <v>0</v>
      </c>
      <c r="AC65" s="129">
        <v>0</v>
      </c>
    </row>
    <row r="66" spans="1:29">
      <c r="A66" s="131" t="s">
        <v>1090</v>
      </c>
      <c r="B66" s="131" t="s">
        <v>1496</v>
      </c>
      <c r="C66" s="131" t="s">
        <v>1071</v>
      </c>
      <c r="D66" s="131" t="s">
        <v>1521</v>
      </c>
      <c r="E66" s="131" t="s">
        <v>1485</v>
      </c>
      <c r="F66" s="131" t="s">
        <v>1488</v>
      </c>
      <c r="G66" s="131" t="s">
        <v>1496</v>
      </c>
      <c r="M66" s="131" t="s">
        <v>1497</v>
      </c>
      <c r="N66" s="131" t="s">
        <v>1441</v>
      </c>
      <c r="O66" s="127">
        <v>44395</v>
      </c>
      <c r="P66" s="127">
        <v>44454</v>
      </c>
      <c r="Q66" s="127">
        <v>44416</v>
      </c>
      <c r="R66" s="127">
        <v>44422</v>
      </c>
      <c r="S66" s="128">
        <v>33</v>
      </c>
      <c r="T66" s="128">
        <v>13</v>
      </c>
      <c r="U66" s="128">
        <v>5</v>
      </c>
      <c r="V66" s="129">
        <v>0</v>
      </c>
      <c r="W66" s="128">
        <v>0</v>
      </c>
      <c r="X66" s="130">
        <v>1</v>
      </c>
      <c r="Y66" s="130">
        <v>0</v>
      </c>
      <c r="Z66" s="130">
        <v>0</v>
      </c>
      <c r="AC66" s="129">
        <v>0</v>
      </c>
    </row>
    <row r="67" spans="1:29">
      <c r="A67" s="131" t="s">
        <v>1090</v>
      </c>
      <c r="B67" s="131" t="s">
        <v>1496</v>
      </c>
      <c r="C67" s="131" t="s">
        <v>1071</v>
      </c>
      <c r="D67" s="131" t="s">
        <v>1521</v>
      </c>
      <c r="E67" s="131" t="s">
        <v>1485</v>
      </c>
      <c r="F67" s="131" t="s">
        <v>1488</v>
      </c>
      <c r="G67" s="131" t="s">
        <v>1496</v>
      </c>
      <c r="M67" s="131" t="s">
        <v>1497</v>
      </c>
      <c r="N67" s="131" t="s">
        <v>1441</v>
      </c>
      <c r="O67" s="127">
        <v>44395</v>
      </c>
      <c r="P67" s="127">
        <v>44454</v>
      </c>
      <c r="Q67" s="127">
        <v>44423</v>
      </c>
      <c r="R67" s="127">
        <v>44429</v>
      </c>
      <c r="S67" s="128">
        <v>34</v>
      </c>
      <c r="T67" s="128">
        <v>14</v>
      </c>
      <c r="U67" s="128">
        <v>5</v>
      </c>
      <c r="V67" s="129">
        <v>0</v>
      </c>
      <c r="W67" s="128">
        <v>0</v>
      </c>
      <c r="X67" s="130">
        <v>1</v>
      </c>
      <c r="Y67" s="130">
        <v>0</v>
      </c>
      <c r="Z67" s="130">
        <v>0</v>
      </c>
      <c r="AC67" s="129">
        <v>0</v>
      </c>
    </row>
    <row r="68" spans="1:29">
      <c r="A68" s="131" t="s">
        <v>1090</v>
      </c>
      <c r="B68" s="131" t="s">
        <v>1496</v>
      </c>
      <c r="C68" s="131" t="s">
        <v>1071</v>
      </c>
      <c r="D68" s="131" t="s">
        <v>1521</v>
      </c>
      <c r="E68" s="131" t="s">
        <v>1485</v>
      </c>
      <c r="F68" s="131" t="s">
        <v>1488</v>
      </c>
      <c r="G68" s="131" t="s">
        <v>1496</v>
      </c>
      <c r="M68" s="131" t="s">
        <v>1497</v>
      </c>
      <c r="N68" s="131" t="s">
        <v>1441</v>
      </c>
      <c r="O68" s="127">
        <v>44395</v>
      </c>
      <c r="P68" s="127">
        <v>44454</v>
      </c>
      <c r="Q68" s="127">
        <v>44430</v>
      </c>
      <c r="R68" s="127">
        <v>44436</v>
      </c>
      <c r="S68" s="128">
        <v>35</v>
      </c>
      <c r="T68" s="128">
        <v>15</v>
      </c>
      <c r="U68" s="128">
        <v>5</v>
      </c>
      <c r="V68" s="129">
        <v>0</v>
      </c>
      <c r="W68" s="128">
        <v>0</v>
      </c>
      <c r="X68" s="130">
        <v>1</v>
      </c>
      <c r="Y68" s="130">
        <v>0</v>
      </c>
      <c r="Z68" s="130">
        <v>0</v>
      </c>
      <c r="AC68" s="129">
        <v>0</v>
      </c>
    </row>
    <row r="69" spans="1:29">
      <c r="A69" s="131" t="s">
        <v>1090</v>
      </c>
      <c r="B69" s="131" t="s">
        <v>1496</v>
      </c>
      <c r="C69" s="131" t="s">
        <v>1071</v>
      </c>
      <c r="D69" s="131" t="s">
        <v>1521</v>
      </c>
      <c r="E69" s="131" t="s">
        <v>1485</v>
      </c>
      <c r="F69" s="131" t="s">
        <v>1488</v>
      </c>
      <c r="G69" s="131" t="s">
        <v>1496</v>
      </c>
      <c r="M69" s="131" t="s">
        <v>1497</v>
      </c>
      <c r="N69" s="131" t="s">
        <v>1441</v>
      </c>
      <c r="O69" s="127">
        <v>44395</v>
      </c>
      <c r="P69" s="127">
        <v>44454</v>
      </c>
      <c r="Q69" s="127">
        <v>44437</v>
      </c>
      <c r="R69" s="127">
        <v>44443</v>
      </c>
      <c r="S69" s="128">
        <v>36</v>
      </c>
      <c r="T69" s="128">
        <v>16</v>
      </c>
      <c r="U69" s="128">
        <v>5</v>
      </c>
      <c r="V69" s="129">
        <v>0</v>
      </c>
      <c r="W69" s="128">
        <v>0</v>
      </c>
      <c r="X69" s="130">
        <v>1</v>
      </c>
      <c r="Y69" s="130">
        <v>0</v>
      </c>
      <c r="Z69" s="130">
        <v>0</v>
      </c>
      <c r="AC69" s="129">
        <v>0</v>
      </c>
    </row>
    <row r="70" spans="1:29">
      <c r="A70" s="131" t="s">
        <v>1090</v>
      </c>
      <c r="B70" s="131" t="s">
        <v>1496</v>
      </c>
      <c r="C70" s="131" t="s">
        <v>1071</v>
      </c>
      <c r="D70" s="131" t="s">
        <v>1521</v>
      </c>
      <c r="E70" s="131" t="s">
        <v>1485</v>
      </c>
      <c r="F70" s="131" t="s">
        <v>1488</v>
      </c>
      <c r="G70" s="131" t="s">
        <v>1496</v>
      </c>
      <c r="M70" s="131" t="s">
        <v>1497</v>
      </c>
      <c r="N70" s="131" t="s">
        <v>1441</v>
      </c>
      <c r="O70" s="127">
        <v>44395</v>
      </c>
      <c r="P70" s="127">
        <v>44454</v>
      </c>
      <c r="Q70" s="127">
        <v>44444</v>
      </c>
      <c r="R70" s="127">
        <v>44450</v>
      </c>
      <c r="S70" s="128">
        <v>37</v>
      </c>
      <c r="T70" s="128">
        <v>17</v>
      </c>
      <c r="U70" s="128">
        <v>5</v>
      </c>
      <c r="V70" s="129">
        <v>0</v>
      </c>
      <c r="W70" s="128">
        <v>0</v>
      </c>
      <c r="X70" s="130">
        <v>1</v>
      </c>
      <c r="Y70" s="130">
        <v>0</v>
      </c>
      <c r="Z70" s="130">
        <v>0</v>
      </c>
      <c r="AC70" s="129">
        <v>0</v>
      </c>
    </row>
    <row r="71" spans="1:29">
      <c r="A71" s="131" t="s">
        <v>1090</v>
      </c>
      <c r="B71" s="131" t="s">
        <v>1496</v>
      </c>
      <c r="C71" s="131" t="s">
        <v>1071</v>
      </c>
      <c r="D71" s="131" t="s">
        <v>1521</v>
      </c>
      <c r="E71" s="131" t="s">
        <v>1485</v>
      </c>
      <c r="F71" s="131" t="s">
        <v>1488</v>
      </c>
      <c r="G71" s="131" t="s">
        <v>1496</v>
      </c>
      <c r="M71" s="131" t="s">
        <v>1497</v>
      </c>
      <c r="N71" s="131" t="s">
        <v>1441</v>
      </c>
      <c r="O71" s="127">
        <v>44395</v>
      </c>
      <c r="P71" s="127">
        <v>44454</v>
      </c>
      <c r="Q71" s="127">
        <v>44451</v>
      </c>
      <c r="R71" s="127">
        <v>44457</v>
      </c>
      <c r="S71" s="128">
        <v>38</v>
      </c>
      <c r="T71" s="128">
        <v>18</v>
      </c>
      <c r="U71" s="128">
        <v>3</v>
      </c>
      <c r="V71" s="129">
        <v>0</v>
      </c>
      <c r="W71" s="128">
        <v>0</v>
      </c>
      <c r="X71" s="130">
        <v>1</v>
      </c>
      <c r="Y71" s="130">
        <v>0</v>
      </c>
      <c r="Z71" s="130">
        <v>0</v>
      </c>
      <c r="AC71" s="129">
        <v>0</v>
      </c>
    </row>
    <row r="72" spans="1:29">
      <c r="A72" s="131" t="s">
        <v>1090</v>
      </c>
      <c r="B72" s="131" t="s">
        <v>1498</v>
      </c>
      <c r="C72" s="131" t="s">
        <v>1071</v>
      </c>
      <c r="D72" s="131" t="s">
        <v>1521</v>
      </c>
      <c r="E72" s="131" t="s">
        <v>1485</v>
      </c>
      <c r="F72" s="131" t="s">
        <v>1488</v>
      </c>
      <c r="G72" s="131" t="s">
        <v>1498</v>
      </c>
      <c r="M72" s="131" t="s">
        <v>1499</v>
      </c>
      <c r="N72" s="131" t="s">
        <v>1441</v>
      </c>
      <c r="O72" s="127">
        <v>44395</v>
      </c>
      <c r="P72" s="127">
        <v>44454</v>
      </c>
      <c r="Q72" s="127">
        <v>44395</v>
      </c>
      <c r="R72" s="127">
        <v>44401</v>
      </c>
      <c r="S72" s="128">
        <v>30</v>
      </c>
      <c r="T72" s="128">
        <v>10</v>
      </c>
      <c r="U72" s="128">
        <v>5</v>
      </c>
      <c r="V72" s="129">
        <v>0</v>
      </c>
      <c r="W72" s="128">
        <v>0</v>
      </c>
      <c r="X72" s="130">
        <v>1</v>
      </c>
      <c r="Y72" s="130">
        <v>0</v>
      </c>
      <c r="Z72" s="130">
        <v>0</v>
      </c>
      <c r="AC72" s="129">
        <v>0</v>
      </c>
    </row>
    <row r="73" spans="1:29">
      <c r="A73" s="131" t="s">
        <v>1090</v>
      </c>
      <c r="B73" s="131" t="s">
        <v>1498</v>
      </c>
      <c r="C73" s="131" t="s">
        <v>1071</v>
      </c>
      <c r="D73" s="131" t="s">
        <v>1521</v>
      </c>
      <c r="E73" s="131" t="s">
        <v>1485</v>
      </c>
      <c r="F73" s="131" t="s">
        <v>1488</v>
      </c>
      <c r="G73" s="131" t="s">
        <v>1498</v>
      </c>
      <c r="M73" s="131" t="s">
        <v>1499</v>
      </c>
      <c r="N73" s="131" t="s">
        <v>1441</v>
      </c>
      <c r="O73" s="127">
        <v>44395</v>
      </c>
      <c r="P73" s="127">
        <v>44454</v>
      </c>
      <c r="Q73" s="127">
        <v>44402</v>
      </c>
      <c r="R73" s="127">
        <v>44408</v>
      </c>
      <c r="S73" s="128">
        <v>31</v>
      </c>
      <c r="T73" s="128">
        <v>11</v>
      </c>
      <c r="U73" s="128">
        <v>5</v>
      </c>
      <c r="V73" s="129">
        <v>0</v>
      </c>
      <c r="W73" s="128">
        <v>0</v>
      </c>
      <c r="X73" s="130">
        <v>1</v>
      </c>
      <c r="Y73" s="130">
        <v>0</v>
      </c>
      <c r="Z73" s="130">
        <v>0</v>
      </c>
      <c r="AC73" s="129">
        <v>0</v>
      </c>
    </row>
    <row r="74" spans="1:29">
      <c r="A74" s="131" t="s">
        <v>1090</v>
      </c>
      <c r="B74" s="131" t="s">
        <v>1498</v>
      </c>
      <c r="C74" s="131" t="s">
        <v>1071</v>
      </c>
      <c r="D74" s="131" t="s">
        <v>1521</v>
      </c>
      <c r="E74" s="131" t="s">
        <v>1485</v>
      </c>
      <c r="F74" s="131" t="s">
        <v>1488</v>
      </c>
      <c r="G74" s="131" t="s">
        <v>1498</v>
      </c>
      <c r="M74" s="131" t="s">
        <v>1499</v>
      </c>
      <c r="N74" s="131" t="s">
        <v>1441</v>
      </c>
      <c r="O74" s="127">
        <v>44395</v>
      </c>
      <c r="P74" s="127">
        <v>44454</v>
      </c>
      <c r="Q74" s="127">
        <v>44409</v>
      </c>
      <c r="R74" s="127">
        <v>44415</v>
      </c>
      <c r="S74" s="128">
        <v>32</v>
      </c>
      <c r="T74" s="128">
        <v>12</v>
      </c>
      <c r="U74" s="128">
        <v>5</v>
      </c>
      <c r="V74" s="129">
        <v>0</v>
      </c>
      <c r="W74" s="128">
        <v>0</v>
      </c>
      <c r="X74" s="130">
        <v>1</v>
      </c>
      <c r="Y74" s="130">
        <v>0</v>
      </c>
      <c r="Z74" s="130">
        <v>0</v>
      </c>
      <c r="AC74" s="129">
        <v>0</v>
      </c>
    </row>
    <row r="75" spans="1:29">
      <c r="A75" s="131" t="s">
        <v>1090</v>
      </c>
      <c r="B75" s="131" t="s">
        <v>1498</v>
      </c>
      <c r="C75" s="131" t="s">
        <v>1071</v>
      </c>
      <c r="D75" s="131" t="s">
        <v>1521</v>
      </c>
      <c r="E75" s="131" t="s">
        <v>1485</v>
      </c>
      <c r="F75" s="131" t="s">
        <v>1488</v>
      </c>
      <c r="G75" s="131" t="s">
        <v>1498</v>
      </c>
      <c r="M75" s="131" t="s">
        <v>1499</v>
      </c>
      <c r="N75" s="131" t="s">
        <v>1441</v>
      </c>
      <c r="O75" s="127">
        <v>44395</v>
      </c>
      <c r="P75" s="127">
        <v>44454</v>
      </c>
      <c r="Q75" s="127">
        <v>44416</v>
      </c>
      <c r="R75" s="127">
        <v>44422</v>
      </c>
      <c r="S75" s="128">
        <v>33</v>
      </c>
      <c r="T75" s="128">
        <v>13</v>
      </c>
      <c r="U75" s="128">
        <v>5</v>
      </c>
      <c r="V75" s="129">
        <v>0</v>
      </c>
      <c r="W75" s="128">
        <v>0</v>
      </c>
      <c r="X75" s="130">
        <v>1</v>
      </c>
      <c r="Y75" s="130">
        <v>0</v>
      </c>
      <c r="Z75" s="130">
        <v>0</v>
      </c>
      <c r="AC75" s="129">
        <v>0</v>
      </c>
    </row>
    <row r="76" spans="1:29">
      <c r="A76" s="131" t="s">
        <v>1090</v>
      </c>
      <c r="B76" s="131" t="s">
        <v>1498</v>
      </c>
      <c r="C76" s="131" t="s">
        <v>1071</v>
      </c>
      <c r="D76" s="131" t="s">
        <v>1521</v>
      </c>
      <c r="E76" s="131" t="s">
        <v>1485</v>
      </c>
      <c r="F76" s="131" t="s">
        <v>1488</v>
      </c>
      <c r="G76" s="131" t="s">
        <v>1498</v>
      </c>
      <c r="M76" s="131" t="s">
        <v>1499</v>
      </c>
      <c r="N76" s="131" t="s">
        <v>1441</v>
      </c>
      <c r="O76" s="127">
        <v>44395</v>
      </c>
      <c r="P76" s="127">
        <v>44454</v>
      </c>
      <c r="Q76" s="127">
        <v>44423</v>
      </c>
      <c r="R76" s="127">
        <v>44429</v>
      </c>
      <c r="S76" s="128">
        <v>34</v>
      </c>
      <c r="T76" s="128">
        <v>14</v>
      </c>
      <c r="U76" s="128">
        <v>5</v>
      </c>
      <c r="V76" s="129">
        <v>0</v>
      </c>
      <c r="W76" s="128">
        <v>0</v>
      </c>
      <c r="X76" s="130">
        <v>1</v>
      </c>
      <c r="Y76" s="130">
        <v>0</v>
      </c>
      <c r="Z76" s="130">
        <v>0</v>
      </c>
      <c r="AC76" s="129">
        <v>0</v>
      </c>
    </row>
    <row r="77" spans="1:29">
      <c r="A77" s="131" t="s">
        <v>1090</v>
      </c>
      <c r="B77" s="131" t="s">
        <v>1498</v>
      </c>
      <c r="C77" s="131" t="s">
        <v>1071</v>
      </c>
      <c r="D77" s="131" t="s">
        <v>1521</v>
      </c>
      <c r="E77" s="131" t="s">
        <v>1485</v>
      </c>
      <c r="F77" s="131" t="s">
        <v>1488</v>
      </c>
      <c r="G77" s="131" t="s">
        <v>1498</v>
      </c>
      <c r="M77" s="131" t="s">
        <v>1499</v>
      </c>
      <c r="N77" s="131" t="s">
        <v>1441</v>
      </c>
      <c r="O77" s="127">
        <v>44395</v>
      </c>
      <c r="P77" s="127">
        <v>44454</v>
      </c>
      <c r="Q77" s="127">
        <v>44430</v>
      </c>
      <c r="R77" s="127">
        <v>44436</v>
      </c>
      <c r="S77" s="128">
        <v>35</v>
      </c>
      <c r="T77" s="128">
        <v>15</v>
      </c>
      <c r="U77" s="128">
        <v>5</v>
      </c>
      <c r="V77" s="129">
        <v>0</v>
      </c>
      <c r="W77" s="128">
        <v>0</v>
      </c>
      <c r="X77" s="130">
        <v>1</v>
      </c>
      <c r="Y77" s="130">
        <v>0</v>
      </c>
      <c r="Z77" s="130">
        <v>0</v>
      </c>
      <c r="AC77" s="129">
        <v>0</v>
      </c>
    </row>
    <row r="78" spans="1:29">
      <c r="A78" s="131" t="s">
        <v>1090</v>
      </c>
      <c r="B78" s="131" t="s">
        <v>1498</v>
      </c>
      <c r="C78" s="131" t="s">
        <v>1071</v>
      </c>
      <c r="D78" s="131" t="s">
        <v>1521</v>
      </c>
      <c r="E78" s="131" t="s">
        <v>1485</v>
      </c>
      <c r="F78" s="131" t="s">
        <v>1488</v>
      </c>
      <c r="G78" s="131" t="s">
        <v>1498</v>
      </c>
      <c r="M78" s="131" t="s">
        <v>1499</v>
      </c>
      <c r="N78" s="131" t="s">
        <v>1441</v>
      </c>
      <c r="O78" s="127">
        <v>44395</v>
      </c>
      <c r="P78" s="127">
        <v>44454</v>
      </c>
      <c r="Q78" s="127">
        <v>44437</v>
      </c>
      <c r="R78" s="127">
        <v>44443</v>
      </c>
      <c r="S78" s="128">
        <v>36</v>
      </c>
      <c r="T78" s="128">
        <v>16</v>
      </c>
      <c r="U78" s="128">
        <v>5</v>
      </c>
      <c r="V78" s="129">
        <v>0</v>
      </c>
      <c r="W78" s="128">
        <v>0</v>
      </c>
      <c r="X78" s="130">
        <v>1</v>
      </c>
      <c r="Y78" s="130">
        <v>0</v>
      </c>
      <c r="Z78" s="130">
        <v>0</v>
      </c>
      <c r="AC78" s="129">
        <v>0</v>
      </c>
    </row>
    <row r="79" spans="1:29">
      <c r="A79" s="131" t="s">
        <v>1090</v>
      </c>
      <c r="B79" s="131" t="s">
        <v>1498</v>
      </c>
      <c r="C79" s="131" t="s">
        <v>1071</v>
      </c>
      <c r="D79" s="131" t="s">
        <v>1521</v>
      </c>
      <c r="E79" s="131" t="s">
        <v>1485</v>
      </c>
      <c r="F79" s="131" t="s">
        <v>1488</v>
      </c>
      <c r="G79" s="131" t="s">
        <v>1498</v>
      </c>
      <c r="M79" s="131" t="s">
        <v>1499</v>
      </c>
      <c r="N79" s="131" t="s">
        <v>1441</v>
      </c>
      <c r="O79" s="127">
        <v>44395</v>
      </c>
      <c r="P79" s="127">
        <v>44454</v>
      </c>
      <c r="Q79" s="127">
        <v>44444</v>
      </c>
      <c r="R79" s="127">
        <v>44450</v>
      </c>
      <c r="S79" s="128">
        <v>37</v>
      </c>
      <c r="T79" s="128">
        <v>17</v>
      </c>
      <c r="U79" s="128">
        <v>5</v>
      </c>
      <c r="V79" s="129">
        <v>0</v>
      </c>
      <c r="W79" s="128">
        <v>0</v>
      </c>
      <c r="X79" s="130">
        <v>1</v>
      </c>
      <c r="Y79" s="130">
        <v>0</v>
      </c>
      <c r="Z79" s="130">
        <v>0</v>
      </c>
      <c r="AC79" s="129">
        <v>0</v>
      </c>
    </row>
    <row r="80" spans="1:29">
      <c r="A80" s="131" t="s">
        <v>1090</v>
      </c>
      <c r="B80" s="131" t="s">
        <v>1498</v>
      </c>
      <c r="C80" s="131" t="s">
        <v>1071</v>
      </c>
      <c r="D80" s="131" t="s">
        <v>1521</v>
      </c>
      <c r="E80" s="131" t="s">
        <v>1485</v>
      </c>
      <c r="F80" s="131" t="s">
        <v>1488</v>
      </c>
      <c r="G80" s="131" t="s">
        <v>1498</v>
      </c>
      <c r="M80" s="131" t="s">
        <v>1499</v>
      </c>
      <c r="N80" s="131" t="s">
        <v>1441</v>
      </c>
      <c r="O80" s="127">
        <v>44395</v>
      </c>
      <c r="P80" s="127">
        <v>44454</v>
      </c>
      <c r="Q80" s="127">
        <v>44451</v>
      </c>
      <c r="R80" s="127">
        <v>44457</v>
      </c>
      <c r="S80" s="128">
        <v>38</v>
      </c>
      <c r="T80" s="128">
        <v>18</v>
      </c>
      <c r="U80" s="128">
        <v>3</v>
      </c>
      <c r="V80" s="129">
        <v>0</v>
      </c>
      <c r="W80" s="128">
        <v>0</v>
      </c>
      <c r="X80" s="130">
        <v>1</v>
      </c>
      <c r="Y80" s="130">
        <v>0</v>
      </c>
      <c r="Z80" s="130">
        <v>0</v>
      </c>
      <c r="AC80" s="129">
        <v>0</v>
      </c>
    </row>
    <row r="81" spans="1:29">
      <c r="A81" s="131" t="s">
        <v>1090</v>
      </c>
      <c r="B81" s="131" t="s">
        <v>1500</v>
      </c>
      <c r="C81" s="131" t="s">
        <v>1071</v>
      </c>
      <c r="D81" s="131" t="s">
        <v>1521</v>
      </c>
      <c r="E81" s="131" t="s">
        <v>1485</v>
      </c>
      <c r="F81" s="131" t="s">
        <v>1488</v>
      </c>
      <c r="G81" s="131" t="s">
        <v>1500</v>
      </c>
      <c r="M81" s="131" t="s">
        <v>1501</v>
      </c>
      <c r="N81" s="131" t="s">
        <v>1441</v>
      </c>
      <c r="O81" s="127">
        <v>44409</v>
      </c>
      <c r="P81" s="127">
        <v>44454</v>
      </c>
      <c r="Q81" s="127">
        <v>44409</v>
      </c>
      <c r="R81" s="127">
        <v>44415</v>
      </c>
      <c r="S81" s="128">
        <v>32</v>
      </c>
      <c r="T81" s="128">
        <v>12</v>
      </c>
      <c r="U81" s="128">
        <v>5</v>
      </c>
      <c r="V81" s="129">
        <v>0</v>
      </c>
      <c r="W81" s="128">
        <v>0</v>
      </c>
      <c r="X81" s="130">
        <v>1</v>
      </c>
      <c r="Y81" s="130">
        <v>0</v>
      </c>
      <c r="Z81" s="130">
        <v>0</v>
      </c>
      <c r="AC81" s="129">
        <v>0</v>
      </c>
    </row>
    <row r="82" spans="1:29">
      <c r="A82" s="131" t="s">
        <v>1090</v>
      </c>
      <c r="B82" s="131" t="s">
        <v>1500</v>
      </c>
      <c r="C82" s="131" t="s">
        <v>1071</v>
      </c>
      <c r="D82" s="131" t="s">
        <v>1521</v>
      </c>
      <c r="E82" s="131" t="s">
        <v>1485</v>
      </c>
      <c r="F82" s="131" t="s">
        <v>1488</v>
      </c>
      <c r="G82" s="131" t="s">
        <v>1500</v>
      </c>
      <c r="M82" s="131" t="s">
        <v>1501</v>
      </c>
      <c r="N82" s="131" t="s">
        <v>1441</v>
      </c>
      <c r="O82" s="127">
        <v>44409</v>
      </c>
      <c r="P82" s="127">
        <v>44454</v>
      </c>
      <c r="Q82" s="127">
        <v>44416</v>
      </c>
      <c r="R82" s="127">
        <v>44422</v>
      </c>
      <c r="S82" s="128">
        <v>33</v>
      </c>
      <c r="T82" s="128">
        <v>13</v>
      </c>
      <c r="U82" s="128">
        <v>5</v>
      </c>
      <c r="V82" s="129">
        <v>0</v>
      </c>
      <c r="W82" s="128">
        <v>0</v>
      </c>
      <c r="X82" s="130">
        <v>1</v>
      </c>
      <c r="Y82" s="130">
        <v>0</v>
      </c>
      <c r="Z82" s="130">
        <v>0</v>
      </c>
      <c r="AC82" s="129">
        <v>0</v>
      </c>
    </row>
    <row r="83" spans="1:29">
      <c r="A83" s="131" t="s">
        <v>1090</v>
      </c>
      <c r="B83" s="131" t="s">
        <v>1500</v>
      </c>
      <c r="C83" s="131" t="s">
        <v>1071</v>
      </c>
      <c r="D83" s="131" t="s">
        <v>1521</v>
      </c>
      <c r="E83" s="131" t="s">
        <v>1485</v>
      </c>
      <c r="F83" s="131" t="s">
        <v>1488</v>
      </c>
      <c r="G83" s="131" t="s">
        <v>1500</v>
      </c>
      <c r="M83" s="131" t="s">
        <v>1501</v>
      </c>
      <c r="N83" s="131" t="s">
        <v>1441</v>
      </c>
      <c r="O83" s="127">
        <v>44409</v>
      </c>
      <c r="P83" s="127">
        <v>44454</v>
      </c>
      <c r="Q83" s="127">
        <v>44423</v>
      </c>
      <c r="R83" s="127">
        <v>44429</v>
      </c>
      <c r="S83" s="128">
        <v>34</v>
      </c>
      <c r="T83" s="128">
        <v>14</v>
      </c>
      <c r="U83" s="128">
        <v>5</v>
      </c>
      <c r="V83" s="129">
        <v>0</v>
      </c>
      <c r="W83" s="128">
        <v>0</v>
      </c>
      <c r="X83" s="130">
        <v>1</v>
      </c>
      <c r="Y83" s="130">
        <v>0</v>
      </c>
      <c r="Z83" s="130">
        <v>0</v>
      </c>
      <c r="AC83" s="129">
        <v>0</v>
      </c>
    </row>
    <row r="84" spans="1:29">
      <c r="A84" s="131" t="s">
        <v>1090</v>
      </c>
      <c r="B84" s="131" t="s">
        <v>1500</v>
      </c>
      <c r="C84" s="131" t="s">
        <v>1071</v>
      </c>
      <c r="D84" s="131" t="s">
        <v>1521</v>
      </c>
      <c r="E84" s="131" t="s">
        <v>1485</v>
      </c>
      <c r="F84" s="131" t="s">
        <v>1488</v>
      </c>
      <c r="G84" s="131" t="s">
        <v>1500</v>
      </c>
      <c r="M84" s="131" t="s">
        <v>1501</v>
      </c>
      <c r="N84" s="131" t="s">
        <v>1441</v>
      </c>
      <c r="O84" s="127">
        <v>44409</v>
      </c>
      <c r="P84" s="127">
        <v>44454</v>
      </c>
      <c r="Q84" s="127">
        <v>44430</v>
      </c>
      <c r="R84" s="127">
        <v>44436</v>
      </c>
      <c r="S84" s="128">
        <v>35</v>
      </c>
      <c r="T84" s="128">
        <v>15</v>
      </c>
      <c r="U84" s="128">
        <v>5</v>
      </c>
      <c r="V84" s="129">
        <v>0</v>
      </c>
      <c r="W84" s="128">
        <v>0</v>
      </c>
      <c r="X84" s="130">
        <v>1</v>
      </c>
      <c r="Y84" s="130">
        <v>0</v>
      </c>
      <c r="Z84" s="130">
        <v>0</v>
      </c>
      <c r="AC84" s="129">
        <v>0</v>
      </c>
    </row>
    <row r="85" spans="1:29">
      <c r="A85" s="131" t="s">
        <v>1090</v>
      </c>
      <c r="B85" s="131" t="s">
        <v>1500</v>
      </c>
      <c r="C85" s="131" t="s">
        <v>1071</v>
      </c>
      <c r="D85" s="131" t="s">
        <v>1521</v>
      </c>
      <c r="E85" s="131" t="s">
        <v>1485</v>
      </c>
      <c r="F85" s="131" t="s">
        <v>1488</v>
      </c>
      <c r="G85" s="131" t="s">
        <v>1500</v>
      </c>
      <c r="M85" s="131" t="s">
        <v>1501</v>
      </c>
      <c r="N85" s="131" t="s">
        <v>1441</v>
      </c>
      <c r="O85" s="127">
        <v>44409</v>
      </c>
      <c r="P85" s="127">
        <v>44454</v>
      </c>
      <c r="Q85" s="127">
        <v>44437</v>
      </c>
      <c r="R85" s="127">
        <v>44443</v>
      </c>
      <c r="S85" s="128">
        <v>36</v>
      </c>
      <c r="T85" s="128">
        <v>16</v>
      </c>
      <c r="U85" s="128">
        <v>5</v>
      </c>
      <c r="V85" s="129">
        <v>0</v>
      </c>
      <c r="W85" s="128">
        <v>0</v>
      </c>
      <c r="X85" s="130">
        <v>1</v>
      </c>
      <c r="Y85" s="130">
        <v>0</v>
      </c>
      <c r="Z85" s="130">
        <v>0</v>
      </c>
      <c r="AC85" s="129">
        <v>0</v>
      </c>
    </row>
    <row r="86" spans="1:29">
      <c r="A86" s="131" t="s">
        <v>1090</v>
      </c>
      <c r="B86" s="131" t="s">
        <v>1500</v>
      </c>
      <c r="C86" s="131" t="s">
        <v>1071</v>
      </c>
      <c r="D86" s="131" t="s">
        <v>1521</v>
      </c>
      <c r="E86" s="131" t="s">
        <v>1485</v>
      </c>
      <c r="F86" s="131" t="s">
        <v>1488</v>
      </c>
      <c r="G86" s="131" t="s">
        <v>1500</v>
      </c>
      <c r="M86" s="131" t="s">
        <v>1501</v>
      </c>
      <c r="N86" s="131" t="s">
        <v>1441</v>
      </c>
      <c r="O86" s="127">
        <v>44409</v>
      </c>
      <c r="P86" s="127">
        <v>44454</v>
      </c>
      <c r="Q86" s="127">
        <v>44444</v>
      </c>
      <c r="R86" s="127">
        <v>44450</v>
      </c>
      <c r="S86" s="128">
        <v>37</v>
      </c>
      <c r="T86" s="128">
        <v>17</v>
      </c>
      <c r="U86" s="128">
        <v>5</v>
      </c>
      <c r="V86" s="129">
        <v>0</v>
      </c>
      <c r="W86" s="128">
        <v>0</v>
      </c>
      <c r="X86" s="130">
        <v>1</v>
      </c>
      <c r="Y86" s="130">
        <v>0</v>
      </c>
      <c r="Z86" s="130">
        <v>0</v>
      </c>
      <c r="AC86" s="129">
        <v>0</v>
      </c>
    </row>
    <row r="87" spans="1:29">
      <c r="A87" s="131" t="s">
        <v>1090</v>
      </c>
      <c r="B87" s="131" t="s">
        <v>1500</v>
      </c>
      <c r="C87" s="131" t="s">
        <v>1071</v>
      </c>
      <c r="D87" s="131" t="s">
        <v>1521</v>
      </c>
      <c r="E87" s="131" t="s">
        <v>1485</v>
      </c>
      <c r="F87" s="131" t="s">
        <v>1488</v>
      </c>
      <c r="G87" s="131" t="s">
        <v>1500</v>
      </c>
      <c r="M87" s="131" t="s">
        <v>1501</v>
      </c>
      <c r="N87" s="131" t="s">
        <v>1441</v>
      </c>
      <c r="O87" s="127">
        <v>44409</v>
      </c>
      <c r="P87" s="127">
        <v>44454</v>
      </c>
      <c r="Q87" s="127">
        <v>44451</v>
      </c>
      <c r="R87" s="127">
        <v>44457</v>
      </c>
      <c r="S87" s="128">
        <v>38</v>
      </c>
      <c r="T87" s="128">
        <v>18</v>
      </c>
      <c r="U87" s="128">
        <v>3</v>
      </c>
      <c r="V87" s="129">
        <v>0</v>
      </c>
      <c r="W87" s="128">
        <v>0</v>
      </c>
      <c r="X87" s="130">
        <v>1</v>
      </c>
      <c r="Y87" s="130">
        <v>0</v>
      </c>
      <c r="Z87" s="130">
        <v>0</v>
      </c>
      <c r="AC87" s="129">
        <v>0</v>
      </c>
    </row>
    <row r="88" spans="1:29">
      <c r="A88" s="131" t="s">
        <v>1089</v>
      </c>
      <c r="B88" s="131" t="s">
        <v>1503</v>
      </c>
      <c r="C88" s="131" t="s">
        <v>1071</v>
      </c>
      <c r="D88" s="131" t="s">
        <v>1521</v>
      </c>
      <c r="E88" s="131" t="s">
        <v>1502</v>
      </c>
      <c r="F88" s="131" t="s">
        <v>1503</v>
      </c>
      <c r="M88" s="131" t="s">
        <v>1504</v>
      </c>
      <c r="N88" s="131" t="s">
        <v>1441</v>
      </c>
      <c r="O88" s="127">
        <v>44437</v>
      </c>
      <c r="P88" s="127">
        <v>44455</v>
      </c>
      <c r="Q88" s="127">
        <v>44437</v>
      </c>
      <c r="R88" s="127">
        <v>44443</v>
      </c>
      <c r="S88" s="128">
        <v>36</v>
      </c>
      <c r="T88" s="128">
        <v>16</v>
      </c>
      <c r="U88" s="128">
        <v>5</v>
      </c>
      <c r="V88" s="129">
        <v>0</v>
      </c>
      <c r="W88" s="128">
        <v>0</v>
      </c>
      <c r="X88" s="130">
        <v>1</v>
      </c>
      <c r="Y88" s="130">
        <v>0</v>
      </c>
      <c r="Z88" s="130">
        <v>0</v>
      </c>
      <c r="AC88" s="129">
        <v>0</v>
      </c>
    </row>
    <row r="89" spans="1:29">
      <c r="A89" s="131" t="s">
        <v>1089</v>
      </c>
      <c r="B89" s="131" t="s">
        <v>1503</v>
      </c>
      <c r="C89" s="131" t="s">
        <v>1071</v>
      </c>
      <c r="D89" s="131" t="s">
        <v>1521</v>
      </c>
      <c r="E89" s="131" t="s">
        <v>1502</v>
      </c>
      <c r="F89" s="131" t="s">
        <v>1503</v>
      </c>
      <c r="M89" s="131" t="s">
        <v>1504</v>
      </c>
      <c r="N89" s="131" t="s">
        <v>1441</v>
      </c>
      <c r="O89" s="127">
        <v>44437</v>
      </c>
      <c r="P89" s="127">
        <v>44455</v>
      </c>
      <c r="Q89" s="127">
        <v>44444</v>
      </c>
      <c r="R89" s="127">
        <v>44450</v>
      </c>
      <c r="S89" s="128">
        <v>37</v>
      </c>
      <c r="T89" s="128">
        <v>17</v>
      </c>
      <c r="U89" s="128">
        <v>5</v>
      </c>
      <c r="V89" s="129">
        <v>0</v>
      </c>
      <c r="W89" s="128">
        <v>0</v>
      </c>
      <c r="X89" s="130">
        <v>1</v>
      </c>
      <c r="Y89" s="130">
        <v>0</v>
      </c>
      <c r="Z89" s="130">
        <v>0</v>
      </c>
      <c r="AC89" s="129">
        <v>0</v>
      </c>
    </row>
    <row r="90" spans="1:29">
      <c r="A90" s="131" t="s">
        <v>1089</v>
      </c>
      <c r="B90" s="131" t="s">
        <v>1503</v>
      </c>
      <c r="C90" s="131" t="s">
        <v>1071</v>
      </c>
      <c r="D90" s="131" t="s">
        <v>1521</v>
      </c>
      <c r="E90" s="131" t="s">
        <v>1502</v>
      </c>
      <c r="F90" s="131" t="s">
        <v>1503</v>
      </c>
      <c r="M90" s="131" t="s">
        <v>1504</v>
      </c>
      <c r="N90" s="131" t="s">
        <v>1441</v>
      </c>
      <c r="O90" s="127">
        <v>44437</v>
      </c>
      <c r="P90" s="127">
        <v>44455</v>
      </c>
      <c r="Q90" s="127">
        <v>44451</v>
      </c>
      <c r="R90" s="127">
        <v>44457</v>
      </c>
      <c r="S90" s="128">
        <v>38</v>
      </c>
      <c r="T90" s="128">
        <v>18</v>
      </c>
      <c r="U90" s="128">
        <v>4</v>
      </c>
      <c r="V90" s="129">
        <v>0</v>
      </c>
      <c r="W90" s="128">
        <v>0</v>
      </c>
      <c r="X90" s="130">
        <v>1</v>
      </c>
      <c r="Y90" s="130">
        <v>0</v>
      </c>
      <c r="Z90" s="130">
        <v>0</v>
      </c>
      <c r="AC90" s="129">
        <v>0</v>
      </c>
    </row>
    <row r="91" spans="1:29">
      <c r="A91" s="131" t="s">
        <v>1089</v>
      </c>
      <c r="B91" s="131" t="s">
        <v>1505</v>
      </c>
      <c r="C91" s="131" t="s">
        <v>1071</v>
      </c>
      <c r="D91" s="131" t="s">
        <v>1521</v>
      </c>
      <c r="E91" s="131" t="s">
        <v>1502</v>
      </c>
      <c r="F91" s="131" t="s">
        <v>1505</v>
      </c>
      <c r="M91" s="131" t="s">
        <v>1506</v>
      </c>
      <c r="N91" s="131" t="s">
        <v>1441</v>
      </c>
      <c r="O91" s="127">
        <v>44458</v>
      </c>
      <c r="P91" s="127">
        <v>44462</v>
      </c>
      <c r="Q91" s="127">
        <v>44458</v>
      </c>
      <c r="R91" s="127">
        <v>44464</v>
      </c>
      <c r="S91" s="128">
        <v>39</v>
      </c>
      <c r="T91" s="128">
        <v>19</v>
      </c>
      <c r="U91" s="128">
        <v>1</v>
      </c>
      <c r="V91" s="129">
        <v>0</v>
      </c>
      <c r="W91" s="128">
        <v>0</v>
      </c>
      <c r="X91" s="130">
        <v>1</v>
      </c>
      <c r="Y91" s="130">
        <v>0</v>
      </c>
      <c r="Z91" s="130">
        <v>0</v>
      </c>
      <c r="AC91" s="129">
        <v>0</v>
      </c>
    </row>
    <row r="92" spans="1:29">
      <c r="A92" s="131" t="s">
        <v>1089</v>
      </c>
      <c r="B92" s="131" t="s">
        <v>1508</v>
      </c>
      <c r="C92" s="131" t="s">
        <v>1071</v>
      </c>
      <c r="D92" s="131" t="s">
        <v>1522</v>
      </c>
      <c r="E92" s="131" t="s">
        <v>1507</v>
      </c>
      <c r="F92" s="131" t="s">
        <v>1508</v>
      </c>
      <c r="M92" s="131" t="s">
        <v>1509</v>
      </c>
      <c r="N92" s="131" t="s">
        <v>1441</v>
      </c>
      <c r="O92" s="127">
        <v>44458</v>
      </c>
      <c r="P92" s="127">
        <v>44460</v>
      </c>
      <c r="Q92" s="127">
        <v>44458</v>
      </c>
      <c r="R92" s="127">
        <v>44464</v>
      </c>
      <c r="S92" s="128">
        <v>39</v>
      </c>
      <c r="T92" s="128">
        <v>19</v>
      </c>
      <c r="U92" s="128">
        <v>0</v>
      </c>
      <c r="V92" s="129">
        <v>0</v>
      </c>
      <c r="W92" s="128">
        <v>0</v>
      </c>
      <c r="X92" s="130">
        <v>1</v>
      </c>
      <c r="Y92" s="130">
        <v>0</v>
      </c>
      <c r="Z92" s="130">
        <v>0</v>
      </c>
      <c r="AC92" s="129">
        <v>0</v>
      </c>
    </row>
    <row r="93" spans="1:29">
      <c r="A93" s="131" t="s">
        <v>1089</v>
      </c>
      <c r="B93" s="131" t="s">
        <v>1511</v>
      </c>
      <c r="C93" s="131" t="s">
        <v>1071</v>
      </c>
      <c r="D93" s="131" t="s">
        <v>1522</v>
      </c>
      <c r="E93" s="131" t="s">
        <v>1510</v>
      </c>
      <c r="F93" s="131" t="s">
        <v>1511</v>
      </c>
      <c r="M93" s="131" t="s">
        <v>1512</v>
      </c>
      <c r="N93" s="131" t="s">
        <v>1441</v>
      </c>
      <c r="O93" s="127">
        <v>44462</v>
      </c>
      <c r="P93" s="127">
        <v>44464</v>
      </c>
      <c r="Q93" s="127">
        <v>44458</v>
      </c>
      <c r="R93" s="127">
        <v>44464</v>
      </c>
      <c r="S93" s="128">
        <v>39</v>
      </c>
      <c r="T93" s="128">
        <v>19</v>
      </c>
      <c r="U93" s="128">
        <v>2</v>
      </c>
      <c r="V93" s="129">
        <v>0</v>
      </c>
      <c r="W93" s="128">
        <v>0</v>
      </c>
      <c r="X93" s="130">
        <v>1</v>
      </c>
      <c r="Y93" s="130">
        <v>0</v>
      </c>
      <c r="Z93" s="130">
        <v>0</v>
      </c>
      <c r="AC93" s="129">
        <v>0</v>
      </c>
    </row>
    <row r="94" spans="1:29">
      <c r="A94" s="131" t="s">
        <v>1089</v>
      </c>
      <c r="B94" s="131" t="s">
        <v>1513</v>
      </c>
      <c r="C94" s="131" t="s">
        <v>1071</v>
      </c>
      <c r="D94" s="131" t="s">
        <v>1522</v>
      </c>
      <c r="E94" s="131" t="s">
        <v>1510</v>
      </c>
      <c r="F94" s="131" t="s">
        <v>1513</v>
      </c>
      <c r="M94" s="131" t="s">
        <v>1514</v>
      </c>
      <c r="N94" s="131" t="s">
        <v>1441</v>
      </c>
      <c r="O94" s="127">
        <v>44462</v>
      </c>
      <c r="P94" s="127">
        <v>44464</v>
      </c>
      <c r="Q94" s="127">
        <v>44458</v>
      </c>
      <c r="R94" s="127">
        <v>44464</v>
      </c>
      <c r="S94" s="128">
        <v>39</v>
      </c>
      <c r="T94" s="128">
        <v>19</v>
      </c>
      <c r="U94" s="128">
        <v>2</v>
      </c>
      <c r="V94" s="129">
        <v>0</v>
      </c>
      <c r="W94" s="128">
        <v>0</v>
      </c>
      <c r="X94" s="130">
        <v>1</v>
      </c>
      <c r="Y94" s="130">
        <v>0</v>
      </c>
      <c r="Z94" s="130">
        <v>0</v>
      </c>
      <c r="AC94" s="129">
        <v>0</v>
      </c>
    </row>
    <row r="95" spans="1:29">
      <c r="A95" s="131" t="s">
        <v>1089</v>
      </c>
      <c r="B95" s="131" t="s">
        <v>1515</v>
      </c>
      <c r="C95" s="131" t="s">
        <v>1071</v>
      </c>
      <c r="D95" s="131" t="s">
        <v>1522</v>
      </c>
      <c r="E95" s="131" t="s">
        <v>1510</v>
      </c>
      <c r="F95" s="131" t="s">
        <v>1515</v>
      </c>
      <c r="M95" s="131" t="s">
        <v>1516</v>
      </c>
      <c r="N95" s="131" t="s">
        <v>1441</v>
      </c>
      <c r="O95" s="127">
        <v>44462</v>
      </c>
      <c r="P95" s="127">
        <v>44464</v>
      </c>
      <c r="Q95" s="127">
        <v>44458</v>
      </c>
      <c r="R95" s="127">
        <v>44464</v>
      </c>
      <c r="S95" s="128">
        <v>39</v>
      </c>
      <c r="T95" s="128">
        <v>19</v>
      </c>
      <c r="U95" s="128">
        <v>2</v>
      </c>
      <c r="V95" s="129">
        <v>0</v>
      </c>
      <c r="W95" s="128">
        <v>0</v>
      </c>
      <c r="X95" s="130">
        <v>1</v>
      </c>
      <c r="Y95" s="130">
        <v>0</v>
      </c>
      <c r="Z95" s="130">
        <v>0</v>
      </c>
      <c r="AC95" s="129">
        <v>0</v>
      </c>
    </row>
    <row r="96" spans="1:29">
      <c r="A96" s="131" t="s">
        <v>1089</v>
      </c>
      <c r="B96" s="131" t="s">
        <v>1517</v>
      </c>
      <c r="C96" s="131" t="s">
        <v>1071</v>
      </c>
      <c r="D96" s="131" t="s">
        <v>1522</v>
      </c>
      <c r="E96" s="131" t="s">
        <v>1510</v>
      </c>
      <c r="F96" s="131" t="s">
        <v>1517</v>
      </c>
      <c r="M96" s="131" t="s">
        <v>1518</v>
      </c>
      <c r="N96" s="131" t="s">
        <v>1441</v>
      </c>
      <c r="O96" s="127">
        <v>44465</v>
      </c>
      <c r="P96" s="127">
        <v>44465</v>
      </c>
      <c r="Q96" s="127">
        <v>44465</v>
      </c>
      <c r="R96" s="127">
        <v>44471</v>
      </c>
      <c r="S96" s="128">
        <v>40</v>
      </c>
      <c r="T96" s="128">
        <v>20</v>
      </c>
      <c r="U96" s="128">
        <v>0</v>
      </c>
      <c r="V96" s="129">
        <v>0</v>
      </c>
      <c r="W96" s="128">
        <v>0</v>
      </c>
      <c r="X96" s="130">
        <v>0</v>
      </c>
      <c r="Y96" s="130">
        <v>0</v>
      </c>
      <c r="Z96" s="130">
        <v>0</v>
      </c>
      <c r="AC96" s="129">
        <v>0</v>
      </c>
    </row>
  </sheetData>
  <phoneticPr fontId="2" type="noConversion"/>
  <pageMargins left="0.7" right="0.7" top="0.75" bottom="0.75" header="0.3" footer="0.3"/>
  <pageSetup paperSize="9"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5"/>
  <dimension ref="A1:Z17"/>
  <sheetViews>
    <sheetView zoomScale="85" zoomScaleNormal="85" workbookViewId="0">
      <selection activeCell="I30" sqref="I30"/>
    </sheetView>
  </sheetViews>
  <sheetFormatPr defaultRowHeight="16.5"/>
  <cols>
    <col min="1" max="1" width="50.625" bestFit="1" customWidth="1"/>
    <col min="2" max="2" width="19" bestFit="1" customWidth="1"/>
    <col min="3" max="3" width="23" bestFit="1" customWidth="1"/>
    <col min="4" max="4" width="14.25" bestFit="1" customWidth="1"/>
    <col min="5" max="5" width="9.375" bestFit="1" customWidth="1"/>
    <col min="6" max="6" width="5.75" bestFit="1" customWidth="1"/>
    <col min="7" max="7" width="17.875" bestFit="1" customWidth="1"/>
    <col min="8" max="8" width="5.25" bestFit="1" customWidth="1"/>
    <col min="9" max="10" width="11.625" style="83" bestFit="1" customWidth="1"/>
    <col min="11" max="11" width="24.875" style="83" bestFit="1" customWidth="1"/>
    <col min="12" max="12" width="9.125" bestFit="1" customWidth="1"/>
    <col min="14" max="14" width="24.875" style="83" bestFit="1" customWidth="1"/>
    <col min="15" max="15" width="11" bestFit="1" customWidth="1"/>
    <col min="16" max="16" width="7.125" bestFit="1" customWidth="1"/>
    <col min="18" max="19" width="11" bestFit="1" customWidth="1"/>
    <col min="20" max="20" width="13" bestFit="1" customWidth="1"/>
    <col min="21" max="21" width="11" bestFit="1" customWidth="1"/>
    <col min="22" max="22" width="7.125" bestFit="1" customWidth="1"/>
    <col min="23" max="23" width="13.5" bestFit="1" customWidth="1"/>
    <col min="24" max="24" width="7.125" bestFit="1" customWidth="1"/>
    <col min="25" max="26" width="11" bestFit="1" customWidth="1"/>
    <col min="27" max="27" width="0" hidden="1" customWidth="1"/>
  </cols>
  <sheetData>
    <row r="1" spans="1:26">
      <c r="A1" s="94" t="s">
        <v>964</v>
      </c>
      <c r="B1" s="94" t="s">
        <v>967</v>
      </c>
      <c r="C1" s="94" t="s">
        <v>965</v>
      </c>
      <c r="D1" s="94" t="s">
        <v>1292</v>
      </c>
      <c r="E1" s="94" t="s">
        <v>963</v>
      </c>
      <c r="F1" s="94" t="s">
        <v>341</v>
      </c>
      <c r="G1" s="94" t="s">
        <v>1268</v>
      </c>
      <c r="H1" s="94" t="s">
        <v>529</v>
      </c>
      <c r="I1" s="137" t="s">
        <v>1389</v>
      </c>
      <c r="J1" s="137" t="s">
        <v>548</v>
      </c>
      <c r="K1" s="137" t="s">
        <v>1293</v>
      </c>
      <c r="L1" s="94" t="s">
        <v>123</v>
      </c>
      <c r="M1" s="94" t="s">
        <v>1388</v>
      </c>
      <c r="N1" s="137" t="s">
        <v>1392</v>
      </c>
      <c r="O1" s="94" t="s">
        <v>558</v>
      </c>
      <c r="P1" s="94" t="s">
        <v>559</v>
      </c>
      <c r="Q1" s="94" t="s">
        <v>560</v>
      </c>
      <c r="R1" s="94" t="s">
        <v>561</v>
      </c>
      <c r="S1" s="94" t="s">
        <v>562</v>
      </c>
      <c r="T1" s="94" t="s">
        <v>563</v>
      </c>
      <c r="U1" s="94" t="s">
        <v>564</v>
      </c>
      <c r="V1" s="94" t="s">
        <v>530</v>
      </c>
      <c r="W1" s="94" t="s">
        <v>1267</v>
      </c>
      <c r="X1" s="94" t="s">
        <v>531</v>
      </c>
      <c r="Y1" s="94" t="s">
        <v>762</v>
      </c>
      <c r="Z1" s="94" t="s">
        <v>589</v>
      </c>
    </row>
    <row r="2" spans="1:26">
      <c r="A2" s="212"/>
      <c r="B2" t="s">
        <v>1270</v>
      </c>
      <c r="C2" t="s">
        <v>1117</v>
      </c>
      <c r="D2" t="s">
        <v>1007</v>
      </c>
      <c r="E2">
        <v>1</v>
      </c>
      <c r="F2" t="s">
        <v>1007</v>
      </c>
      <c r="G2" t="s">
        <v>1271</v>
      </c>
      <c r="I2" s="83">
        <v>44340</v>
      </c>
      <c r="J2" s="83">
        <v>44407</v>
      </c>
      <c r="Y2">
        <v>0</v>
      </c>
      <c r="Z2">
        <v>0</v>
      </c>
    </row>
    <row r="3" spans="1:26">
      <c r="B3" s="83">
        <v>44317</v>
      </c>
      <c r="C3" t="s">
        <v>1118</v>
      </c>
      <c r="D3" t="s">
        <v>1071</v>
      </c>
      <c r="E3">
        <v>2</v>
      </c>
      <c r="F3" t="s">
        <v>1081</v>
      </c>
      <c r="G3" t="s">
        <v>640</v>
      </c>
      <c r="I3" s="83">
        <v>44340</v>
      </c>
      <c r="J3" s="83">
        <v>44344</v>
      </c>
      <c r="Y3">
        <v>0</v>
      </c>
      <c r="Z3">
        <v>0</v>
      </c>
    </row>
    <row r="4" spans="1:26">
      <c r="B4" s="83">
        <v>44439</v>
      </c>
      <c r="C4" t="s">
        <v>1119</v>
      </c>
      <c r="D4" t="s">
        <v>1088</v>
      </c>
      <c r="E4">
        <v>3</v>
      </c>
      <c r="F4" t="s">
        <v>1082</v>
      </c>
      <c r="G4" t="s">
        <v>1272</v>
      </c>
      <c r="I4" s="83">
        <v>44340</v>
      </c>
      <c r="J4" s="83">
        <v>44343</v>
      </c>
      <c r="W4" t="s">
        <v>1273</v>
      </c>
      <c r="Y4" s="84">
        <v>1</v>
      </c>
      <c r="Z4" s="84">
        <v>1</v>
      </c>
    </row>
    <row r="5" spans="1:26">
      <c r="B5" s="84">
        <v>0.45</v>
      </c>
      <c r="C5" t="s">
        <v>1120</v>
      </c>
      <c r="D5" t="s">
        <v>1089</v>
      </c>
      <c r="E5">
        <v>3</v>
      </c>
      <c r="F5" t="s">
        <v>1083</v>
      </c>
      <c r="G5" t="s">
        <v>1274</v>
      </c>
      <c r="I5" s="83">
        <v>44344</v>
      </c>
      <c r="J5" s="83">
        <v>44344</v>
      </c>
      <c r="K5" s="83" t="s">
        <v>1294</v>
      </c>
      <c r="N5" s="83" t="s">
        <v>1294</v>
      </c>
      <c r="R5" s="83"/>
      <c r="Y5" s="84">
        <v>1</v>
      </c>
      <c r="Z5" s="84">
        <v>1</v>
      </c>
    </row>
    <row r="6" spans="1:26">
      <c r="B6" s="93">
        <v>0.43330000000000002</v>
      </c>
      <c r="C6" t="s">
        <v>1121</v>
      </c>
      <c r="D6" t="s">
        <v>1090</v>
      </c>
      <c r="E6">
        <v>3</v>
      </c>
      <c r="F6" t="s">
        <v>1104</v>
      </c>
      <c r="G6" t="s">
        <v>1102</v>
      </c>
      <c r="I6" s="83">
        <v>44340</v>
      </c>
      <c r="J6" s="83">
        <v>44342</v>
      </c>
      <c r="W6" t="s">
        <v>1275</v>
      </c>
      <c r="Y6">
        <v>0</v>
      </c>
      <c r="Z6">
        <v>0</v>
      </c>
    </row>
    <row r="7" spans="1:26">
      <c r="C7" t="s">
        <v>1122</v>
      </c>
      <c r="D7" t="s">
        <v>1091</v>
      </c>
      <c r="E7">
        <v>3</v>
      </c>
      <c r="F7" t="s">
        <v>1105</v>
      </c>
      <c r="G7" t="s">
        <v>1103</v>
      </c>
      <c r="I7" s="83">
        <v>44343</v>
      </c>
      <c r="J7" s="83">
        <v>44344</v>
      </c>
      <c r="W7" t="s">
        <v>1275</v>
      </c>
      <c r="Y7">
        <v>0</v>
      </c>
      <c r="Z7">
        <v>0</v>
      </c>
    </row>
    <row r="8" spans="1:26">
      <c r="C8" t="s">
        <v>1123</v>
      </c>
      <c r="D8" t="s">
        <v>1092</v>
      </c>
      <c r="E8">
        <v>2</v>
      </c>
      <c r="F8" t="s">
        <v>1084</v>
      </c>
      <c r="G8" t="s">
        <v>1276</v>
      </c>
      <c r="I8" s="83">
        <v>44347</v>
      </c>
      <c r="J8" s="83">
        <v>44365</v>
      </c>
      <c r="Y8">
        <v>0</v>
      </c>
      <c r="Z8">
        <v>0</v>
      </c>
    </row>
    <row r="9" spans="1:26">
      <c r="C9" t="s">
        <v>1124</v>
      </c>
      <c r="D9" t="s">
        <v>1093</v>
      </c>
      <c r="E9">
        <v>3</v>
      </c>
      <c r="F9" t="s">
        <v>1085</v>
      </c>
      <c r="G9" t="s">
        <v>1277</v>
      </c>
      <c r="I9" s="83">
        <v>44347</v>
      </c>
      <c r="J9" s="83">
        <v>44351</v>
      </c>
      <c r="W9" t="s">
        <v>1278</v>
      </c>
      <c r="Y9">
        <v>0</v>
      </c>
      <c r="Z9">
        <v>0</v>
      </c>
    </row>
    <row r="10" spans="1:26">
      <c r="C10" t="s">
        <v>1125</v>
      </c>
      <c r="D10" t="s">
        <v>1094</v>
      </c>
      <c r="E10">
        <v>3</v>
      </c>
      <c r="F10" t="s">
        <v>1106</v>
      </c>
      <c r="G10" t="s">
        <v>1279</v>
      </c>
      <c r="I10" s="83">
        <v>44354</v>
      </c>
      <c r="J10" s="83">
        <v>44365</v>
      </c>
      <c r="W10" t="s">
        <v>1278</v>
      </c>
      <c r="Y10">
        <v>0</v>
      </c>
      <c r="Z10">
        <v>0</v>
      </c>
    </row>
    <row r="11" spans="1:26">
      <c r="D11" t="s">
        <v>1095</v>
      </c>
      <c r="E11">
        <v>2</v>
      </c>
      <c r="F11" t="s">
        <v>1086</v>
      </c>
      <c r="G11" t="s">
        <v>1280</v>
      </c>
      <c r="I11" s="83">
        <v>44368</v>
      </c>
      <c r="J11" s="83">
        <v>44393</v>
      </c>
      <c r="Y11">
        <v>0</v>
      </c>
      <c r="Z11">
        <v>0</v>
      </c>
    </row>
    <row r="12" spans="1:26">
      <c r="D12" t="s">
        <v>1096</v>
      </c>
      <c r="E12">
        <v>3</v>
      </c>
      <c r="F12" t="s">
        <v>1087</v>
      </c>
      <c r="G12" t="s">
        <v>1281</v>
      </c>
      <c r="I12" s="83">
        <v>44368</v>
      </c>
      <c r="J12" s="83">
        <v>44386</v>
      </c>
      <c r="Y12">
        <v>0</v>
      </c>
      <c r="Z12">
        <v>0</v>
      </c>
    </row>
    <row r="13" spans="1:26">
      <c r="D13" t="s">
        <v>1097</v>
      </c>
      <c r="E13">
        <v>3</v>
      </c>
      <c r="F13" t="s">
        <v>1107</v>
      </c>
      <c r="G13" t="s">
        <v>1282</v>
      </c>
      <c r="I13" s="83">
        <v>44389</v>
      </c>
      <c r="J13" s="83">
        <v>44393</v>
      </c>
      <c r="W13" t="s">
        <v>1283</v>
      </c>
      <c r="Y13">
        <v>0</v>
      </c>
      <c r="Z13">
        <v>0</v>
      </c>
    </row>
    <row r="14" spans="1:26">
      <c r="D14" t="s">
        <v>1098</v>
      </c>
      <c r="E14">
        <v>2</v>
      </c>
      <c r="F14" t="s">
        <v>1108</v>
      </c>
      <c r="G14" t="s">
        <v>1284</v>
      </c>
      <c r="I14" s="83">
        <v>44396</v>
      </c>
      <c r="J14" s="83">
        <v>44407</v>
      </c>
      <c r="Y14">
        <v>0</v>
      </c>
      <c r="Z14">
        <v>0</v>
      </c>
    </row>
    <row r="15" spans="1:26">
      <c r="D15" t="s">
        <v>1099</v>
      </c>
      <c r="E15">
        <v>3</v>
      </c>
      <c r="F15" t="s">
        <v>1109</v>
      </c>
      <c r="G15" t="s">
        <v>1285</v>
      </c>
      <c r="I15" s="83">
        <v>44396</v>
      </c>
      <c r="J15" s="83">
        <v>44400</v>
      </c>
      <c r="W15" t="s">
        <v>1286</v>
      </c>
      <c r="Y15">
        <v>0</v>
      </c>
      <c r="Z15">
        <v>0</v>
      </c>
    </row>
    <row r="16" spans="1:26">
      <c r="D16" t="s">
        <v>1100</v>
      </c>
      <c r="E16">
        <v>3</v>
      </c>
      <c r="F16" t="s">
        <v>1110</v>
      </c>
      <c r="G16" t="s">
        <v>1287</v>
      </c>
      <c r="I16" s="83">
        <v>44403</v>
      </c>
      <c r="J16" s="83">
        <v>44405</v>
      </c>
      <c r="K16" s="83" t="s">
        <v>1295</v>
      </c>
      <c r="N16" s="83" t="s">
        <v>1295</v>
      </c>
      <c r="W16" t="s">
        <v>1288</v>
      </c>
      <c r="Y16">
        <v>0</v>
      </c>
      <c r="Z16">
        <v>0</v>
      </c>
    </row>
    <row r="17" spans="4:26">
      <c r="D17" t="s">
        <v>1101</v>
      </c>
      <c r="E17">
        <v>3</v>
      </c>
      <c r="F17" t="s">
        <v>1111</v>
      </c>
      <c r="G17" t="s">
        <v>1289</v>
      </c>
      <c r="I17" s="83">
        <v>44406</v>
      </c>
      <c r="J17" s="83">
        <v>44407</v>
      </c>
      <c r="W17" t="s">
        <v>1290</v>
      </c>
      <c r="Y17">
        <v>0</v>
      </c>
      <c r="Z17">
        <v>0</v>
      </c>
    </row>
  </sheetData>
  <phoneticPr fontId="2" type="noConversion"/>
  <pageMargins left="0.7" right="0.7" top="0.75" bottom="0.75" header="0.3" footer="0.3"/>
  <pageSetup paperSize="9" orientation="portrait" horizontalDpi="300" verticalDpi="300"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insertBeforeMso="TabHome">
        <!--tab idMso="TabHome" -->
        <group id="scheduling" label="Scheduling">
          <button id="cbtnCalcWBSbyArray" getLabel="xlgantt_ribbon_getlabel" size="large" onAction="calcWBSbyArrayFromRibbon" imageMso="DataRefreshDialog"/>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menu id="dropDownMenuWorkload" getLabel="xlgantt_ribbon_getlabel" size="large" imageMso="ChartTypeBarInsertGallery">
            <button id="cbtnCallMakeReportWorkloadWeeklyFromRibbon" getLabel="xlgantt_ribbon_getlabel" onAction="callMakeReportWorkloadWeeklyFromRibbon" imageMso="W"/>
            <button id="cbtnCallMakeReportWorkloadMonthlyFromRibbon" getLabel="xlgantt_ribbon_getlabel" onAction="callMakeReportWorkloadMonthlyFromRibbon" imageMso="M"/>
            <button id="cbtnCallMakeReportWorkloadByResourceFromRibbon" getLabel="xlgantt_ribbon_getlabel" onAction="callMakeReportWorkloadByResourceFromRibbon" imageMso="R"/>
          </menu>
          <menu id="dropDownMenuProgress" getLabel="xlgantt_ribbon_getlabel" size="large" imageMso="ChartTypeLineInsertGallery">
            <button id="cbtnCallMakeReportProgressWeekFromRibbon" getLabel="xlgantt_ribbon_getlabel" onAction="callMakeReportProgressWeekFromRibbon" imageMso="W"/>
            <button id="cbtnCallMakeReportProgressMonthFromRibbon" getLabel="xlgantt_ribbon_getlabel" onAction="callMakeReportProgressMonthFromRibbon" imageMso="M"/>
          </menu>
          <menu id="dropDownMenuMakeWorkloadData" getLabel="xlgantt_ribbon_getlabel" size="large" imageMso="CatalogMergeMoreRowsColumns">
            <button id="cbtnCallMakeWorkloadDataWeekFromRibbon" getLabel="xlgantt_ribbon_getlabel" onAction="callMakeWorkloadDataWeekFromRibbon" imageMso="W"/>
            <button id="cbtnCallMakeWorkloadDataMonthFromRibbon" getLabel="xlgantt_ribbon_getlabel" onAction="callMakeWorkloadDataMonthFromRibbon" imageMso="M"/>
          </menu>
        </group>
        <group id="settings" getLabel="xlgantt_ribbon_getlabel">
          <button id="cbtnCallSettingBasicInfoFromRibbon" getLabel="xlgantt_ribbon_getlabel" size="large" onAction="callSettingBasicInfoFromRibbon" imageMso="AddInManager"/>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ExportSharePointList"/>
          <button id="cbtnCallImportServerDataFromRibbon" getLabel="xlgantt_ribbon_getlabel" size="large" onAction="callImportServerDataFromRibbon" imageMso="GetExternalDataFromWeb"/>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8</vt:i4>
      </vt:variant>
      <vt:variant>
        <vt:lpstr>이름 지정된 범위</vt:lpstr>
      </vt:variant>
      <vt:variant>
        <vt:i4>34</vt:i4>
      </vt:variant>
    </vt:vector>
  </HeadingPairs>
  <TitlesOfParts>
    <vt:vector size="42" baseType="lpstr">
      <vt:lpstr>Help</vt:lpstr>
      <vt:lpstr>Schedule</vt:lpstr>
      <vt:lpstr>Progress</vt:lpstr>
      <vt:lpstr>AnalysisReport</vt:lpstr>
      <vt:lpstr>Calendar</vt:lpstr>
      <vt:lpstr>TranslatedLanguages</vt:lpstr>
      <vt:lpstr>Workload</vt:lpstr>
      <vt:lpstr>ServerData</vt:lpstr>
      <vt:lpstr>ACTUAL_RATE</vt:lpstr>
      <vt:lpstr>ACTUAL_WORKLOAD</vt:lpstr>
      <vt:lpstr>ACTUAL_WORKLOAD2</vt:lpstr>
      <vt:lpstr>English_Name</vt:lpstr>
      <vt:lpstr>PLANNED_RATE</vt:lpstr>
      <vt:lpstr>PLANNED_WORKLOAD</vt:lpstr>
      <vt:lpstr>Schedule!Print_Area</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COCONUT</cp:lastModifiedBy>
  <cp:lastPrinted>2021-01-01T13:36:29Z</cp:lastPrinted>
  <dcterms:created xsi:type="dcterms:W3CDTF">2018-02-18T09:45:14Z</dcterms:created>
  <dcterms:modified xsi:type="dcterms:W3CDTF">2022-01-18T09:29:20Z</dcterms:modified>
</cp:coreProperties>
</file>