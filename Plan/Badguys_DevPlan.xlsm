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COCONUT\Documents\BadGuys_2022\Plan\"/>
    </mc:Choice>
  </mc:AlternateContent>
  <xr:revisionPtr revIDLastSave="0" documentId="13_ncr:1_{E12410CC-211D-4700-B173-73D2D3C59927}" xr6:coauthVersionLast="47" xr6:coauthVersionMax="47" xr10:uidLastSave="{00000000-0000-0000-0000-000000000000}"/>
  <bookViews>
    <workbookView xWindow="-120" yWindow="-120" windowWidth="29040" windowHeight="1584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Schedule!$D$1:$AY$74</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L5" i="2" l="1"/>
  <c r="AN6" i="2"/>
  <c r="AM7" i="2"/>
  <c r="AK8" i="2"/>
  <c r="AJ9" i="2"/>
  <c r="AK10" i="2"/>
  <c r="AJ11" i="2"/>
  <c r="AK12" i="2"/>
  <c r="AK13" i="2"/>
  <c r="AK14" i="2"/>
  <c r="AL15" i="2"/>
  <c r="AL16" i="2"/>
  <c r="AM17" i="2"/>
  <c r="AM18" i="2"/>
  <c r="AL19" i="2"/>
  <c r="AK20" i="2"/>
  <c r="AL21" i="2"/>
  <c r="AM22" i="2"/>
  <c r="AM23" i="2"/>
  <c r="AL24" i="2"/>
  <c r="AL25" i="2"/>
  <c r="AM26" i="2"/>
  <c r="AL27" i="2"/>
  <c r="AL28" i="2"/>
  <c r="AM30" i="2"/>
  <c r="AN31" i="2"/>
  <c r="AN32" i="2"/>
  <c r="AM33" i="2"/>
  <c r="AM34" i="2"/>
  <c r="AM35" i="2"/>
  <c r="AM36" i="2"/>
  <c r="AF37" i="2"/>
  <c r="AF38" i="2"/>
  <c r="AF39" i="2"/>
  <c r="AF40" i="2"/>
  <c r="AL45" i="2"/>
  <c r="AM46" i="2"/>
  <c r="AM47" i="2"/>
  <c r="AM48" i="2"/>
  <c r="AM49" i="2"/>
  <c r="AM50" i="2"/>
  <c r="AL56" i="2"/>
  <c r="AL57" i="2"/>
  <c r="AL58" i="2"/>
  <c r="AL59" i="2"/>
  <c r="AK60" i="2"/>
  <c r="AK61" i="2"/>
  <c r="AN61" i="2"/>
  <c r="AK62" i="2"/>
  <c r="AN62" i="2"/>
  <c r="AK63" i="2"/>
  <c r="AN63" i="2"/>
  <c r="AK64" i="2"/>
  <c r="AK65" i="2"/>
  <c r="AJ66" i="2"/>
  <c r="AM67" i="2"/>
  <c r="AM68" i="2"/>
  <c r="AM69" i="2"/>
  <c r="AM70" i="2"/>
  <c r="AM71" i="2"/>
  <c r="AL72" i="2"/>
  <c r="AL73" i="2"/>
  <c r="AK74" i="2"/>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I49" i="4"/>
  <c r="H49" i="4"/>
  <c r="J49" i="4" s="1"/>
  <c r="G49" i="4"/>
  <c r="I43" i="4"/>
  <c r="K43" i="4" s="1"/>
  <c r="H43" i="4"/>
  <c r="J43" i="4" s="1"/>
  <c r="G43" i="4"/>
  <c r="I41" i="4"/>
  <c r="H41" i="4"/>
  <c r="G41" i="4"/>
  <c r="I37" i="4"/>
  <c r="K37" i="4" s="1"/>
  <c r="H37" i="4"/>
  <c r="G37" i="4"/>
  <c r="I35" i="4"/>
  <c r="K35" i="4" s="1"/>
  <c r="H35" i="4"/>
  <c r="G35" i="4"/>
  <c r="I33" i="4"/>
  <c r="H33" i="4"/>
  <c r="G33" i="4"/>
  <c r="J33" i="4" s="1"/>
  <c r="I30" i="4"/>
  <c r="H30" i="4"/>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AE1" i="2" a="1"/>
  <c r="D1" i="2"/>
  <c r="J51" i="4" l="1"/>
  <c r="J35" i="4"/>
  <c r="J30" i="4"/>
  <c r="K51" i="4"/>
  <c r="L51" i="4" s="1"/>
  <c r="G53" i="4"/>
  <c r="L35" i="4"/>
  <c r="L43" i="4"/>
  <c r="I53" i="4"/>
  <c r="K53" i="4" s="1"/>
  <c r="J37" i="4"/>
  <c r="K49" i="4"/>
  <c r="L49" i="4" s="1"/>
  <c r="L37" i="4"/>
  <c r="K33" i="4"/>
  <c r="J41" i="4"/>
  <c r="K41" i="4"/>
  <c r="L33" i="4"/>
  <c r="L41" i="4"/>
  <c r="K30" i="4"/>
  <c r="H53" i="4"/>
  <c r="J53" i="4" s="1"/>
  <c r="AE2" i="2"/>
  <c r="AE1" i="2"/>
  <c r="L30" i="4" l="1"/>
  <c r="L53" i="4"/>
  <c r="B24" i="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<sst xmlns="http://schemas.openxmlformats.org/spreadsheetml/2006/main" count="3364" uniqueCount="1737">
  <si>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</si>
  <si>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</si>
  <si>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</si>
  <si>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</si>
  <si>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</si>
  <si>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</si>
  <si>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</si>
  <si>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</si>
  <si>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</si>
  <si>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</si>
  <si>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</si>
  <si>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</si>
  <si>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</si>
  <si>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</si>
  <si>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</si>
  <si>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</si>
  <si>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</si>
  <si>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</si>
  <si>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</si>
  <si>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</si>
  <si>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</si>
  <si>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</si>
  <si>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</si>
  <si>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</si>
  <si>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</si>
  <si>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</si>
  <si>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</si>
  <si>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</si>
  <si>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</si>
  <si>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</si>
  <si>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</si>
  <si>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</si>
  <si>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</si>
  <si>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</si>
  <si>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</si>
  <si>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</si>
  <si>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</si>
  <si>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</si>
  <si>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</si>
  <si>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</si>
  <si>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</si>
  <si>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</si>
  <si>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</si>
  <si>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</si>
  <si>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</si>
  <si>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</si>
  <si>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</si>
  <si>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</si>
  <si>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</si>
  <si>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</si>
  <si>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</si>
  <si>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</si>
  <si>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</si>
  <si>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</si>
  <si>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</si>
  <si>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</si>
  <si>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</si>
  <si>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</si>
  <si>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</si>
  <si>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</si>
  <si>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</si>
  <si>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</si>
  <si>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</si>
  <si>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</si>
  <si>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</si>
  <si>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</si>
  <si>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</si>
  <si>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</si>
  <si>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</si>
  <si>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</si>
  <si>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</si>
  <si>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</si>
  <si>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</si>
  <si>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</si>
  <si>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</si>
  <si>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</si>
  <si>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</si>
  <si>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</si>
  <si>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</si>
  <si>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</si>
  <si>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</si>
  <si>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</si>
  <si>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</si>
  <si>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</si>
  <si>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</si>
  <si>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</si>
  <si>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</si>
  <si>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</si>
  <si>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</si>
  <si>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</si>
  <si>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</si>
  <si>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</si>
  <si>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</si>
  <si>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</si>
  <si>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</si>
  <si>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</si>
  <si>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</si>
  <si>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</si>
  <si>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</si>
  <si>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</si>
  <si>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</si>
  <si>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</si>
  <si>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</si>
  <si>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</si>
  <si>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</si>
  <si>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</si>
  <si>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</si>
  <si>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</si>
  <si>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</si>
  <si>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</si>
  <si>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</si>
  <si>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</si>
  <si>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</si>
  <si>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</si>
  <si>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</si>
  <si>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</si>
  <si>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</si>
  <si>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</si>
  <si>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</si>
  <si>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</si>
  <si>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</si>
  <si>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</si>
  <si>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</si>
  <si>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</si>
  <si>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</si>
  <si>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</si>
  <si>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</si>
  <si>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</si>
  <si>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</si>
  <si>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</si>
  <si>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</si>
  <si>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</si>
  <si>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</si>
  <si>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</si>
  <si>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</si>
  <si>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</si>
  <si>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</si>
  <si>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</si>
  <si>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</si>
  <si>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</si>
  <si>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</si>
  <si>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</si>
  <si>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</si>
  <si>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</si>
  <si>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</si>
  <si>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</si>
  <si>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</si>
  <si>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</si>
  <si>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</si>
  <si>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</si>
  <si>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</si>
  <si>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</si>
  <si>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</si>
  <si>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</si>
  <si>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</si>
  <si>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</si>
  <si>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</si>
  <si>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</si>
  <si>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</si>
  <si>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</si>
  <si>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</si>
  <si>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</si>
  <si>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</si>
  <si>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</si>
  <si>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</si>
  <si>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</si>
  <si>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</si>
  <si>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</si>
  <si>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</si>
  <si>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</si>
  <si>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</si>
  <si>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</si>
  <si>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</si>
  <si>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</si>
  <si>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</si>
  <si>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</si>
  <si>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</si>
  <si>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</si>
  <si>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</si>
  <si>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</si>
  <si>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</si>
  <si>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</si>
  <si>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</si>
  <si>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</si>
  <si>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</si>
  <si>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</si>
  <si>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</si>
  <si>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</si>
  <si>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</si>
  <si>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</si>
  <si>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</si>
  <si>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</si>
  <si>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</si>
  <si>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</si>
  <si>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</si>
  <si>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</si>
  <si>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</si>
  <si>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</si>
  <si>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</si>
  <si>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</si>
  <si>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</si>
  <si>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</si>
  <si>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</si>
  <si>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</si>
  <si>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</si>
  <si>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</si>
  <si>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</si>
  <si>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</si>
  <si>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</si>
  <si>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</si>
  <si>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</si>
  <si>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</si>
  <si>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</si>
  <si>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</si>
  <si>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</si>
  <si>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</si>
  <si>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</si>
  <si>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</si>
  <si>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</si>
  <si>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</si>
  <si>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</si>
  <si>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</si>
  <si>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</si>
  <si>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</si>
  <si>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</si>
  <si>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</si>
  <si>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</si>
  <si>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</si>
  <si>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</si>
  <si>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</si>
  <si>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</si>
  <si>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</si>
  <si>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</si>
  <si>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</si>
  <si>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</si>
  <si>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</si>
  <si>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</si>
  <si>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</si>
  <si>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</si>
  <si>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</si>
  <si>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</si>
  <si>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</si>
  <si>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</si>
  <si>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</si>
  <si>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</si>
  <si>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</si>
  <si>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</si>
  <si>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</si>
  <si>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</si>
  <si>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</si>
  <si>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</si>
  <si>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</si>
  <si>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</si>
  <si>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</si>
  <si>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</si>
  <si>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</si>
  <si>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</si>
  <si>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</si>
  <si>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</si>
  <si>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</si>
  <si>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</si>
  <si>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</si>
  <si>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</si>
  <si>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</si>
  <si>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</si>
  <si>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</si>
  <si>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</si>
  <si>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</si>
  <si>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</si>
  <si>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</si>
  <si>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</si>
  <si>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</si>
  <si>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</si>
  <si>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</si>
  <si>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</si>
  <si>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</si>
  <si>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</si>
  <si>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</si>
  <si>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</si>
  <si>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</si>
  <si>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</si>
  <si>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</si>
  <si>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</si>
  <si>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</si>
  <si>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</si>
  <si>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</si>
  <si>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</si>
  <si>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</si>
  <si>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</si>
  <si>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</si>
  <si>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</si>
  <si>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</si>
  <si>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</si>
  <si>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</si>
  <si>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</si>
  <si>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</si>
  <si>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</si>
  <si>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</si>
  <si>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</si>
  <si>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</si>
  <si>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</si>
  <si>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</si>
  <si>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</si>
  <si>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</si>
  <si>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</si>
  <si>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</si>
  <si>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</si>
  <si>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</si>
  <si>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</si>
  <si>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</si>
  <si>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</si>
  <si>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</si>
  <si>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</si>
  <si>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</si>
  <si>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</si>
  <si>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</si>
  <si>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</si>
  <si>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</si>
  <si>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</si>
  <si>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</si>
  <si>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</si>
  <si>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</si>
  <si>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</si>
  <si>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</si>
  <si>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</si>
  <si>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</si>
  <si>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</si>
  <si>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</si>
  <si>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</si>
  <si>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</si>
  <si>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</si>
  <si>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</si>
  <si>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</si>
  <si>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</si>
  <si>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</si>
  <si>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</si>
  <si>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</si>
  <si>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</si>
  <si>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</si>
  <si>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</si>
  <si>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</si>
  <si>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</si>
  <si>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</si>
  <si>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</si>
  <si>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</si>
  <si>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</si>
  <si>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</si>
  <si>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</si>
  <si>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</si>
  <si>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</si>
  <si>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</si>
  <si>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</si>
  <si>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</si>
  <si>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</si>
  <si>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</si>
  <si>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</si>
  <si>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</si>
  <si>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</si>
  <si>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</si>
  <si>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</si>
  <si>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</si>
  <si>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</si>
  <si>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</si>
  <si>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</si>
  <si>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</si>
  <si>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</si>
  <si>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</si>
  <si>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</si>
  <si>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</si>
  <si>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</si>
  <si>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</si>
  <si>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</si>
  <si>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</si>
  <si>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</si>
  <si>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</si>
  <si>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</si>
  <si>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</si>
  <si>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</si>
  <si>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</si>
  <si>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</si>
  <si>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</si>
  <si>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</si>
  <si>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</si>
  <si>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</si>
  <si>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</si>
  <si>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</si>
  <si>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</si>
  <si>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</si>
  <si>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</si>
  <si>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</si>
  <si>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</si>
  <si>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</si>
  <si>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</si>
  <si>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</si>
  <si>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</si>
  <si>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</si>
  <si>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</si>
  <si>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</si>
  <si>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</si>
  <si>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</si>
  <si>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</si>
  <si>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</si>
  <si>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</si>
  <si>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</si>
  <si>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</si>
  <si>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</si>
  <si>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</si>
  <si>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</si>
  <si>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</si>
  <si>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</si>
  <si>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</si>
  <si>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</si>
  <si>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</si>
  <si>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</si>
  <si>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</si>
  <si>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</si>
  <si>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</si>
  <si>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</si>
  <si>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</si>
  <si>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</si>
  <si>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</si>
  <si>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</si>
  <si>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</si>
  <si>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</si>
  <si>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</si>
  <si>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</si>
  <si>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</si>
  <si>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</si>
  <si>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</si>
  <si>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</si>
  <si>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</si>
  <si>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</si>
  <si>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</si>
  <si>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</si>
  <si>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</si>
  <si>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</si>
  <si>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</si>
  <si>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</si>
  <si>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</si>
  <si>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</si>
  <si>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</si>
  <si>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</si>
  <si>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</si>
  <si>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</si>
  <si>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</si>
  <si>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</si>
  <si>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</si>
  <si>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</si>
  <si>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</si>
  <si>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</si>
  <si>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</si>
  <si>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</si>
  <si>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</si>
  <si>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</si>
  <si>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</si>
  <si>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</si>
  <si>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</si>
  <si>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</si>
  <si>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</si>
  <si>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</si>
  <si>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</si>
  <si>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</si>
  <si>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</si>
  <si>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</si>
  <si>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</si>
  <si>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</si>
  <si>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</si>
  <si>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</si>
  <si>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</si>
  <si>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</si>
  <si>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</si>
  <si>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</si>
  <si>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</si>
  <si>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</si>
  <si>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</si>
  <si>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</si>
  <si>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</si>
  <si>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</si>
  <si>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</si>
  <si>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</si>
  <si>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</si>
  <si>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</si>
  <si>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</si>
  <si>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</si>
  <si>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</si>
  <si>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</si>
  <si>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</si>
  <si>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</si>
  <si>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</si>
  <si>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</si>
  <si>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</si>
  <si>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</si>
  <si>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</si>
  <si>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</si>
  <si>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</si>
  <si>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</si>
  <si>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</si>
  <si>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</si>
  <si>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</si>
  <si>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</si>
  <si>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</si>
  <si>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</si>
  <si>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</si>
  <si>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</si>
  <si>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</si>
  <si>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</si>
  <si>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</si>
  <si>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</si>
  <si>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</si>
  <si>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</si>
  <si>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</si>
  <si>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</si>
  <si>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</si>
  <si>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</si>
  <si>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</si>
  <si>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</si>
  <si>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</si>
  <si>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</si>
  <si>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</si>
  <si>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</si>
  <si>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</si>
  <si>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</si>
  <si>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</si>
  <si>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</si>
  <si>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</si>
  <si>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</si>
  <si>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</si>
  <si>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</si>
  <si>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</si>
  <si>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</si>
  <si>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</si>
  <si>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</si>
  <si>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</si>
  <si>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</si>
  <si>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</si>
  <si>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</si>
  <si>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</si>
  <si>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</si>
  <si>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</si>
  <si>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</si>
  <si>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</si>
  <si>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</si>
  <si>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</si>
  <si>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</si>
  <si>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</si>
  <si>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</si>
  <si>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</si>
  <si>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</si>
  <si>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</si>
  <si>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</si>
  <si>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</si>
  <si>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</si>
  <si>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</si>
  <si>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</si>
  <si>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</si>
  <si>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</si>
  <si>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</si>
  <si>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</si>
  <si>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</si>
  <si>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</si>
  <si>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</si>
  <si>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</si>
  <si>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</si>
  <si>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</si>
  <si>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</si>
  <si>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</si>
  <si>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</si>
  <si>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</si>
  <si>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</si>
  <si>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</si>
  <si>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</si>
  <si>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</si>
  <si>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</si>
  <si>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</si>
  <si>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</si>
  <si>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</si>
  <si>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</si>
  <si>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</si>
  <si>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</si>
  <si>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</si>
  <si>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</si>
  <si>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</si>
  <si>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</si>
  <si>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</si>
  <si>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</si>
  <si>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</si>
  <si>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</si>
  <si>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</si>
  <si>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</si>
  <si>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</si>
  <si>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</si>
  <si>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</si>
  <si>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</si>
  <si>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</si>
  <si>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</si>
  <si>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</si>
  <si>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</si>
  <si>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</si>
  <si>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</si>
  <si>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</si>
  <si>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</si>
  <si>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</si>
  <si>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</si>
  <si>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</si>
  <si>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</si>
  <si>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</si>
  <si>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</si>
  <si>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</si>
  <si>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</si>
  <si>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</si>
  <si>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</si>
  <si>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</si>
  <si>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</si>
  <si>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</si>
  <si>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</si>
  <si>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</si>
  <si>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</si>
  <si>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</si>
  <si>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</si>
  <si>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</si>
  <si>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</si>
  <si>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</si>
  <si>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</si>
  <si>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</si>
  <si>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</si>
  <si>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</si>
  <si>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</si>
  <si>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</si>
  <si>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</si>
  <si>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</si>
  <si>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</si>
  <si>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</si>
  <si>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</si>
  <si>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</si>
  <si>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</si>
  <si>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</si>
  <si>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</si>
  <si>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</si>
  <si>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</si>
  <si>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</si>
  <si>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</si>
  <si>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</si>
  <si>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</si>
  <si>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</si>
  <si>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</si>
  <si>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</si>
  <si>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</si>
  <si>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</si>
  <si>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</si>
  <si>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</si>
  <si>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</si>
  <si>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</si>
  <si>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</si>
  <si>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</si>
  <si>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</si>
  <si>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</si>
  <si>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</si>
  <si>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</si>
  <si>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</si>
  <si>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</si>
  <si>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</si>
  <si>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</si>
  <si>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</si>
  <si>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</si>
  <si>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</si>
  <si>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</si>
  <si>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</si>
  <si>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</si>
  <si>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</si>
  <si>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</si>
  <si>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</si>
  <si>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</si>
  <si>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</si>
  <si>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</si>
  <si>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</si>
  <si>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</si>
  <si>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</si>
  <si>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</si>
  <si>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</si>
  <si>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</si>
  <si>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</si>
  <si>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</si>
  <si>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</si>
  <si>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</si>
  <si>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</si>
  <si>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</si>
  <si>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</si>
  <si>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</si>
  <si>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</si>
  <si>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</si>
  <si>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</si>
  <si>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</si>
  <si>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</si>
  <si>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</si>
  <si>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</si>
  <si>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</si>
  <si>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</si>
  <si>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</si>
  <si>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</si>
  <si>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</si>
  <si>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</si>
  <si>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</si>
  <si>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</si>
  <si>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</si>
  <si>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</si>
  <si>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</si>
  <si>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</si>
  <si>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</si>
  <si>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</si>
  <si>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</si>
  <si>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</si>
  <si>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</si>
  <si>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</si>
  <si>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</si>
  <si>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</si>
  <si>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</si>
  <si>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</si>
  <si>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</si>
  <si>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</si>
  <si>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</si>
  <si>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</si>
  <si>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</si>
  <si>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</si>
  <si>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</si>
  <si>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</si>
  <si>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</si>
  <si>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</si>
  <si>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</si>
  <si>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</si>
  <si>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</si>
  <si>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</si>
  <si>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</si>
  <si>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</si>
  <si>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</si>
  <si>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</si>
  <si>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</si>
  <si>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</si>
  <si>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</si>
  <si>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</si>
  <si>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</si>
  <si>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</si>
  <si>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</si>
  <si>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</si>
  <si>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</si>
  <si>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</si>
  <si>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</si>
  <si>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</si>
  <si>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</si>
  <si>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</si>
  <si>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</si>
  <si>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</si>
  <si>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</si>
  <si>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</si>
  <si>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</si>
  <si>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</si>
  <si>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</si>
  <si>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</si>
  <si>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</si>
  <si>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</si>
  <si>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</si>
  <si>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</si>
  <si>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</si>
  <si>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</si>
  <si>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</si>
  <si>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</si>
  <si>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</si>
  <si>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</si>
  <si>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</si>
  <si>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</si>
  <si>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</si>
  <si>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</si>
  <si>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</si>
  <si>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</si>
  <si>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</si>
  <si>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</si>
  <si>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</si>
  <si>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</si>
  <si>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</si>
  <si>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</si>
  <si>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</si>
  <si>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</si>
  <si>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</si>
  <si>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</si>
  <si>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</si>
  <si>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</si>
  <si>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</si>
  <si>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</si>
  <si>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</si>
  <si>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</si>
  <si>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</si>
  <si>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</si>
  <si>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</si>
  <si>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</si>
  <si>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</si>
  <si>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</si>
  <si>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</si>
  <si>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</si>
  <si>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</si>
  <si>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</si>
  <si>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</si>
  <si>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</si>
  <si>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</si>
  <si>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</si>
  <si>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</si>
  <si>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</si>
  <si>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</si>
  <si>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</si>
  <si>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</si>
  <si>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</si>
  <si>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</si>
  <si>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</si>
  <si>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</si>
  <si>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</si>
  <si>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</si>
  <si>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</si>
  <si>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</si>
  <si>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</si>
  <si>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</si>
  <si>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</si>
  <si>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</si>
  <si>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</si>
  <si>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</si>
  <si>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</si>
  <si>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</si>
  <si>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</si>
  <si>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</si>
  <si>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</si>
  <si>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</si>
  <si>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</si>
  <si>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</si>
  <si>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</si>
  <si>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</si>
  <si>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</si>
  <si>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</si>
  <si>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</si>
  <si>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</si>
  <si>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</si>
  <si>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</si>
  <si>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</si>
  <si>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</si>
  <si>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</si>
  <si>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</si>
  <si>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</si>
  <si>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</si>
  <si>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</si>
  <si>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</si>
  <si>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</si>
  <si>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</si>
  <si>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</si>
  <si>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</si>
  <si>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</si>
  <si>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</si>
  <si>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</si>
  <si>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</si>
  <si>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</si>
  <si>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</si>
  <si>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</si>
  <si>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</si>
  <si>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</si>
  <si>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</si>
  <si>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</si>
  <si>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</si>
  <si>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</si>
  <si>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</si>
  <si>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</si>
  <si>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</si>
  <si>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</si>
  <si>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</si>
  <si>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</si>
  <si>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</si>
  <si>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</si>
  <si>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</si>
  <si>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</si>
  <si>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</si>
  <si>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</si>
  <si>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</si>
  <si>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</si>
  <si>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</si>
  <si>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</si>
  <si>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</si>
  <si>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</si>
  <si>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</si>
  <si>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</si>
  <si>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</si>
  <si>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</si>
  <si>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</si>
  <si>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</si>
  <si>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</si>
  <si>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</si>
  <si>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</si>
  <si>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</si>
  <si>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</si>
  <si>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</si>
  <si>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</si>
  <si>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</si>
  <si>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</si>
  <si>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</si>
  <si>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</si>
  <si>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</si>
  <si>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</si>
  <si>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</si>
  <si>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</si>
  <si>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</si>
  <si>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</si>
  <si>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</si>
  <si>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</si>
  <si>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</si>
  <si>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</si>
  <si>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</si>
  <si>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</si>
  <si>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</si>
  <si>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</si>
  <si>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</si>
  <si>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</si>
  <si>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</si>
  <si>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</si>
  <si>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</si>
  <si>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</si>
  <si>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</si>
  <si>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</si>
  <si>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</si>
  <si>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</si>
  <si>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</si>
  <si>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</si>
  <si>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</si>
  <si>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</si>
  <si>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</si>
  <si>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</si>
  <si>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</si>
  <si>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</si>
  <si>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</si>
  <si>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</si>
  <si>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</si>
  <si>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</si>
  <si>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</si>
  <si>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</si>
  <si>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</si>
  <si>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</si>
  <si>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</si>
  <si>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</si>
  <si>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</si>
  <si>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</si>
  <si>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</si>
  <si>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</si>
  <si>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</si>
  <si>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</si>
  <si>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</si>
  <si>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</si>
  <si>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</si>
  <si>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</si>
  <si>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</si>
  <si>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</si>
  <si>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</si>
  <si>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</si>
  <si>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</si>
  <si>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</si>
  <si>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</si>
  <si>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</si>
  <si>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</si>
  <si>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</si>
  <si>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</si>
  <si>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</si>
  <si>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</si>
  <si>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</si>
  <si>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</si>
  <si>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</si>
  <si>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</si>
  <si>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</si>
  <si>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</si>
  <si>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</si>
  <si>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</si>
  <si>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</si>
  <si>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</si>
  <si>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</si>
  <si>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</si>
  <si>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</si>
  <si>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</si>
  <si>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</si>
  <si>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</si>
  <si>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</si>
  <si>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</si>
  <si>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</si>
  <si>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</si>
  <si>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</si>
  <si>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</si>
  <si>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</si>
  <si>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</si>
  <si>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</si>
  <si>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</si>
  <si>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</si>
  <si>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</si>
  <si>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</si>
  <si>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</si>
  <si>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</si>
  <si>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</si>
  <si>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</si>
  <si>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</si>
  <si>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</si>
  <si>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</si>
  <si>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</si>
  <si>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</si>
  <si>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</si>
  <si>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</si>
  <si>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</si>
  <si>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</si>
  <si>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</si>
  <si>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</si>
  <si>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</si>
  <si>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</si>
  <si>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</si>
  <si>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</si>
  <si>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</si>
  <si>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</si>
  <si>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</si>
  <si>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</si>
  <si>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</si>
  <si>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</si>
  <si>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</si>
  <si>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</si>
  <si>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</si>
  <si>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</si>
  <si>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</si>
  <si>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</si>
  <si>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</si>
  <si>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</si>
  <si>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</si>
  <si>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</si>
  <si>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</si>
  <si>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</si>
  <si>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</si>
  <si>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</si>
  <si>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</si>
  <si>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</si>
  <si>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</si>
  <si>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</si>
  <si>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</si>
  <si>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</si>
  <si>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</si>
  <si>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</si>
  <si>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</si>
  <si>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</si>
  <si>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</si>
  <si>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</si>
  <si>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</si>
  <si>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</si>
  <si>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</si>
  <si>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</si>
  <si>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</si>
  <si>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</si>
  <si>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</si>
  <si>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</si>
  <si>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</si>
  <si>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</si>
  <si>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</si>
  <si>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</si>
  <si>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</si>
  <si>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</si>
  <si>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</si>
  <si>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</si>
  <si>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</si>
  <si>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</si>
  <si>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</si>
  <si>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</si>
  <si>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</si>
  <si>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</si>
  <si>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</si>
  <si>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</si>
  <si>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</si>
  <si>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</si>
  <si>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</si>
  <si>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</si>
  <si>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</si>
  <si>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</si>
  <si>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</si>
  <si>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</si>
  <si>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</si>
  <si>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</si>
  <si>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</si>
  <si>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</si>
  <si>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</si>
  <si>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</si>
  <si>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</si>
  <si>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</si>
  <si>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</si>
  <si>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</si>
  <si>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</si>
  <si>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</si>
  <si>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</si>
  <si>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</si>
  <si>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</si>
  <si>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</si>
  <si>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</si>
  <si>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</si>
  <si>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</si>
  <si>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</si>
  <si>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</si>
  <si>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</si>
  <si>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</si>
  <si>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</si>
  <si>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</si>
  <si>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</si>
  <si>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</si>
  <si>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</si>
  <si>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</si>
  <si>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</si>
  <si>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</si>
  <si>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</si>
  <si>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</si>
  <si>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</si>
  <si>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</si>
  <si>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</si>
  <si>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</si>
  <si>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</si>
  <si>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</si>
  <si>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</si>
  <si>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</si>
  <si>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</si>
  <si>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</si>
  <si>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</si>
  <si>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</si>
  <si>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</si>
  <si>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</si>
  <si>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</si>
  <si>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</si>
  <si>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</si>
  <si>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</si>
  <si>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</si>
  <si>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</si>
  <si>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</si>
  <si>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</si>
  <si>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</si>
  <si>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</si>
  <si>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</si>
  <si>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</si>
  <si>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</si>
  <si>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</si>
  <si>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</si>
  <si>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</si>
  <si>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</si>
  <si>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</si>
  <si>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</si>
  <si>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</si>
  <si>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</si>
  <si>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</si>
  <si>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</si>
  <si>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</si>
  <si>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</si>
  <si>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</si>
  <si>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</si>
  <si>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</si>
  <si>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</si>
  <si>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</si>
  <si>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</si>
  <si>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</si>
  <si>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</si>
  <si>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</si>
  <si>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</si>
  <si>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</si>
  <si>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</si>
  <si>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</si>
  <si>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</si>
  <si>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</si>
  <si>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</si>
  <si>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</si>
  <si>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</si>
  <si>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</si>
  <si>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</si>
  <si>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</si>
  <si>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</si>
  <si>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</si>
  <si>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</si>
  <si>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</si>
  <si>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</si>
  <si>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</si>
  <si>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</si>
  <si>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</si>
  <si>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</si>
  <si>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</si>
  <si>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</si>
  <si>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</si>
  <si>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</si>
  <si>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</si>
  <si>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</si>
  <si>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</si>
  <si>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</si>
  <si>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</si>
  <si>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</si>
  <si>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</si>
  <si>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</si>
  <si>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</si>
  <si>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</si>
  <si>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</si>
  <si>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</si>
  <si>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</si>
  <si>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</si>
  <si>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</si>
  <si>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</si>
  <si>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</si>
  <si>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</si>
  <si>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</si>
  <si>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</si>
  <si>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</si>
  <si>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</si>
  <si>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</si>
  <si>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</si>
  <si>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</si>
  <si>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</si>
  <si>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</si>
  <si>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</si>
  <si>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</si>
  <si>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</si>
  <si>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</si>
  <si>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</si>
  <si>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</si>
  <si>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</si>
  <si>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</si>
  <si>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</si>
  <si>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</si>
  <si>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</si>
  <si>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</si>
  <si>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</si>
  <si>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</si>
  <si>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</si>
  <si>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</si>
  <si>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</si>
  <si>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</si>
  <si>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</si>
  <si>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</si>
  <si>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</si>
  <si>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</si>
  <si>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</si>
  <si>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</si>
  <si>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</si>
  <si>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</si>
  <si>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</si>
  <si>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</si>
  <si>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</si>
  <si>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</si>
  <si>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</si>
  <si>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</si>
  <si>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</si>
  <si>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</si>
  <si>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</si>
  <si>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</si>
  <si>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</si>
  <si>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</si>
  <si>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</si>
  <si>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</si>
  <si>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</si>
  <si>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</si>
  <si>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</si>
  <si>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</si>
  <si>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</si>
  <si>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</si>
  <si>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</si>
  <si>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</si>
  <si>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</si>
  <si>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</si>
  <si>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</si>
  <si>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</si>
  <si>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</si>
  <si>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</si>
  <si>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</si>
  <si>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</si>
  <si>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</si>
  <si>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</si>
  <si>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</si>
  <si>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</si>
  <si>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</si>
  <si>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</si>
  <si>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</si>
  <si>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</si>
  <si>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</si>
  <si>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</si>
  <si>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</si>
  <si>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</si>
  <si>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</si>
  <si>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</si>
  <si>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</si>
  <si>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</si>
  <si>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</si>
  <si>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</si>
  <si>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</si>
  <si>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</si>
  <si>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</si>
  <si>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</si>
  <si>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</si>
  <si>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</si>
  <si>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</si>
  <si>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</si>
  <si>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</si>
  <si>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</si>
  <si>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</si>
  <si>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</si>
  <si>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</si>
  <si>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</si>
  <si>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</si>
  <si>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</si>
  <si>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</si>
  <si>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</si>
  <si>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</si>
  <si>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</si>
  <si>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</si>
  <si>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</si>
  <si>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</si>
  <si>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</si>
  <si>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</si>
  <si>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</si>
  <si>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</si>
  <si>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</si>
  <si>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</si>
  <si>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</si>
  <si>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</si>
  <si>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</si>
  <si>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</si>
  <si>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</si>
  <si>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</si>
  <si>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</si>
  <si>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김분석</t>
  </si>
  <si>
    <t>박설계</t>
  </si>
  <si>
    <t>Set "the earliest start date and the lastest fisnish date of the tasks" to the Project Start-Finish date.</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</si>
  <si>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</si>
  <si>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</si>
  <si>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</si>
  <si>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</si>
  <si>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</si>
  <si>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</si>
  <si>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</si>
  <si>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</si>
  <si>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</si>
  <si>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</si>
  <si>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</si>
  <si>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</si>
  <si>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</si>
  <si>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</si>
  <si>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</si>
  <si>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</si>
  <si>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</si>
  <si>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</si>
  <si>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</si>
  <si>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</si>
  <si>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</si>
  <si>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</si>
  <si>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</si>
  <si>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</si>
  <si>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</si>
  <si>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</si>
  <si>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</si>
  <si>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</si>
  <si>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나고객</t>
  </si>
  <si>
    <t>이고객</t>
  </si>
  <si>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</si>
  <si>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</si>
  <si>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</si>
  <si>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</si>
  <si>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</si>
  <si>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</si>
  <si>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</si>
  <si>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</si>
  <si>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</si>
  <si>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</si>
  <si>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</si>
  <si>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</si>
  <si>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</si>
  <si>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</si>
  <si>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</si>
  <si>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</si>
  <si>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</si>
  <si>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</si>
  <si>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</si>
  <si>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</si>
  <si>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</si>
  <si>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</si>
  <si>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</si>
  <si>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</si>
  <si>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</si>
  <si>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</si>
  <si>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</si>
  <si>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</si>
  <si>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</si>
  <si>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</si>
  <si>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</si>
  <si>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</si>
  <si>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</si>
  <si>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</si>
  <si>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</si>
  <si>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</si>
  <si>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</si>
  <si>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</si>
  <si>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</si>
  <si>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</si>
  <si>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</si>
  <si>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</si>
  <si>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</si>
  <si>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</si>
  <si>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</si>
  <si>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</si>
  <si>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</si>
  <si>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</si>
  <si>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</si>
  <si>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</si>
  <si>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</si>
  <si>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</si>
  <si>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</si>
  <si>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</si>
  <si>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</si>
  <si>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</si>
  <si>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</si>
  <si>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</si>
  <si>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</si>
  <si>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</si>
  <si>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</si>
  <si>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</si>
  <si>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</si>
  <si>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</si>
  <si>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</si>
  <si>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</si>
  <si>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</si>
  <si>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</si>
  <si>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</si>
  <si>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</si>
  <si>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</si>
  <si>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</si>
  <si>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</si>
  <si>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</si>
  <si>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</si>
  <si>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</si>
  <si>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</si>
  <si>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</si>
  <si>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</si>
  <si>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</si>
  <si>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</si>
  <si>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</si>
  <si>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</si>
  <si>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</si>
  <si>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</si>
  <si>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</si>
  <si>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</si>
  <si>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</si>
  <si>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</si>
  <si>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</si>
  <si>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</si>
  <si>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</si>
  <si>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</si>
  <si>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</si>
  <si>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</si>
  <si>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</si>
  <si>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</si>
  <si>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</si>
  <si>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</si>
  <si>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</si>
  <si>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</si>
  <si>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</si>
  <si>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</si>
  <si>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</si>
  <si>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</si>
  <si>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</si>
  <si>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</si>
  <si>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</si>
  <si>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</si>
  <si>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</si>
  <si>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</si>
  <si>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</si>
  <si>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</si>
  <si>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</si>
  <si>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</si>
  <si>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</si>
  <si>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</si>
  <si>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</si>
  <si>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</si>
  <si>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</si>
  <si>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</si>
  <si>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</si>
  <si>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</si>
  <si>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</si>
  <si>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</si>
  <si>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</si>
  <si>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</si>
  <si>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</si>
  <si>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</si>
  <si>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</si>
  <si>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</si>
  <si>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</si>
  <si>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</si>
  <si>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</si>
  <si>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</si>
  <si>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</si>
  <si>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</si>
  <si>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</si>
  <si>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</si>
  <si>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</si>
  <si>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</si>
  <si>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</si>
  <si>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</si>
  <si>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</si>
  <si>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</si>
  <si>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</si>
  <si>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</si>
  <si>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</si>
  <si>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</si>
  <si>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</si>
  <si>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</si>
  <si>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</si>
  <si>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</si>
  <si>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</si>
  <si>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</si>
  <si>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</si>
  <si>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</si>
  <si>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</si>
  <si>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</si>
  <si>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</si>
  <si>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</si>
  <si>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</si>
  <si>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</si>
  <si>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</si>
  <si>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</si>
  <si>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</si>
  <si>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</si>
  <si>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</si>
  <si>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</si>
  <si>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</si>
  <si>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</si>
  <si>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</si>
  <si>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</si>
  <si>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</si>
  <si>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</si>
  <si>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</si>
  <si>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</si>
  <si>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</si>
  <si>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</si>
  <si>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</si>
  <si>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</si>
  <si>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</si>
  <si>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</si>
  <si>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</si>
  <si>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</si>
  <si>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</si>
  <si>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</si>
  <si>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</si>
  <si>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</si>
  <si>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</si>
  <si>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</si>
  <si>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</si>
  <si>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나쁜넘들</t>
    <phoneticPr fontId="2" type="noConversion"/>
  </si>
  <si>
    <t>TODAY</t>
    <phoneticPr fontId="2" type="noConversion"/>
  </si>
  <si>
    <t>DEFINED</t>
    <phoneticPr fontId="4" type="noConversion"/>
  </si>
  <si>
    <t>C:\Temp</t>
    <phoneticPr fontId="4" type="noConversion"/>
  </si>
  <si>
    <t>파워포인트</t>
    <phoneticPr fontId="4" type="noConversion"/>
  </si>
  <si>
    <t>ppt*</t>
    <phoneticPr fontId="4" type="noConversion"/>
  </si>
  <si>
    <t>자동지정</t>
    <phoneticPr fontId="4" type="noConversion"/>
  </si>
  <si>
    <t>워드</t>
    <phoneticPr fontId="4" type="noConversion"/>
  </si>
  <si>
    <t>doc*</t>
    <phoneticPr fontId="4" type="noConversion"/>
  </si>
  <si>
    <t>엑셀</t>
    <phoneticPr fontId="4" type="noConversion"/>
  </si>
  <si>
    <t>xls*</t>
    <phoneticPr fontId="4" type="noConversion"/>
  </si>
  <si>
    <t>AutoCAD</t>
    <phoneticPr fontId="4" type="noConversion"/>
  </si>
  <si>
    <t>dwg</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</si>
  <si>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</si>
  <si>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</si>
  <si>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</si>
  <si>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</si>
  <si>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메모장</t>
    <phoneticPr fontId="4" type="noConversion"/>
  </si>
  <si>
    <t>txt</t>
    <phoneticPr fontId="4" type="noConversion"/>
  </si>
  <si>
    <t>C:\WINDOWS\system32\notepad.exe</t>
    <phoneticPr fontId="4" type="noConversion"/>
  </si>
  <si>
    <t>F</t>
    <phoneticPr fontId="2" type="noConversion"/>
  </si>
  <si>
    <t>1:English,82:Korean,999:Custom</t>
    <phoneticPr fontId="2" type="noConversion"/>
  </si>
  <si>
    <t>2022 졸업작품 프로젝트</t>
  </si>
  <si>
    <t>개발 관련</t>
  </si>
  <si>
    <t>플레이어 WASD 조작</t>
  </si>
  <si>
    <t>플레이어 상호작용 관련</t>
  </si>
  <si>
    <t>수집 오브젝트</t>
  </si>
  <si>
    <t>G</t>
  </si>
  <si>
    <t>1.1.1.1</t>
  </si>
  <si>
    <t>1.1.1.1.1</t>
  </si>
  <si>
    <t>1.1.1.2</t>
  </si>
  <si>
    <t>1.1.1.2.1</t>
  </si>
  <si>
    <t>플레이어 조작 관련</t>
  </si>
  <si>
    <t>플레이어 마우스 시점 조작</t>
  </si>
  <si>
    <t>1.1.1.1.2</t>
  </si>
  <si>
    <t>오브젝트 아웃라인 관련 구현</t>
  </si>
  <si>
    <t>권성빈</t>
  </si>
  <si>
    <t>박광현</t>
  </si>
  <si>
    <t>김 건</t>
  </si>
  <si>
    <t>1.1.1.2.2</t>
  </si>
  <si>
    <t>기획 관련</t>
  </si>
  <si>
    <t>1 챕터 트라우마 확립</t>
  </si>
  <si>
    <t>1 챕터 인물 배경 확립</t>
  </si>
  <si>
    <t>플레이어 관련</t>
  </si>
  <si>
    <t>주변 세계관</t>
  </si>
  <si>
    <t>주인공 소속사 확립</t>
  </si>
  <si>
    <t>주인공 역할 확립</t>
  </si>
  <si>
    <t>스토리 관련</t>
  </si>
  <si>
    <t>레벨 디자인</t>
  </si>
  <si>
    <t>1 챕터 사물 배치</t>
  </si>
  <si>
    <t>1 챕터 전체적인 레벨 디자인</t>
  </si>
  <si>
    <t>1 챕터 퍼즐 배치</t>
  </si>
  <si>
    <t>1 챕터 수집물 배치</t>
  </si>
  <si>
    <t>1.2.1.1</t>
  </si>
  <si>
    <t>1.2.1.1.1</t>
  </si>
  <si>
    <t>1.2.1.1.2</t>
  </si>
  <si>
    <t>1.2.1.2</t>
  </si>
  <si>
    <t>1.2.1.2.1</t>
  </si>
  <si>
    <t>시대상 or 기술수준 확립</t>
  </si>
  <si>
    <t>1.2.1.1.3</t>
  </si>
  <si>
    <t>황민재</t>
  </si>
  <si>
    <t>추후 회의를 통해 검토</t>
  </si>
  <si>
    <t>아트 관련</t>
  </si>
  <si>
    <t>3D 모델 작업</t>
  </si>
  <si>
    <t>2D 이미지 작업</t>
  </si>
  <si>
    <t>각종 사물들 작업</t>
  </si>
  <si>
    <t>1.3.1.1</t>
  </si>
  <si>
    <t>1.3.2.1</t>
  </si>
  <si>
    <t>플레이어 수집물 인벤토리 구현</t>
  </si>
  <si>
    <t>1.1.1.2.3</t>
  </si>
  <si>
    <t>UI 관련</t>
  </si>
  <si>
    <t>11/28
W49</t>
  </si>
  <si>
    <t>12/26
W53</t>
  </si>
  <si>
    <t>W5</t>
  </si>
  <si>
    <t>튜토리얼 관련 프롭 제작</t>
  </si>
  <si>
    <t>1.3.1.1.1</t>
  </si>
  <si>
    <t>튜토리얼 관련 맵 제작</t>
  </si>
  <si>
    <t>튜토리얼 맵에 사물 배치 ( 기획 적용 )</t>
  </si>
  <si>
    <t>UI 디자인 및 기획</t>
  </si>
  <si>
    <t>1.3.1.1.1.1</t>
  </si>
  <si>
    <t>1.3.1.1.1.2</t>
  </si>
  <si>
    <t>1.3.1.1.1.3</t>
  </si>
  <si>
    <t>01. 튜토리얼</t>
  </si>
  <si>
    <t>타이틀 화면 UI 디자인</t>
  </si>
  <si>
    <t>1.3.2.1.1</t>
  </si>
  <si>
    <t>1.3.2.1.2</t>
  </si>
  <si>
    <t>게임 콘텐츠 기획</t>
  </si>
  <si>
    <t>회의</t>
  </si>
  <si>
    <t>타이틀 화면 UI</t>
  </si>
  <si>
    <t>게임 플레이로 이동</t>
  </si>
  <si>
    <t>1.1.2.1.1</t>
  </si>
  <si>
    <t>퍼즐 관련 개발</t>
  </si>
  <si>
    <t>1.1.1.3</t>
  </si>
  <si>
    <t>3D 러시아워 퍼즐 개발</t>
  </si>
  <si>
    <t>1.1.1.3.1</t>
  </si>
  <si>
    <t>프로토타입 개발 끝난 후 회의</t>
  </si>
  <si>
    <t>러시아워 퍼즐 프롭 제작</t>
  </si>
  <si>
    <t>챕터별 퍼즐 형태 기획</t>
  </si>
  <si>
    <t>ㅊ</t>
  </si>
  <si>
    <t>챕터 1</t>
  </si>
  <si>
    <t>챕터 별 설정</t>
  </si>
  <si>
    <t>1.3.1.1.1.1.1</t>
  </si>
  <si>
    <t>튜토리얼 맵 프롭</t>
  </si>
  <si>
    <t>1.3.1.1.1.1.2</t>
  </si>
  <si>
    <t>플레이어의 상호작용 구현</t>
  </si>
  <si>
    <t>1.1.1.2.1.1</t>
  </si>
  <si>
    <t>3D 큐브로 프로토타입 개발</t>
  </si>
  <si>
    <t>1.1.1.3.1.1</t>
  </si>
  <si>
    <t>모델링 된 모델 적용</t>
  </si>
  <si>
    <t>1.1.1.3.1.2</t>
  </si>
  <si>
    <t>프로토타입 제출</t>
  </si>
  <si>
    <t>프로토타입 씬과 메인메뉴 연결</t>
  </si>
  <si>
    <t>1.1.3.1</t>
  </si>
  <si>
    <t>1.1.3.2</t>
  </si>
  <si>
    <t>프로토타입 제출 전 연출들 제작 및 연결</t>
  </si>
  <si>
    <t>개발 전원 협력</t>
  </si>
  <si>
    <t>플레이어 입력 반영</t>
  </si>
  <si>
    <t>1.1.1.3.1.3</t>
  </si>
  <si>
    <t>인벤토리 기획</t>
  </si>
  <si>
    <t>진단서 UI 기획</t>
  </si>
  <si>
    <t>1.3.2.1.3</t>
  </si>
  <si>
    <t>인게임 일시정지 메뉴 기획</t>
  </si>
  <si>
    <t>1.3.2.1.4</t>
  </si>
  <si>
    <t>인게임 UI</t>
  </si>
  <si>
    <t>일시정지 UI 및 옵션 조절</t>
  </si>
  <si>
    <t>1.1.2.2.1</t>
  </si>
  <si>
    <t>튜토리얼</t>
  </si>
  <si>
    <t>튜토리얼 레벨 디자인</t>
  </si>
  <si>
    <t>튜토리얼 사물 배치</t>
  </si>
  <si>
    <t>튜토리얼 퍼즐 배치</t>
  </si>
  <si>
    <t>튜토리얼 수집물 배치</t>
  </si>
  <si>
    <t>{"TASK_FIRST_COL":"5","START_ROW":"5","WBS_AREA_LAST_COL":"31"}</t>
    <phoneticPr fontId="4" type="noConversion"/>
  </si>
  <si>
    <t>SCHEDULE_SHEET_POSITION:3545151617181920212223242526272829303132</t>
    <phoneticPr fontId="2" type="noConversion"/>
  </si>
  <si>
    <t>시작일*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</si>
  <si>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</si>
  <si>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</si>
  <si>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</si>
  <si>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</si>
  <si>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</si>
  <si>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총기간</t>
    <phoneticPr fontId="4" type="noConversion"/>
  </si>
  <si>
    <t>가중치</t>
    <phoneticPr fontId="4" type="noConversion"/>
  </si>
  <si>
    <t>완료일*</t>
    <phoneticPr fontId="4" type="noConversion"/>
  </si>
  <si>
    <t>실제_x000D_
완료일</t>
    <phoneticPr fontId="4"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</si>
  <si>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</si>
  <si>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</si>
  <si>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</si>
  <si>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</si>
  <si>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</si>
  <si>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Calendar</t>
    <phoneticPr fontId="4" type="noConversion"/>
  </si>
  <si>
    <t>실제_x000D_
총작업량</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</si>
  <si>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</si>
  <si>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</si>
  <si>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</si>
  <si>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</si>
  <si>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</si>
  <si>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실적기성</t>
    <phoneticPr fontId="4" type="noConversion"/>
  </si>
  <si>
    <t>실적기성(총기간 x 총실적진행율)</t>
    <phoneticPr fontId="4" type="noConversion"/>
  </si>
  <si>
    <t>reserved</t>
    <phoneticPr fontId="4" type="noConversion"/>
  </si>
  <si>
    <t>2022
W5</t>
  </si>
  <si>
    <t>W9</t>
  </si>
  <si>
    <t>이재유 / 권성빈</t>
  </si>
  <si>
    <t>이재유 및 팀원</t>
  </si>
  <si>
    <t>인게임 관련 기획</t>
  </si>
  <si>
    <t>1.2.1.1.1.1</t>
  </si>
  <si>
    <t>1.2.1.1.1.2</t>
  </si>
  <si>
    <t>1.2.1.1.1.3</t>
  </si>
  <si>
    <t>1.2.1.1.2.1</t>
  </si>
  <si>
    <t>1.2.1.1.2.1.1</t>
  </si>
  <si>
    <t>1.2.1.1.2.1.2</t>
  </si>
  <si>
    <t>1.2.1.1.3.1</t>
  </si>
  <si>
    <t>1.2.1.1.3.1.1</t>
  </si>
  <si>
    <t>1.2.1.1.3.1.2</t>
  </si>
  <si>
    <t>1.2.1.1.3.1.3</t>
  </si>
  <si>
    <t>1.2.1.1.3.1.4</t>
  </si>
  <si>
    <t>1.2.1.1.3.2</t>
  </si>
  <si>
    <t>1.2.1.1.3.2.1</t>
  </si>
  <si>
    <t>1.2.1.1.3.2.2</t>
  </si>
  <si>
    <t>1.2.1.1.3.2.3</t>
  </si>
  <si>
    <t>1.2.1.1.3.2.4</t>
  </si>
  <si>
    <t>1.2.1.1.4</t>
  </si>
  <si>
    <t>1.2.1.1.4.1</t>
  </si>
  <si>
    <t>기획서 작성</t>
  </si>
  <si>
    <t>전체 게임의 기획서 작성</t>
  </si>
  <si>
    <t>게임 플레이로 이동 전에 로딩화면에 진입 후 이동</t>
  </si>
  <si>
    <t>1.1.2.1.2</t>
  </si>
  <si>
    <t>로딩화면 메시지 띄우는 기능 완성</t>
  </si>
  <si>
    <t>1.1.2.1.3</t>
  </si>
  <si>
    <t>인게임 중 대사 ( 로그 시스템 추가 )</t>
  </si>
  <si>
    <t>1.1.2.2.2</t>
  </si>
  <si>
    <t>인벤토리 새로운 기획에 맞춰 구현</t>
  </si>
  <si>
    <t>1.1.1.2.4</t>
  </si>
  <si>
    <t>프로토타입 제출 전 디테일 작업</t>
  </si>
  <si>
    <t>1.1.3.3</t>
  </si>
  <si>
    <t>잠시 일정 정지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</si>
</sst>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
      <b/>
      <sz val="9"/>
      <name val="맑은 고딕"/>
      <family val="3"/>
      <charset val="129"/>
      <scheme val="minor"/>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
      <patternFill patternType="solid">
        <fgColor rgb="FF00CC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312">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51" fillId="0" borderId="0" xfId="4" applyFont="1" applyFill="1" applyBorder="1" applyAlignment="1" applyProtection="1">
      <alignment horizontal="left" vertical="center"/>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2"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2" fillId="21" borderId="0" xfId="4" applyFont="1" applyFill="1" applyBorder="1"/>
    <xf numFmtId="0" fontId="9" fillId="21" borderId="0" xfId="4" applyFont="1" applyFill="1" applyBorder="1"/>
    <xf numFmtId="10" fontId="53" fillId="0" borderId="0" xfId="4" applyNumberFormat="1" applyFont="1" applyBorder="1"/>
    <xf numFmtId="10" fontId="53" fillId="21" borderId="0" xfId="4" applyNumberFormat="1" applyFont="1" applyFill="1" applyBorder="1"/>
    <xf numFmtId="0" fontId="23" fillId="0" borderId="30" xfId="4" applyFont="1" applyFill="1" applyBorder="1" applyAlignment="1" applyProtection="1">
      <alignment horizontal="left" vertical="center"/>
      <protection locked="0"/>
    </xf>
    <xf numFmtId="0" fontId="23" fillId="0" borderId="31" xfId="4" applyFont="1" applyFill="1" applyBorder="1" applyAlignment="1" applyProtection="1">
      <alignment vertical="top"/>
      <protection locked="0"/>
    </xf>
    <xf numFmtId="0" fontId="23" fillId="0" borderId="31" xfId="4" quotePrefix="1" applyFont="1" applyFill="1" applyBorder="1" applyAlignment="1" applyProtection="1">
      <alignment horizontal="left" vertical="top"/>
      <protection locked="0"/>
    </xf>
    <xf numFmtId="0" fontId="23" fillId="0" borderId="31" xfId="4" applyFont="1" applyFill="1" applyBorder="1" applyAlignment="1" applyProtection="1">
      <alignment horizontal="left" vertical="top"/>
      <protection locked="0"/>
    </xf>
    <xf numFmtId="14" fontId="23" fillId="0" borderId="31" xfId="4" applyNumberFormat="1" applyFont="1" applyFill="1" applyBorder="1" applyAlignment="1" applyProtection="1">
      <alignment horizontal="center" vertical="top"/>
      <protection locked="0"/>
    </xf>
    <xf numFmtId="0" fontId="23" fillId="0" borderId="31" xfId="4" applyNumberFormat="1" applyFont="1" applyFill="1" applyBorder="1" applyAlignment="1" applyProtection="1">
      <alignment horizontal="left" vertical="top"/>
      <protection locked="0"/>
    </xf>
    <xf numFmtId="178" fontId="23" fillId="0" borderId="31" xfId="4" applyNumberFormat="1" applyFont="1" applyFill="1" applyBorder="1" applyAlignment="1" applyProtection="1">
      <alignment horizontal="center" vertical="top"/>
      <protection locked="0"/>
    </xf>
    <xf numFmtId="177" fontId="23" fillId="0" borderId="31" xfId="4" applyNumberFormat="1" applyFont="1" applyFill="1" applyBorder="1" applyAlignment="1" applyProtection="1">
      <alignment horizontal="center" vertical="top"/>
      <protection locked="0"/>
    </xf>
    <xf numFmtId="1" fontId="23" fillId="0" borderId="31" xfId="4" applyNumberFormat="1" applyFont="1" applyFill="1" applyBorder="1" applyAlignment="1" applyProtection="1">
      <alignment horizontal="center" vertical="top"/>
      <protection locked="0"/>
    </xf>
    <xf numFmtId="14" fontId="23" fillId="0" borderId="31" xfId="4" applyNumberFormat="1" applyFont="1" applyFill="1" applyBorder="1" applyAlignment="1" applyProtection="1">
      <alignment horizontal="left" vertical="top"/>
      <protection locked="0"/>
    </xf>
    <xf numFmtId="10" fontId="23" fillId="0" borderId="31" xfId="6" applyNumberFormat="1" applyFont="1" applyFill="1" applyBorder="1" applyAlignment="1" applyProtection="1">
      <alignment horizontal="right" vertical="top" wrapText="1"/>
      <protection locked="0"/>
    </xf>
    <xf numFmtId="10" fontId="23" fillId="0" borderId="31" xfId="6" applyNumberFormat="1" applyFont="1" applyFill="1" applyBorder="1" applyAlignment="1" applyProtection="1">
      <alignment horizontal="right" vertical="top"/>
      <protection locked="0"/>
    </xf>
    <xf numFmtId="10" fontId="54" fillId="17" borderId="30" xfId="6" applyNumberFormat="1" applyFont="1" applyFill="1" applyBorder="1" applyAlignment="1" applyProtection="1">
      <alignment horizontal="right" vertical="top"/>
      <protection locked="0"/>
    </xf>
    <xf numFmtId="10" fontId="23" fillId="22" borderId="30" xfId="6" applyNumberFormat="1" applyFont="1" applyFill="1" applyBorder="1" applyAlignment="1" applyProtection="1">
      <alignment horizontal="right" vertical="top"/>
      <protection locked="0"/>
    </xf>
    <xf numFmtId="10" fontId="54" fillId="22" borderId="30" xfId="6" applyNumberFormat="1" applyFont="1" applyFill="1" applyBorder="1" applyAlignment="1" applyProtection="1">
      <alignment horizontal="right" vertical="top"/>
      <protection locked="0"/>
    </xf>
    <xf numFmtId="10" fontId="23" fillId="23" borderId="30" xfId="6" applyNumberFormat="1" applyFont="1" applyFill="1" applyBorder="1" applyAlignment="1" applyProtection="1">
      <alignment horizontal="right" vertical="top"/>
      <protection locked="0"/>
    </xf>
    <xf numFmtId="10" fontId="54" fillId="23" borderId="30" xfId="6" applyNumberFormat="1" applyFont="1" applyFill="1" applyBorder="1" applyAlignment="1" applyProtection="1">
      <alignment horizontal="right" vertical="top"/>
      <protection locked="0"/>
    </xf>
    <xf numFmtId="0" fontId="47" fillId="19" borderId="20" xfId="4" applyFont="1" applyFill="1" applyBorder="1" applyAlignment="1" applyProtection="1">
      <alignment horizontal="left" vertical="center"/>
    </xf>
    <xf numFmtId="0" fontId="47" fillId="19" borderId="21" xfId="4" applyFont="1" applyFill="1" applyBorder="1" applyAlignment="1" applyProtection="1">
      <alignment horizontal="left" vertical="center"/>
    </xf>
    <xf numFmtId="0" fontId="36" fillId="17" borderId="0" xfId="1" applyFont="1" applyFill="1" applyBorder="1" applyAlignment="1">
      <alignment horizontal="lef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00000000-0011-0000-FFFF-FFFF0000000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61232</xdr:colOff>
      <xdr:row>3</xdr:row>
      <xdr:rowOff>76073</xdr:rowOff>
    </xdr:from>
    <xdr:to>
      <xdr:col>38</xdr:col>
      <xdr:colOff>61232</xdr:colOff>
      <xdr:row>74</xdr:row>
      <xdr:rowOff>0</xdr:rowOff>
    </xdr:to>
    <xdr:cxnSp macro="">
      <xdr:nvCxnSpPr>
        <xdr:cNvPr id="35000" name="직선 화살표 연결선 34999">
          <a:extLst>
            <a:ext uri="{FF2B5EF4-FFF2-40B4-BE49-F238E27FC236}">
              <a16:creationId xmlns:a16="http://schemas.microsoft.com/office/drawing/2014/main" id="{B2477E87-56DB-4BF9-BAB6-1B85B3255F27}"/>
            </a:ext>
          </a:extLst>
        </xdr:cNvPr>
        <xdr:cNvCxnSpPr/>
      </xdr:nvCxnSpPr>
      <xdr:spPr>
        <a:xfrm>
          <a:off x="14196332" y="752348"/>
          <a:ext cx="0" cy="106681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73</xdr:row>
      <xdr:rowOff>19050</xdr:rowOff>
    </xdr:from>
    <xdr:to>
      <xdr:col>36</xdr:col>
      <xdr:colOff>123734</xdr:colOff>
      <xdr:row>73</xdr:row>
      <xdr:rowOff>133350</xdr:rowOff>
    </xdr:to>
    <xdr:sp macro="" textlink="">
      <xdr:nvSpPr>
        <xdr:cNvPr id="35001" name="70">
          <a:extLst>
            <a:ext uri="{FF2B5EF4-FFF2-40B4-BE49-F238E27FC236}">
              <a16:creationId xmlns:a16="http://schemas.microsoft.com/office/drawing/2014/main" id="{CAF4F26B-069F-4EC0-AAD7-44C67F9FAAE5}"/>
            </a:ext>
          </a:extLst>
        </xdr:cNvPr>
        <xdr:cNvSpPr/>
      </xdr:nvSpPr>
      <xdr:spPr>
        <a:xfrm>
          <a:off x="13869761" y="112871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73</xdr:row>
      <xdr:rowOff>76200</xdr:rowOff>
    </xdr:from>
    <xdr:to>
      <xdr:col>36</xdr:col>
      <xdr:colOff>122464</xdr:colOff>
      <xdr:row>73</xdr:row>
      <xdr:rowOff>76200</xdr:rowOff>
    </xdr:to>
    <xdr:cxnSp macro="">
      <xdr:nvCxnSpPr>
        <xdr:cNvPr id="35002" name="직선 화살표 연결선 35001">
          <a:extLst>
            <a:ext uri="{FF2B5EF4-FFF2-40B4-BE49-F238E27FC236}">
              <a16:creationId xmlns:a16="http://schemas.microsoft.com/office/drawing/2014/main" id="{CE2D1A62-26B5-4549-8572-3BD5D3C19F2F}"/>
            </a:ext>
          </a:extLst>
        </xdr:cNvPr>
        <xdr:cNvCxnSpPr/>
      </xdr:nvCxnSpPr>
      <xdr:spPr>
        <a:xfrm>
          <a:off x="13869761" y="113442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61232</xdr:colOff>
      <xdr:row>72</xdr:row>
      <xdr:rowOff>19050</xdr:rowOff>
    </xdr:from>
    <xdr:to>
      <xdr:col>38</xdr:col>
      <xdr:colOff>103324</xdr:colOff>
      <xdr:row>72</xdr:row>
      <xdr:rowOff>133350</xdr:rowOff>
    </xdr:to>
    <xdr:sp macro="" textlink="">
      <xdr:nvSpPr>
        <xdr:cNvPr id="35003" name="69">
          <a:extLst>
            <a:ext uri="{FF2B5EF4-FFF2-40B4-BE49-F238E27FC236}">
              <a16:creationId xmlns:a16="http://schemas.microsoft.com/office/drawing/2014/main" id="{539BDA77-1956-428F-ACE3-3CA0162FED3D}"/>
            </a:ext>
          </a:extLst>
        </xdr:cNvPr>
        <xdr:cNvSpPr/>
      </xdr:nvSpPr>
      <xdr:spPr>
        <a:xfrm>
          <a:off x="14053457" y="11134725"/>
          <a:ext cx="1849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61232</xdr:colOff>
      <xdr:row>72</xdr:row>
      <xdr:rowOff>76200</xdr:rowOff>
    </xdr:from>
    <xdr:to>
      <xdr:col>37</xdr:col>
      <xdr:colOff>61232</xdr:colOff>
      <xdr:row>72</xdr:row>
      <xdr:rowOff>76200</xdr:rowOff>
    </xdr:to>
    <xdr:cxnSp macro="">
      <xdr:nvCxnSpPr>
        <xdr:cNvPr id="35004" name="직선 화살표 연결선 35003">
          <a:extLst>
            <a:ext uri="{FF2B5EF4-FFF2-40B4-BE49-F238E27FC236}">
              <a16:creationId xmlns:a16="http://schemas.microsoft.com/office/drawing/2014/main" id="{B75885B1-6FEA-453D-A570-D2E4A2CB86B8}"/>
            </a:ext>
          </a:extLst>
        </xdr:cNvPr>
        <xdr:cNvCxnSpPr/>
      </xdr:nvCxnSpPr>
      <xdr:spPr>
        <a:xfrm>
          <a:off x="14053457" y="1119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71</xdr:row>
      <xdr:rowOff>19050</xdr:rowOff>
    </xdr:from>
    <xdr:to>
      <xdr:col>37</xdr:col>
      <xdr:colOff>103324</xdr:colOff>
      <xdr:row>71</xdr:row>
      <xdr:rowOff>133350</xdr:rowOff>
    </xdr:to>
    <xdr:sp macro="" textlink="">
      <xdr:nvSpPr>
        <xdr:cNvPr id="35005" name="68">
          <a:extLst>
            <a:ext uri="{FF2B5EF4-FFF2-40B4-BE49-F238E27FC236}">
              <a16:creationId xmlns:a16="http://schemas.microsoft.com/office/drawing/2014/main" id="{21229E00-DAC6-416C-B0C9-60FDC26EFD54}"/>
            </a:ext>
          </a:extLst>
        </xdr:cNvPr>
        <xdr:cNvSpPr/>
      </xdr:nvSpPr>
      <xdr:spPr>
        <a:xfrm>
          <a:off x="13828939" y="10982325"/>
          <a:ext cx="2666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71</xdr:row>
      <xdr:rowOff>76200</xdr:rowOff>
    </xdr:from>
    <xdr:to>
      <xdr:col>37</xdr:col>
      <xdr:colOff>102054</xdr:colOff>
      <xdr:row>71</xdr:row>
      <xdr:rowOff>76200</xdr:rowOff>
    </xdr:to>
    <xdr:cxnSp macro="">
      <xdr:nvCxnSpPr>
        <xdr:cNvPr id="35006" name="직선 화살표 연결선 35005">
          <a:extLst>
            <a:ext uri="{FF2B5EF4-FFF2-40B4-BE49-F238E27FC236}">
              <a16:creationId xmlns:a16="http://schemas.microsoft.com/office/drawing/2014/main" id="{EAB297F8-21E7-4AD8-8A82-783CDB7350BE}"/>
            </a:ext>
          </a:extLst>
        </xdr:cNvPr>
        <xdr:cNvCxnSpPr/>
      </xdr:nvCxnSpPr>
      <xdr:spPr>
        <a:xfrm>
          <a:off x="13828939" y="11039475"/>
          <a:ext cx="265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70</xdr:row>
      <xdr:rowOff>19050</xdr:rowOff>
    </xdr:from>
    <xdr:to>
      <xdr:col>39</xdr:col>
      <xdr:colOff>62502</xdr:colOff>
      <xdr:row>70</xdr:row>
      <xdr:rowOff>133350</xdr:rowOff>
    </xdr:to>
    <xdr:sp macro="" textlink="">
      <xdr:nvSpPr>
        <xdr:cNvPr id="35007" name="67">
          <a:extLst>
            <a:ext uri="{FF2B5EF4-FFF2-40B4-BE49-F238E27FC236}">
              <a16:creationId xmlns:a16="http://schemas.microsoft.com/office/drawing/2014/main" id="{054C726C-073A-41D1-A24E-503F16046446}"/>
            </a:ext>
          </a:extLst>
        </xdr:cNvPr>
        <xdr:cNvSpPr/>
      </xdr:nvSpPr>
      <xdr:spPr>
        <a:xfrm>
          <a:off x="14012636" y="10829925"/>
          <a:ext cx="32784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70</xdr:row>
      <xdr:rowOff>76200</xdr:rowOff>
    </xdr:from>
    <xdr:to>
      <xdr:col>38</xdr:col>
      <xdr:colOff>73479</xdr:colOff>
      <xdr:row>70</xdr:row>
      <xdr:rowOff>76200</xdr:rowOff>
    </xdr:to>
    <xdr:cxnSp macro="">
      <xdr:nvCxnSpPr>
        <xdr:cNvPr id="35008" name="직선 화살표 연결선 35007">
          <a:extLst>
            <a:ext uri="{FF2B5EF4-FFF2-40B4-BE49-F238E27FC236}">
              <a16:creationId xmlns:a16="http://schemas.microsoft.com/office/drawing/2014/main" id="{3D12CA55-634D-44E7-A3B0-6A88C826DE2F}"/>
            </a:ext>
          </a:extLst>
        </xdr:cNvPr>
        <xdr:cNvCxnSpPr/>
      </xdr:nvCxnSpPr>
      <xdr:spPr>
        <a:xfrm>
          <a:off x="14012636" y="10887075"/>
          <a:ext cx="1959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69</xdr:row>
      <xdr:rowOff>19050</xdr:rowOff>
    </xdr:from>
    <xdr:to>
      <xdr:col>39</xdr:col>
      <xdr:colOff>62502</xdr:colOff>
      <xdr:row>69</xdr:row>
      <xdr:rowOff>133350</xdr:rowOff>
    </xdr:to>
    <xdr:sp macro="" textlink="">
      <xdr:nvSpPr>
        <xdr:cNvPr id="35009" name="66">
          <a:extLst>
            <a:ext uri="{FF2B5EF4-FFF2-40B4-BE49-F238E27FC236}">
              <a16:creationId xmlns:a16="http://schemas.microsoft.com/office/drawing/2014/main" id="{12DD7310-489F-4703-936B-24F6341FD65C}"/>
            </a:ext>
          </a:extLst>
        </xdr:cNvPr>
        <xdr:cNvSpPr/>
      </xdr:nvSpPr>
      <xdr:spPr>
        <a:xfrm>
          <a:off x="13828939" y="10677525"/>
          <a:ext cx="5115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69</xdr:row>
      <xdr:rowOff>76200</xdr:rowOff>
    </xdr:from>
    <xdr:to>
      <xdr:col>38</xdr:col>
      <xdr:colOff>21647</xdr:colOff>
      <xdr:row>69</xdr:row>
      <xdr:rowOff>76200</xdr:rowOff>
    </xdr:to>
    <xdr:cxnSp macro="">
      <xdr:nvCxnSpPr>
        <xdr:cNvPr id="35010" name="직선 화살표 연결선 35009">
          <a:extLst>
            <a:ext uri="{FF2B5EF4-FFF2-40B4-BE49-F238E27FC236}">
              <a16:creationId xmlns:a16="http://schemas.microsoft.com/office/drawing/2014/main" id="{9D2D1F87-D824-4967-9DDB-26DE5CAC5085}"/>
            </a:ext>
          </a:extLst>
        </xdr:cNvPr>
        <xdr:cNvCxnSpPr/>
      </xdr:nvCxnSpPr>
      <xdr:spPr>
        <a:xfrm>
          <a:off x="13828939" y="10734675"/>
          <a:ext cx="3278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68</xdr:row>
      <xdr:rowOff>19050</xdr:rowOff>
    </xdr:from>
    <xdr:to>
      <xdr:col>39</xdr:col>
      <xdr:colOff>62502</xdr:colOff>
      <xdr:row>68</xdr:row>
      <xdr:rowOff>133350</xdr:rowOff>
    </xdr:to>
    <xdr:sp macro="" textlink="">
      <xdr:nvSpPr>
        <xdr:cNvPr id="35011" name="65">
          <a:extLst>
            <a:ext uri="{FF2B5EF4-FFF2-40B4-BE49-F238E27FC236}">
              <a16:creationId xmlns:a16="http://schemas.microsoft.com/office/drawing/2014/main" id="{0C0FC727-471B-42E7-8315-2D95F8079E13}"/>
            </a:ext>
          </a:extLst>
        </xdr:cNvPr>
        <xdr:cNvSpPr/>
      </xdr:nvSpPr>
      <xdr:spPr>
        <a:xfrm>
          <a:off x="13828939" y="10525125"/>
          <a:ext cx="5115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68</xdr:row>
      <xdr:rowOff>76200</xdr:rowOff>
    </xdr:from>
    <xdr:to>
      <xdr:col>38</xdr:col>
      <xdr:colOff>21647</xdr:colOff>
      <xdr:row>68</xdr:row>
      <xdr:rowOff>76200</xdr:rowOff>
    </xdr:to>
    <xdr:cxnSp macro="">
      <xdr:nvCxnSpPr>
        <xdr:cNvPr id="35012" name="직선 화살표 연결선 35011">
          <a:extLst>
            <a:ext uri="{FF2B5EF4-FFF2-40B4-BE49-F238E27FC236}">
              <a16:creationId xmlns:a16="http://schemas.microsoft.com/office/drawing/2014/main" id="{7B9C23F7-C2E6-4047-84CA-B79BF73E7AFA}"/>
            </a:ext>
          </a:extLst>
        </xdr:cNvPr>
        <xdr:cNvCxnSpPr/>
      </xdr:nvCxnSpPr>
      <xdr:spPr>
        <a:xfrm>
          <a:off x="13828939" y="10582275"/>
          <a:ext cx="3278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81643</xdr:colOff>
      <xdr:row>67</xdr:row>
      <xdr:rowOff>19050</xdr:rowOff>
    </xdr:from>
    <xdr:to>
      <xdr:col>39</xdr:col>
      <xdr:colOff>42090</xdr:colOff>
      <xdr:row>67</xdr:row>
      <xdr:rowOff>133350</xdr:rowOff>
    </xdr:to>
    <xdr:sp macro="" textlink="">
      <xdr:nvSpPr>
        <xdr:cNvPr id="35013" name="64">
          <a:extLst>
            <a:ext uri="{FF2B5EF4-FFF2-40B4-BE49-F238E27FC236}">
              <a16:creationId xmlns:a16="http://schemas.microsoft.com/office/drawing/2014/main" id="{510D93E3-6E80-45EF-9282-74C8246DED7C}"/>
            </a:ext>
          </a:extLst>
        </xdr:cNvPr>
        <xdr:cNvSpPr/>
      </xdr:nvSpPr>
      <xdr:spPr>
        <a:xfrm>
          <a:off x="14216743" y="10372725"/>
          <a:ext cx="1033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81643</xdr:colOff>
      <xdr:row>67</xdr:row>
      <xdr:rowOff>76200</xdr:rowOff>
    </xdr:from>
    <xdr:to>
      <xdr:col>38</xdr:col>
      <xdr:colOff>81643</xdr:colOff>
      <xdr:row>67</xdr:row>
      <xdr:rowOff>76200</xdr:rowOff>
    </xdr:to>
    <xdr:cxnSp macro="">
      <xdr:nvCxnSpPr>
        <xdr:cNvPr id="35014" name="직선 화살표 연결선 35013">
          <a:extLst>
            <a:ext uri="{FF2B5EF4-FFF2-40B4-BE49-F238E27FC236}">
              <a16:creationId xmlns:a16="http://schemas.microsoft.com/office/drawing/2014/main" id="{B0D95E3F-23DB-4228-9CB6-82EBB68276F6}"/>
            </a:ext>
          </a:extLst>
        </xdr:cNvPr>
        <xdr:cNvCxnSpPr/>
      </xdr:nvCxnSpPr>
      <xdr:spPr>
        <a:xfrm>
          <a:off x="14216743" y="1042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66</xdr:row>
      <xdr:rowOff>19050</xdr:rowOff>
    </xdr:from>
    <xdr:to>
      <xdr:col>38</xdr:col>
      <xdr:colOff>103324</xdr:colOff>
      <xdr:row>66</xdr:row>
      <xdr:rowOff>133350</xdr:rowOff>
    </xdr:to>
    <xdr:sp macro="" textlink="">
      <xdr:nvSpPr>
        <xdr:cNvPr id="35015" name="0">
          <a:extLst>
            <a:ext uri="{FF2B5EF4-FFF2-40B4-BE49-F238E27FC236}">
              <a16:creationId xmlns:a16="http://schemas.microsoft.com/office/drawing/2014/main" id="{95E11C0E-B52A-4E97-BD51-59A415FC5595}"/>
            </a:ext>
          </a:extLst>
        </xdr:cNvPr>
        <xdr:cNvSpPr/>
      </xdr:nvSpPr>
      <xdr:spPr>
        <a:xfrm>
          <a:off x="14155511" y="102203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66</xdr:row>
      <xdr:rowOff>76200</xdr:rowOff>
    </xdr:from>
    <xdr:to>
      <xdr:col>38</xdr:col>
      <xdr:colOff>20411</xdr:colOff>
      <xdr:row>66</xdr:row>
      <xdr:rowOff>76200</xdr:rowOff>
    </xdr:to>
    <xdr:cxnSp macro="">
      <xdr:nvCxnSpPr>
        <xdr:cNvPr id="35016" name="직선 화살표 연결선 35015">
          <a:extLst>
            <a:ext uri="{FF2B5EF4-FFF2-40B4-BE49-F238E27FC236}">
              <a16:creationId xmlns:a16="http://schemas.microsoft.com/office/drawing/2014/main" id="{E3288EF7-C63F-4A37-9843-0FA53DEBA622}"/>
            </a:ext>
          </a:extLst>
        </xdr:cNvPr>
        <xdr:cNvCxnSpPr/>
      </xdr:nvCxnSpPr>
      <xdr:spPr>
        <a:xfrm>
          <a:off x="14155511" y="1027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65</xdr:row>
      <xdr:rowOff>19050</xdr:rowOff>
    </xdr:from>
    <xdr:to>
      <xdr:col>38</xdr:col>
      <xdr:colOff>103324</xdr:colOff>
      <xdr:row>65</xdr:row>
      <xdr:rowOff>133350</xdr:rowOff>
    </xdr:to>
    <xdr:sp macro="" textlink="">
      <xdr:nvSpPr>
        <xdr:cNvPr id="35017" name="62">
          <a:extLst>
            <a:ext uri="{FF2B5EF4-FFF2-40B4-BE49-F238E27FC236}">
              <a16:creationId xmlns:a16="http://schemas.microsoft.com/office/drawing/2014/main" id="{CB41EFA2-933D-4778-8E6E-C9AAD6DA649F}"/>
            </a:ext>
          </a:extLst>
        </xdr:cNvPr>
        <xdr:cNvSpPr/>
      </xdr:nvSpPr>
      <xdr:spPr>
        <a:xfrm>
          <a:off x="13747296" y="10067925"/>
          <a:ext cx="49112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65</xdr:row>
      <xdr:rowOff>76200</xdr:rowOff>
    </xdr:from>
    <xdr:to>
      <xdr:col>35</xdr:col>
      <xdr:colOff>89807</xdr:colOff>
      <xdr:row>65</xdr:row>
      <xdr:rowOff>76200</xdr:rowOff>
    </xdr:to>
    <xdr:cxnSp macro="">
      <xdr:nvCxnSpPr>
        <xdr:cNvPr id="35018" name="직선 화살표 연결선 35017">
          <a:extLst>
            <a:ext uri="{FF2B5EF4-FFF2-40B4-BE49-F238E27FC236}">
              <a16:creationId xmlns:a16="http://schemas.microsoft.com/office/drawing/2014/main" id="{C324FD83-EF99-4227-89F4-A339C9F0B673}"/>
            </a:ext>
          </a:extLst>
        </xdr:cNvPr>
        <xdr:cNvCxnSpPr/>
      </xdr:nvCxnSpPr>
      <xdr:spPr>
        <a:xfrm>
          <a:off x="13747296" y="10125075"/>
          <a:ext cx="489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64</xdr:row>
      <xdr:rowOff>19050</xdr:rowOff>
    </xdr:from>
    <xdr:to>
      <xdr:col>38</xdr:col>
      <xdr:colOff>21681</xdr:colOff>
      <xdr:row>64</xdr:row>
      <xdr:rowOff>133350</xdr:rowOff>
    </xdr:to>
    <xdr:sp macro="" textlink="">
      <xdr:nvSpPr>
        <xdr:cNvPr id="35019" name="61">
          <a:extLst>
            <a:ext uri="{FF2B5EF4-FFF2-40B4-BE49-F238E27FC236}">
              <a16:creationId xmlns:a16="http://schemas.microsoft.com/office/drawing/2014/main" id="{79CC48DD-3EE5-49A0-A7E0-4AD16B2DCB1D}"/>
            </a:ext>
          </a:extLst>
        </xdr:cNvPr>
        <xdr:cNvSpPr/>
      </xdr:nvSpPr>
      <xdr:spPr>
        <a:xfrm>
          <a:off x="13747296" y="9915525"/>
          <a:ext cx="4094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64</xdr:row>
      <xdr:rowOff>76200</xdr:rowOff>
    </xdr:from>
    <xdr:to>
      <xdr:col>36</xdr:col>
      <xdr:colOff>32657</xdr:colOff>
      <xdr:row>64</xdr:row>
      <xdr:rowOff>76200</xdr:rowOff>
    </xdr:to>
    <xdr:cxnSp macro="">
      <xdr:nvCxnSpPr>
        <xdr:cNvPr id="35020" name="직선 화살표 연결선 35019">
          <a:extLst>
            <a:ext uri="{FF2B5EF4-FFF2-40B4-BE49-F238E27FC236}">
              <a16:creationId xmlns:a16="http://schemas.microsoft.com/office/drawing/2014/main" id="{AEDE6BFA-5DE3-4B1C-BC83-6DFE464B6D10}"/>
            </a:ext>
          </a:extLst>
        </xdr:cNvPr>
        <xdr:cNvCxnSpPr/>
      </xdr:nvCxnSpPr>
      <xdr:spPr>
        <a:xfrm>
          <a:off x="13747296" y="9972675"/>
          <a:ext cx="1347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63</xdr:row>
      <xdr:rowOff>19050</xdr:rowOff>
    </xdr:from>
    <xdr:to>
      <xdr:col>38</xdr:col>
      <xdr:colOff>103324</xdr:colOff>
      <xdr:row>63</xdr:row>
      <xdr:rowOff>133350</xdr:rowOff>
    </xdr:to>
    <xdr:sp macro="" textlink="">
      <xdr:nvSpPr>
        <xdr:cNvPr id="35021" name="60">
          <a:extLst>
            <a:ext uri="{FF2B5EF4-FFF2-40B4-BE49-F238E27FC236}">
              <a16:creationId xmlns:a16="http://schemas.microsoft.com/office/drawing/2014/main" id="{98008453-9026-4FF8-A958-D70937DF17A8}"/>
            </a:ext>
          </a:extLst>
        </xdr:cNvPr>
        <xdr:cNvSpPr/>
      </xdr:nvSpPr>
      <xdr:spPr>
        <a:xfrm>
          <a:off x="13747296" y="9763125"/>
          <a:ext cx="49112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63</xdr:row>
      <xdr:rowOff>76200</xdr:rowOff>
    </xdr:from>
    <xdr:to>
      <xdr:col>35</xdr:col>
      <xdr:colOff>139098</xdr:colOff>
      <xdr:row>63</xdr:row>
      <xdr:rowOff>76200</xdr:rowOff>
    </xdr:to>
    <xdr:cxnSp macro="">
      <xdr:nvCxnSpPr>
        <xdr:cNvPr id="35022" name="직선 화살표 연결선 35021">
          <a:extLst>
            <a:ext uri="{FF2B5EF4-FFF2-40B4-BE49-F238E27FC236}">
              <a16:creationId xmlns:a16="http://schemas.microsoft.com/office/drawing/2014/main" id="{26F0F88C-472E-4CA7-AAF6-11B902CB48C9}"/>
            </a:ext>
          </a:extLst>
        </xdr:cNvPr>
        <xdr:cNvCxnSpPr/>
      </xdr:nvCxnSpPr>
      <xdr:spPr>
        <a:xfrm>
          <a:off x="13747296" y="9820275"/>
          <a:ext cx="982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62</xdr:row>
      <xdr:rowOff>19050</xdr:rowOff>
    </xdr:from>
    <xdr:to>
      <xdr:col>39</xdr:col>
      <xdr:colOff>42090</xdr:colOff>
      <xdr:row>62</xdr:row>
      <xdr:rowOff>133350</xdr:rowOff>
    </xdr:to>
    <xdr:sp macro="" textlink="">
      <xdr:nvSpPr>
        <xdr:cNvPr id="35023" name="59">
          <a:extLst>
            <a:ext uri="{FF2B5EF4-FFF2-40B4-BE49-F238E27FC236}">
              <a16:creationId xmlns:a16="http://schemas.microsoft.com/office/drawing/2014/main" id="{7B982EF6-B894-4072-A3C9-60D7BBE30A7C}"/>
            </a:ext>
          </a:extLst>
        </xdr:cNvPr>
        <xdr:cNvSpPr/>
      </xdr:nvSpPr>
      <xdr:spPr>
        <a:xfrm>
          <a:off x="13747296" y="96107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62</xdr:row>
      <xdr:rowOff>76200</xdr:rowOff>
    </xdr:from>
    <xdr:to>
      <xdr:col>35</xdr:col>
      <xdr:colOff>134899</xdr:colOff>
      <xdr:row>62</xdr:row>
      <xdr:rowOff>76200</xdr:rowOff>
    </xdr:to>
    <xdr:cxnSp macro="">
      <xdr:nvCxnSpPr>
        <xdr:cNvPr id="35024" name="직선 화살표 연결선 35023">
          <a:extLst>
            <a:ext uri="{FF2B5EF4-FFF2-40B4-BE49-F238E27FC236}">
              <a16:creationId xmlns:a16="http://schemas.microsoft.com/office/drawing/2014/main" id="{F470F255-2649-400B-AAB2-A262A7771686}"/>
            </a:ext>
          </a:extLst>
        </xdr:cNvPr>
        <xdr:cNvCxnSpPr/>
      </xdr:nvCxnSpPr>
      <xdr:spPr>
        <a:xfrm>
          <a:off x="13747296" y="9667875"/>
          <a:ext cx="940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61</xdr:row>
      <xdr:rowOff>19050</xdr:rowOff>
    </xdr:from>
    <xdr:to>
      <xdr:col>39</xdr:col>
      <xdr:colOff>42090</xdr:colOff>
      <xdr:row>61</xdr:row>
      <xdr:rowOff>133350</xdr:rowOff>
    </xdr:to>
    <xdr:sp macro="" textlink="">
      <xdr:nvSpPr>
        <xdr:cNvPr id="35025" name="58">
          <a:extLst>
            <a:ext uri="{FF2B5EF4-FFF2-40B4-BE49-F238E27FC236}">
              <a16:creationId xmlns:a16="http://schemas.microsoft.com/office/drawing/2014/main" id="{3BB1529C-E789-40FE-8A0D-E76618CE0B5E}"/>
            </a:ext>
          </a:extLst>
        </xdr:cNvPr>
        <xdr:cNvSpPr/>
      </xdr:nvSpPr>
      <xdr:spPr>
        <a:xfrm>
          <a:off x="13747296" y="94583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61</xdr:row>
      <xdr:rowOff>76200</xdr:rowOff>
    </xdr:from>
    <xdr:to>
      <xdr:col>35</xdr:col>
      <xdr:colOff>134899</xdr:colOff>
      <xdr:row>61</xdr:row>
      <xdr:rowOff>76200</xdr:rowOff>
    </xdr:to>
    <xdr:cxnSp macro="">
      <xdr:nvCxnSpPr>
        <xdr:cNvPr id="35026" name="직선 화살표 연결선 35025">
          <a:extLst>
            <a:ext uri="{FF2B5EF4-FFF2-40B4-BE49-F238E27FC236}">
              <a16:creationId xmlns:a16="http://schemas.microsoft.com/office/drawing/2014/main" id="{9FB6DAA7-96C4-4EA5-8075-628548A4BCAC}"/>
            </a:ext>
          </a:extLst>
        </xdr:cNvPr>
        <xdr:cNvCxnSpPr/>
      </xdr:nvCxnSpPr>
      <xdr:spPr>
        <a:xfrm>
          <a:off x="13747296" y="9515475"/>
          <a:ext cx="940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60</xdr:row>
      <xdr:rowOff>19050</xdr:rowOff>
    </xdr:from>
    <xdr:to>
      <xdr:col>39</xdr:col>
      <xdr:colOff>42090</xdr:colOff>
      <xdr:row>60</xdr:row>
      <xdr:rowOff>133350</xdr:rowOff>
    </xdr:to>
    <xdr:sp macro="" textlink="">
      <xdr:nvSpPr>
        <xdr:cNvPr id="35027" name="57">
          <a:extLst>
            <a:ext uri="{FF2B5EF4-FFF2-40B4-BE49-F238E27FC236}">
              <a16:creationId xmlns:a16="http://schemas.microsoft.com/office/drawing/2014/main" id="{21E966AC-80F4-430D-B812-0B4ED944BEA8}"/>
            </a:ext>
          </a:extLst>
        </xdr:cNvPr>
        <xdr:cNvSpPr/>
      </xdr:nvSpPr>
      <xdr:spPr>
        <a:xfrm>
          <a:off x="13747296" y="93059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60</xdr:row>
      <xdr:rowOff>76200</xdr:rowOff>
    </xdr:from>
    <xdr:to>
      <xdr:col>35</xdr:col>
      <xdr:colOff>134899</xdr:colOff>
      <xdr:row>60</xdr:row>
      <xdr:rowOff>76200</xdr:rowOff>
    </xdr:to>
    <xdr:cxnSp macro="">
      <xdr:nvCxnSpPr>
        <xdr:cNvPr id="35028" name="직선 화살표 연결선 35027">
          <a:extLst>
            <a:ext uri="{FF2B5EF4-FFF2-40B4-BE49-F238E27FC236}">
              <a16:creationId xmlns:a16="http://schemas.microsoft.com/office/drawing/2014/main" id="{E555DDE5-70FE-4D08-8684-E4C0C64E6818}"/>
            </a:ext>
          </a:extLst>
        </xdr:cNvPr>
        <xdr:cNvCxnSpPr/>
      </xdr:nvCxnSpPr>
      <xdr:spPr>
        <a:xfrm>
          <a:off x="13747296" y="9363075"/>
          <a:ext cx="940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59</xdr:row>
      <xdr:rowOff>19050</xdr:rowOff>
    </xdr:from>
    <xdr:to>
      <xdr:col>39</xdr:col>
      <xdr:colOff>62502</xdr:colOff>
      <xdr:row>59</xdr:row>
      <xdr:rowOff>133350</xdr:rowOff>
    </xdr:to>
    <xdr:sp macro="" textlink="">
      <xdr:nvSpPr>
        <xdr:cNvPr id="35029" name="56">
          <a:extLst>
            <a:ext uri="{FF2B5EF4-FFF2-40B4-BE49-F238E27FC236}">
              <a16:creationId xmlns:a16="http://schemas.microsoft.com/office/drawing/2014/main" id="{D046A8C6-270E-44BA-8084-A1F00207EE70}"/>
            </a:ext>
          </a:extLst>
        </xdr:cNvPr>
        <xdr:cNvSpPr/>
      </xdr:nvSpPr>
      <xdr:spPr>
        <a:xfrm>
          <a:off x="13747296" y="9153525"/>
          <a:ext cx="593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59</xdr:row>
      <xdr:rowOff>76200</xdr:rowOff>
    </xdr:from>
    <xdr:to>
      <xdr:col>36</xdr:col>
      <xdr:colOff>125009</xdr:colOff>
      <xdr:row>59</xdr:row>
      <xdr:rowOff>76200</xdr:rowOff>
    </xdr:to>
    <xdr:cxnSp macro="">
      <xdr:nvCxnSpPr>
        <xdr:cNvPr id="35030" name="직선 화살표 연결선 35029">
          <a:extLst>
            <a:ext uri="{FF2B5EF4-FFF2-40B4-BE49-F238E27FC236}">
              <a16:creationId xmlns:a16="http://schemas.microsoft.com/office/drawing/2014/main" id="{6AABFFA8-D51C-4E0F-8CA1-5DA6BE8DF92C}"/>
            </a:ext>
          </a:extLst>
        </xdr:cNvPr>
        <xdr:cNvCxnSpPr/>
      </xdr:nvCxnSpPr>
      <xdr:spPr>
        <a:xfrm>
          <a:off x="13747296" y="9210675"/>
          <a:ext cx="2270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58</xdr:row>
      <xdr:rowOff>19050</xdr:rowOff>
    </xdr:from>
    <xdr:to>
      <xdr:col>37</xdr:col>
      <xdr:colOff>42090</xdr:colOff>
      <xdr:row>58</xdr:row>
      <xdr:rowOff>133350</xdr:rowOff>
    </xdr:to>
    <xdr:sp macro="" textlink="">
      <xdr:nvSpPr>
        <xdr:cNvPr id="35031" name="55">
          <a:extLst>
            <a:ext uri="{FF2B5EF4-FFF2-40B4-BE49-F238E27FC236}">
              <a16:creationId xmlns:a16="http://schemas.microsoft.com/office/drawing/2014/main" id="{03AE3C96-352A-4769-9E43-9DFB986973BF}"/>
            </a:ext>
          </a:extLst>
        </xdr:cNvPr>
        <xdr:cNvSpPr/>
      </xdr:nvSpPr>
      <xdr:spPr>
        <a:xfrm>
          <a:off x="13951404" y="9001125"/>
          <a:ext cx="829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58</xdr:row>
      <xdr:rowOff>76200</xdr:rowOff>
    </xdr:from>
    <xdr:to>
      <xdr:col>37</xdr:col>
      <xdr:colOff>36739</xdr:colOff>
      <xdr:row>58</xdr:row>
      <xdr:rowOff>76200</xdr:rowOff>
    </xdr:to>
    <xdr:cxnSp macro="">
      <xdr:nvCxnSpPr>
        <xdr:cNvPr id="35032" name="직선 화살표 연결선 35031">
          <a:extLst>
            <a:ext uri="{FF2B5EF4-FFF2-40B4-BE49-F238E27FC236}">
              <a16:creationId xmlns:a16="http://schemas.microsoft.com/office/drawing/2014/main" id="{DA67305A-A634-4BA5-9B30-790069E9FDD5}"/>
            </a:ext>
          </a:extLst>
        </xdr:cNvPr>
        <xdr:cNvCxnSpPr/>
      </xdr:nvCxnSpPr>
      <xdr:spPr>
        <a:xfrm>
          <a:off x="13951404" y="9058275"/>
          <a:ext cx="775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57</xdr:row>
      <xdr:rowOff>19050</xdr:rowOff>
    </xdr:from>
    <xdr:to>
      <xdr:col>37</xdr:col>
      <xdr:colOff>42090</xdr:colOff>
      <xdr:row>57</xdr:row>
      <xdr:rowOff>133350</xdr:rowOff>
    </xdr:to>
    <xdr:sp macro="" textlink="">
      <xdr:nvSpPr>
        <xdr:cNvPr id="35033" name="54">
          <a:extLst>
            <a:ext uri="{FF2B5EF4-FFF2-40B4-BE49-F238E27FC236}">
              <a16:creationId xmlns:a16="http://schemas.microsoft.com/office/drawing/2014/main" id="{5D8873AC-BA4D-4098-BE3D-24832B27F109}"/>
            </a:ext>
          </a:extLst>
        </xdr:cNvPr>
        <xdr:cNvSpPr/>
      </xdr:nvSpPr>
      <xdr:spPr>
        <a:xfrm>
          <a:off x="13951404" y="8848725"/>
          <a:ext cx="829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57</xdr:row>
      <xdr:rowOff>76200</xdr:rowOff>
    </xdr:from>
    <xdr:to>
      <xdr:col>37</xdr:col>
      <xdr:colOff>36739</xdr:colOff>
      <xdr:row>57</xdr:row>
      <xdr:rowOff>76200</xdr:rowOff>
    </xdr:to>
    <xdr:cxnSp macro="">
      <xdr:nvCxnSpPr>
        <xdr:cNvPr id="35034" name="직선 화살표 연결선 35033">
          <a:extLst>
            <a:ext uri="{FF2B5EF4-FFF2-40B4-BE49-F238E27FC236}">
              <a16:creationId xmlns:a16="http://schemas.microsoft.com/office/drawing/2014/main" id="{8E08A35D-7943-483E-861E-4D880E5C9D36}"/>
            </a:ext>
          </a:extLst>
        </xdr:cNvPr>
        <xdr:cNvCxnSpPr/>
      </xdr:nvCxnSpPr>
      <xdr:spPr>
        <a:xfrm>
          <a:off x="13951404" y="8905875"/>
          <a:ext cx="775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56</xdr:row>
      <xdr:rowOff>19050</xdr:rowOff>
    </xdr:from>
    <xdr:to>
      <xdr:col>37</xdr:col>
      <xdr:colOff>42090</xdr:colOff>
      <xdr:row>56</xdr:row>
      <xdr:rowOff>133350</xdr:rowOff>
    </xdr:to>
    <xdr:sp macro="" textlink="">
      <xdr:nvSpPr>
        <xdr:cNvPr id="35035" name="53">
          <a:extLst>
            <a:ext uri="{FF2B5EF4-FFF2-40B4-BE49-F238E27FC236}">
              <a16:creationId xmlns:a16="http://schemas.microsoft.com/office/drawing/2014/main" id="{58259F83-5F5F-4D3E-83E6-432AB8AE75A5}"/>
            </a:ext>
          </a:extLst>
        </xdr:cNvPr>
        <xdr:cNvSpPr/>
      </xdr:nvSpPr>
      <xdr:spPr>
        <a:xfrm>
          <a:off x="13624832" y="8696325"/>
          <a:ext cx="4094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56</xdr:row>
      <xdr:rowOff>76200</xdr:rowOff>
    </xdr:from>
    <xdr:to>
      <xdr:col>37</xdr:col>
      <xdr:colOff>40821</xdr:colOff>
      <xdr:row>56</xdr:row>
      <xdr:rowOff>76200</xdr:rowOff>
    </xdr:to>
    <xdr:cxnSp macro="">
      <xdr:nvCxnSpPr>
        <xdr:cNvPr id="35036" name="직선 화살표 연결선 35035">
          <a:extLst>
            <a:ext uri="{FF2B5EF4-FFF2-40B4-BE49-F238E27FC236}">
              <a16:creationId xmlns:a16="http://schemas.microsoft.com/office/drawing/2014/main" id="{8B0CB254-7404-43F1-9E75-C4C04F6E30C4}"/>
            </a:ext>
          </a:extLst>
        </xdr:cNvPr>
        <xdr:cNvCxnSpPr/>
      </xdr:nvCxnSpPr>
      <xdr:spPr>
        <a:xfrm>
          <a:off x="13624832" y="87534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55</xdr:row>
      <xdr:rowOff>19050</xdr:rowOff>
    </xdr:from>
    <xdr:to>
      <xdr:col>37</xdr:col>
      <xdr:colOff>42090</xdr:colOff>
      <xdr:row>55</xdr:row>
      <xdr:rowOff>133350</xdr:rowOff>
    </xdr:to>
    <xdr:sp macro="" textlink="">
      <xdr:nvSpPr>
        <xdr:cNvPr id="35037" name="52">
          <a:extLst>
            <a:ext uri="{FF2B5EF4-FFF2-40B4-BE49-F238E27FC236}">
              <a16:creationId xmlns:a16="http://schemas.microsoft.com/office/drawing/2014/main" id="{E0543801-EFAC-40E5-888D-20CBDA29B576}"/>
            </a:ext>
          </a:extLst>
        </xdr:cNvPr>
        <xdr:cNvSpPr/>
      </xdr:nvSpPr>
      <xdr:spPr>
        <a:xfrm>
          <a:off x="13624832" y="85439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55</xdr:row>
      <xdr:rowOff>76200</xdr:rowOff>
    </xdr:from>
    <xdr:to>
      <xdr:col>37</xdr:col>
      <xdr:colOff>40821</xdr:colOff>
      <xdr:row>55</xdr:row>
      <xdr:rowOff>76200</xdr:rowOff>
    </xdr:to>
    <xdr:cxnSp macro="">
      <xdr:nvCxnSpPr>
        <xdr:cNvPr id="35038" name="직선 화살표 연결선 35037">
          <a:extLst>
            <a:ext uri="{FF2B5EF4-FFF2-40B4-BE49-F238E27FC236}">
              <a16:creationId xmlns:a16="http://schemas.microsoft.com/office/drawing/2014/main" id="{D22A5853-3919-4BB5-AB51-A1EF99D18657}"/>
            </a:ext>
          </a:extLst>
        </xdr:cNvPr>
        <xdr:cNvCxnSpPr/>
      </xdr:nvCxnSpPr>
      <xdr:spPr>
        <a:xfrm>
          <a:off x="13624832" y="86010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49</xdr:row>
      <xdr:rowOff>19050</xdr:rowOff>
    </xdr:from>
    <xdr:to>
      <xdr:col>38</xdr:col>
      <xdr:colOff>103324</xdr:colOff>
      <xdr:row>49</xdr:row>
      <xdr:rowOff>133350</xdr:rowOff>
    </xdr:to>
    <xdr:sp macro="" textlink="">
      <xdr:nvSpPr>
        <xdr:cNvPr id="35039" name="46">
          <a:extLst>
            <a:ext uri="{FF2B5EF4-FFF2-40B4-BE49-F238E27FC236}">
              <a16:creationId xmlns:a16="http://schemas.microsoft.com/office/drawing/2014/main" id="{B6FEBB2F-DC2D-4AAB-9099-FF7EF313C7D1}"/>
            </a:ext>
          </a:extLst>
        </xdr:cNvPr>
        <xdr:cNvSpPr/>
      </xdr:nvSpPr>
      <xdr:spPr>
        <a:xfrm>
          <a:off x="14155511" y="76295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49</xdr:row>
      <xdr:rowOff>76200</xdr:rowOff>
    </xdr:from>
    <xdr:to>
      <xdr:col>38</xdr:col>
      <xdr:colOff>20411</xdr:colOff>
      <xdr:row>49</xdr:row>
      <xdr:rowOff>76200</xdr:rowOff>
    </xdr:to>
    <xdr:cxnSp macro="">
      <xdr:nvCxnSpPr>
        <xdr:cNvPr id="35040" name="직선 화살표 연결선 35039">
          <a:extLst>
            <a:ext uri="{FF2B5EF4-FFF2-40B4-BE49-F238E27FC236}">
              <a16:creationId xmlns:a16="http://schemas.microsoft.com/office/drawing/2014/main" id="{09B4B811-380B-49F7-8DC4-0EC00EF9AED4}"/>
            </a:ext>
          </a:extLst>
        </xdr:cNvPr>
        <xdr:cNvCxnSpPr/>
      </xdr:nvCxnSpPr>
      <xdr:spPr>
        <a:xfrm>
          <a:off x="14155511" y="768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48</xdr:row>
      <xdr:rowOff>19050</xdr:rowOff>
    </xdr:from>
    <xdr:to>
      <xdr:col>38</xdr:col>
      <xdr:colOff>42090</xdr:colOff>
      <xdr:row>48</xdr:row>
      <xdr:rowOff>133350</xdr:rowOff>
    </xdr:to>
    <xdr:sp macro="" textlink="">
      <xdr:nvSpPr>
        <xdr:cNvPr id="35041" name="45">
          <a:extLst>
            <a:ext uri="{FF2B5EF4-FFF2-40B4-BE49-F238E27FC236}">
              <a16:creationId xmlns:a16="http://schemas.microsoft.com/office/drawing/2014/main" id="{BF2C6287-7A5B-4EC9-BAAF-431FDD0DD9E9}"/>
            </a:ext>
          </a:extLst>
        </xdr:cNvPr>
        <xdr:cNvSpPr/>
      </xdr:nvSpPr>
      <xdr:spPr>
        <a:xfrm>
          <a:off x="14012636" y="7477125"/>
          <a:ext cx="164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48</xdr:row>
      <xdr:rowOff>76200</xdr:rowOff>
    </xdr:from>
    <xdr:to>
      <xdr:col>38</xdr:col>
      <xdr:colOff>40821</xdr:colOff>
      <xdr:row>48</xdr:row>
      <xdr:rowOff>76200</xdr:rowOff>
    </xdr:to>
    <xdr:cxnSp macro="">
      <xdr:nvCxnSpPr>
        <xdr:cNvPr id="35042" name="직선 화살표 연결선 35041">
          <a:extLst>
            <a:ext uri="{FF2B5EF4-FFF2-40B4-BE49-F238E27FC236}">
              <a16:creationId xmlns:a16="http://schemas.microsoft.com/office/drawing/2014/main" id="{59438D8F-C662-4692-A6FB-2EE1CDE9AEE1}"/>
            </a:ext>
          </a:extLst>
        </xdr:cNvPr>
        <xdr:cNvCxnSpPr/>
      </xdr:nvCxnSpPr>
      <xdr:spPr>
        <a:xfrm>
          <a:off x="14012636" y="7534275"/>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47</xdr:row>
      <xdr:rowOff>19050</xdr:rowOff>
    </xdr:from>
    <xdr:to>
      <xdr:col>38</xdr:col>
      <xdr:colOff>21681</xdr:colOff>
      <xdr:row>47</xdr:row>
      <xdr:rowOff>133350</xdr:rowOff>
    </xdr:to>
    <xdr:sp macro="" textlink="">
      <xdr:nvSpPr>
        <xdr:cNvPr id="35043" name="44">
          <a:extLst>
            <a:ext uri="{FF2B5EF4-FFF2-40B4-BE49-F238E27FC236}">
              <a16:creationId xmlns:a16="http://schemas.microsoft.com/office/drawing/2014/main" id="{8A09900C-59FC-4C3F-9DD2-EC69EAFC9024}"/>
            </a:ext>
          </a:extLst>
        </xdr:cNvPr>
        <xdr:cNvSpPr/>
      </xdr:nvSpPr>
      <xdr:spPr>
        <a:xfrm>
          <a:off x="14012636" y="73247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47</xdr:row>
      <xdr:rowOff>76200</xdr:rowOff>
    </xdr:from>
    <xdr:to>
      <xdr:col>38</xdr:col>
      <xdr:colOff>20411</xdr:colOff>
      <xdr:row>47</xdr:row>
      <xdr:rowOff>76200</xdr:rowOff>
    </xdr:to>
    <xdr:cxnSp macro="">
      <xdr:nvCxnSpPr>
        <xdr:cNvPr id="35044" name="직선 화살표 연결선 35043">
          <a:extLst>
            <a:ext uri="{FF2B5EF4-FFF2-40B4-BE49-F238E27FC236}">
              <a16:creationId xmlns:a16="http://schemas.microsoft.com/office/drawing/2014/main" id="{8B74724F-8017-44A8-A7E4-1F089041A597}"/>
            </a:ext>
          </a:extLst>
        </xdr:cNvPr>
        <xdr:cNvCxnSpPr/>
      </xdr:nvCxnSpPr>
      <xdr:spPr>
        <a:xfrm>
          <a:off x="14012636" y="73818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46</xdr:row>
      <xdr:rowOff>19050</xdr:rowOff>
    </xdr:from>
    <xdr:to>
      <xdr:col>38</xdr:col>
      <xdr:colOff>1270</xdr:colOff>
      <xdr:row>46</xdr:row>
      <xdr:rowOff>133350</xdr:rowOff>
    </xdr:to>
    <xdr:sp macro="" textlink="">
      <xdr:nvSpPr>
        <xdr:cNvPr id="35045" name="43">
          <a:extLst>
            <a:ext uri="{FF2B5EF4-FFF2-40B4-BE49-F238E27FC236}">
              <a16:creationId xmlns:a16="http://schemas.microsoft.com/office/drawing/2014/main" id="{06454523-C636-4138-BD86-174C90B2444C}"/>
            </a:ext>
          </a:extLst>
        </xdr:cNvPr>
        <xdr:cNvSpPr/>
      </xdr:nvSpPr>
      <xdr:spPr>
        <a:xfrm>
          <a:off x="14012636" y="71723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46</xdr:row>
      <xdr:rowOff>76200</xdr:rowOff>
    </xdr:from>
    <xdr:to>
      <xdr:col>38</xdr:col>
      <xdr:colOff>0</xdr:colOff>
      <xdr:row>46</xdr:row>
      <xdr:rowOff>76200</xdr:rowOff>
    </xdr:to>
    <xdr:cxnSp macro="">
      <xdr:nvCxnSpPr>
        <xdr:cNvPr id="35046" name="직선 화살표 연결선 35045">
          <a:extLst>
            <a:ext uri="{FF2B5EF4-FFF2-40B4-BE49-F238E27FC236}">
              <a16:creationId xmlns:a16="http://schemas.microsoft.com/office/drawing/2014/main" id="{986C1C31-E9D7-4AAC-B8EE-AB74A458CECD}"/>
            </a:ext>
          </a:extLst>
        </xdr:cNvPr>
        <xdr:cNvCxnSpPr/>
      </xdr:nvCxnSpPr>
      <xdr:spPr>
        <a:xfrm>
          <a:off x="14012636" y="7229475"/>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45</xdr:row>
      <xdr:rowOff>19050</xdr:rowOff>
    </xdr:from>
    <xdr:to>
      <xdr:col>38</xdr:col>
      <xdr:colOff>103324</xdr:colOff>
      <xdr:row>45</xdr:row>
      <xdr:rowOff>133350</xdr:rowOff>
    </xdr:to>
    <xdr:sp macro="" textlink="">
      <xdr:nvSpPr>
        <xdr:cNvPr id="35047" name="42">
          <a:extLst>
            <a:ext uri="{FF2B5EF4-FFF2-40B4-BE49-F238E27FC236}">
              <a16:creationId xmlns:a16="http://schemas.microsoft.com/office/drawing/2014/main" id="{184A794E-AA4C-46F7-BA9C-A8DEBA19605C}"/>
            </a:ext>
          </a:extLst>
        </xdr:cNvPr>
        <xdr:cNvSpPr/>
      </xdr:nvSpPr>
      <xdr:spPr>
        <a:xfrm>
          <a:off x="14012636" y="70199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45</xdr:row>
      <xdr:rowOff>76200</xdr:rowOff>
    </xdr:from>
    <xdr:to>
      <xdr:col>38</xdr:col>
      <xdr:colOff>57150</xdr:colOff>
      <xdr:row>45</xdr:row>
      <xdr:rowOff>76200</xdr:rowOff>
    </xdr:to>
    <xdr:cxnSp macro="">
      <xdr:nvCxnSpPr>
        <xdr:cNvPr id="35048" name="직선 화살표 연결선 35047">
          <a:extLst>
            <a:ext uri="{FF2B5EF4-FFF2-40B4-BE49-F238E27FC236}">
              <a16:creationId xmlns:a16="http://schemas.microsoft.com/office/drawing/2014/main" id="{9574F305-30B0-4CB6-BB37-8753B53EC7D9}"/>
            </a:ext>
          </a:extLst>
        </xdr:cNvPr>
        <xdr:cNvCxnSpPr/>
      </xdr:nvCxnSpPr>
      <xdr:spPr>
        <a:xfrm>
          <a:off x="14012636" y="7077075"/>
          <a:ext cx="1796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44</xdr:row>
      <xdr:rowOff>19050</xdr:rowOff>
    </xdr:from>
    <xdr:to>
      <xdr:col>38</xdr:col>
      <xdr:colOff>4536</xdr:colOff>
      <xdr:row>44</xdr:row>
      <xdr:rowOff>146050</xdr:rowOff>
    </xdr:to>
    <xdr:sp macro="" textlink="">
      <xdr:nvSpPr>
        <xdr:cNvPr id="35049" name="다이아몬드 35048">
          <a:extLst>
            <a:ext uri="{FF2B5EF4-FFF2-40B4-BE49-F238E27FC236}">
              <a16:creationId xmlns:a16="http://schemas.microsoft.com/office/drawing/2014/main" id="{792D1773-5006-4FB9-90F3-121AF5044870}"/>
            </a:ext>
          </a:extLst>
        </xdr:cNvPr>
        <xdr:cNvSpPr/>
      </xdr:nvSpPr>
      <xdr:spPr>
        <a:xfrm>
          <a:off x="14012636" y="68675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39</xdr:row>
      <xdr:rowOff>19050</xdr:rowOff>
    </xdr:from>
    <xdr:to>
      <xdr:col>31</xdr:col>
      <xdr:colOff>103324</xdr:colOff>
      <xdr:row>39</xdr:row>
      <xdr:rowOff>133350</xdr:rowOff>
    </xdr:to>
    <xdr:sp macro="" textlink="">
      <xdr:nvSpPr>
        <xdr:cNvPr id="35050" name="36">
          <a:extLst>
            <a:ext uri="{FF2B5EF4-FFF2-40B4-BE49-F238E27FC236}">
              <a16:creationId xmlns:a16="http://schemas.microsoft.com/office/drawing/2014/main" id="{E6F165B1-00CC-428C-85FB-03E34A8D69A6}"/>
            </a:ext>
          </a:extLst>
        </xdr:cNvPr>
        <xdr:cNvSpPr/>
      </xdr:nvSpPr>
      <xdr:spPr>
        <a:xfrm>
          <a:off x="13216618" y="61055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39</xdr:row>
      <xdr:rowOff>76200</xdr:rowOff>
    </xdr:from>
    <xdr:to>
      <xdr:col>31</xdr:col>
      <xdr:colOff>102054</xdr:colOff>
      <xdr:row>39</xdr:row>
      <xdr:rowOff>76200</xdr:rowOff>
    </xdr:to>
    <xdr:cxnSp macro="">
      <xdr:nvCxnSpPr>
        <xdr:cNvPr id="35051" name="직선 화살표 연결선 35050">
          <a:extLst>
            <a:ext uri="{FF2B5EF4-FFF2-40B4-BE49-F238E27FC236}">
              <a16:creationId xmlns:a16="http://schemas.microsoft.com/office/drawing/2014/main" id="{6B5F245E-F9B1-4447-A7E4-FC5FC8660DC2}"/>
            </a:ext>
          </a:extLst>
        </xdr:cNvPr>
        <xdr:cNvCxnSpPr/>
      </xdr:nvCxnSpPr>
      <xdr:spPr>
        <a:xfrm>
          <a:off x="13216618" y="61626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38</xdr:row>
      <xdr:rowOff>19050</xdr:rowOff>
    </xdr:from>
    <xdr:to>
      <xdr:col>31</xdr:col>
      <xdr:colOff>103324</xdr:colOff>
      <xdr:row>38</xdr:row>
      <xdr:rowOff>133350</xdr:rowOff>
    </xdr:to>
    <xdr:sp macro="" textlink="">
      <xdr:nvSpPr>
        <xdr:cNvPr id="35052" name="0">
          <a:extLst>
            <a:ext uri="{FF2B5EF4-FFF2-40B4-BE49-F238E27FC236}">
              <a16:creationId xmlns:a16="http://schemas.microsoft.com/office/drawing/2014/main" id="{CD932B4A-A91A-4408-B48B-D2F58B097E59}"/>
            </a:ext>
          </a:extLst>
        </xdr:cNvPr>
        <xdr:cNvSpPr/>
      </xdr:nvSpPr>
      <xdr:spPr>
        <a:xfrm>
          <a:off x="13216618" y="59531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38</xdr:row>
      <xdr:rowOff>76200</xdr:rowOff>
    </xdr:from>
    <xdr:to>
      <xdr:col>31</xdr:col>
      <xdr:colOff>102054</xdr:colOff>
      <xdr:row>38</xdr:row>
      <xdr:rowOff>76200</xdr:rowOff>
    </xdr:to>
    <xdr:cxnSp macro="">
      <xdr:nvCxnSpPr>
        <xdr:cNvPr id="35053" name="직선 화살표 연결선 35052">
          <a:extLst>
            <a:ext uri="{FF2B5EF4-FFF2-40B4-BE49-F238E27FC236}">
              <a16:creationId xmlns:a16="http://schemas.microsoft.com/office/drawing/2014/main" id="{B800FD1D-E797-4E0F-9826-5783B7DE1CB3}"/>
            </a:ext>
          </a:extLst>
        </xdr:cNvPr>
        <xdr:cNvCxnSpPr/>
      </xdr:nvCxnSpPr>
      <xdr:spPr>
        <a:xfrm>
          <a:off x="13216618" y="60102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37</xdr:row>
      <xdr:rowOff>19050</xdr:rowOff>
    </xdr:from>
    <xdr:to>
      <xdr:col>31</xdr:col>
      <xdr:colOff>103324</xdr:colOff>
      <xdr:row>37</xdr:row>
      <xdr:rowOff>133350</xdr:rowOff>
    </xdr:to>
    <xdr:sp macro="" textlink="">
      <xdr:nvSpPr>
        <xdr:cNvPr id="35054" name="34">
          <a:extLst>
            <a:ext uri="{FF2B5EF4-FFF2-40B4-BE49-F238E27FC236}">
              <a16:creationId xmlns:a16="http://schemas.microsoft.com/office/drawing/2014/main" id="{4B475E74-9AC7-4A36-96CD-57C3FC3C2158}"/>
            </a:ext>
          </a:extLst>
        </xdr:cNvPr>
        <xdr:cNvSpPr/>
      </xdr:nvSpPr>
      <xdr:spPr>
        <a:xfrm>
          <a:off x="13216618" y="58007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37</xdr:row>
      <xdr:rowOff>76200</xdr:rowOff>
    </xdr:from>
    <xdr:to>
      <xdr:col>31</xdr:col>
      <xdr:colOff>102054</xdr:colOff>
      <xdr:row>37</xdr:row>
      <xdr:rowOff>76200</xdr:rowOff>
    </xdr:to>
    <xdr:cxnSp macro="">
      <xdr:nvCxnSpPr>
        <xdr:cNvPr id="35055" name="직선 화살표 연결선 35054">
          <a:extLst>
            <a:ext uri="{FF2B5EF4-FFF2-40B4-BE49-F238E27FC236}">
              <a16:creationId xmlns:a16="http://schemas.microsoft.com/office/drawing/2014/main" id="{39A39147-C26C-43BC-96B2-BB9C351750EE}"/>
            </a:ext>
          </a:extLst>
        </xdr:cNvPr>
        <xdr:cNvCxnSpPr/>
      </xdr:nvCxnSpPr>
      <xdr:spPr>
        <a:xfrm>
          <a:off x="13216618" y="58578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36</xdr:row>
      <xdr:rowOff>19050</xdr:rowOff>
    </xdr:from>
    <xdr:to>
      <xdr:col>31</xdr:col>
      <xdr:colOff>103324</xdr:colOff>
      <xdr:row>36</xdr:row>
      <xdr:rowOff>133350</xdr:rowOff>
    </xdr:to>
    <xdr:sp macro="" textlink="">
      <xdr:nvSpPr>
        <xdr:cNvPr id="35056" name="33">
          <a:extLst>
            <a:ext uri="{FF2B5EF4-FFF2-40B4-BE49-F238E27FC236}">
              <a16:creationId xmlns:a16="http://schemas.microsoft.com/office/drawing/2014/main" id="{B1D45BF7-1673-4E3E-8967-89D0DD5EEBFE}"/>
            </a:ext>
          </a:extLst>
        </xdr:cNvPr>
        <xdr:cNvSpPr/>
      </xdr:nvSpPr>
      <xdr:spPr>
        <a:xfrm>
          <a:off x="13216618" y="5648325"/>
          <a:ext cx="21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36</xdr:row>
      <xdr:rowOff>76200</xdr:rowOff>
    </xdr:from>
    <xdr:to>
      <xdr:col>31</xdr:col>
      <xdr:colOff>102054</xdr:colOff>
      <xdr:row>36</xdr:row>
      <xdr:rowOff>76200</xdr:rowOff>
    </xdr:to>
    <xdr:cxnSp macro="">
      <xdr:nvCxnSpPr>
        <xdr:cNvPr id="35057" name="직선 화살표 연결선 35056">
          <a:extLst>
            <a:ext uri="{FF2B5EF4-FFF2-40B4-BE49-F238E27FC236}">
              <a16:creationId xmlns:a16="http://schemas.microsoft.com/office/drawing/2014/main" id="{14B7CD8E-E5E0-459C-AD02-E6BF6559BCB5}"/>
            </a:ext>
          </a:extLst>
        </xdr:cNvPr>
        <xdr:cNvCxnSpPr/>
      </xdr:nvCxnSpPr>
      <xdr:spPr>
        <a:xfrm>
          <a:off x="13216618" y="57054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35</xdr:row>
      <xdr:rowOff>19050</xdr:rowOff>
    </xdr:from>
    <xdr:to>
      <xdr:col>38</xdr:col>
      <xdr:colOff>103324</xdr:colOff>
      <xdr:row>35</xdr:row>
      <xdr:rowOff>133350</xdr:rowOff>
    </xdr:to>
    <xdr:sp macro="" textlink="">
      <xdr:nvSpPr>
        <xdr:cNvPr id="35058" name="32">
          <a:extLst>
            <a:ext uri="{FF2B5EF4-FFF2-40B4-BE49-F238E27FC236}">
              <a16:creationId xmlns:a16="http://schemas.microsoft.com/office/drawing/2014/main" id="{AF4579E8-68D2-4AFD-B103-7305F3857234}"/>
            </a:ext>
          </a:extLst>
        </xdr:cNvPr>
        <xdr:cNvSpPr/>
      </xdr:nvSpPr>
      <xdr:spPr>
        <a:xfrm>
          <a:off x="13216618" y="54959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35</xdr:row>
      <xdr:rowOff>76200</xdr:rowOff>
    </xdr:from>
    <xdr:to>
      <xdr:col>37</xdr:col>
      <xdr:colOff>134601</xdr:colOff>
      <xdr:row>35</xdr:row>
      <xdr:rowOff>76200</xdr:rowOff>
    </xdr:to>
    <xdr:cxnSp macro="">
      <xdr:nvCxnSpPr>
        <xdr:cNvPr id="35059" name="직선 화살표 연결선 35058">
          <a:extLst>
            <a:ext uri="{FF2B5EF4-FFF2-40B4-BE49-F238E27FC236}">
              <a16:creationId xmlns:a16="http://schemas.microsoft.com/office/drawing/2014/main" id="{AF2E31BB-1B81-4060-BC98-4C25C261EC59}"/>
            </a:ext>
          </a:extLst>
        </xdr:cNvPr>
        <xdr:cNvCxnSpPr/>
      </xdr:nvCxnSpPr>
      <xdr:spPr>
        <a:xfrm>
          <a:off x="13216618" y="5553075"/>
          <a:ext cx="9102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34</xdr:row>
      <xdr:rowOff>19050</xdr:rowOff>
    </xdr:from>
    <xdr:to>
      <xdr:col>38</xdr:col>
      <xdr:colOff>103324</xdr:colOff>
      <xdr:row>34</xdr:row>
      <xdr:rowOff>133350</xdr:rowOff>
    </xdr:to>
    <xdr:sp macro="" textlink="">
      <xdr:nvSpPr>
        <xdr:cNvPr id="35060" name="31">
          <a:extLst>
            <a:ext uri="{FF2B5EF4-FFF2-40B4-BE49-F238E27FC236}">
              <a16:creationId xmlns:a16="http://schemas.microsoft.com/office/drawing/2014/main" id="{C2B94CA5-F8AF-4FC5-87DB-3B2F054039AA}"/>
            </a:ext>
          </a:extLst>
        </xdr:cNvPr>
        <xdr:cNvSpPr/>
      </xdr:nvSpPr>
      <xdr:spPr>
        <a:xfrm>
          <a:off x="13216618" y="53435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34</xdr:row>
      <xdr:rowOff>76200</xdr:rowOff>
    </xdr:from>
    <xdr:to>
      <xdr:col>37</xdr:col>
      <xdr:colOff>137643</xdr:colOff>
      <xdr:row>34</xdr:row>
      <xdr:rowOff>76200</xdr:rowOff>
    </xdr:to>
    <xdr:cxnSp macro="">
      <xdr:nvCxnSpPr>
        <xdr:cNvPr id="35061" name="직선 화살표 연결선 35060">
          <a:extLst>
            <a:ext uri="{FF2B5EF4-FFF2-40B4-BE49-F238E27FC236}">
              <a16:creationId xmlns:a16="http://schemas.microsoft.com/office/drawing/2014/main" id="{D9E0B405-07F9-4232-8FD0-20D32FDBE95D}"/>
            </a:ext>
          </a:extLst>
        </xdr:cNvPr>
        <xdr:cNvCxnSpPr/>
      </xdr:nvCxnSpPr>
      <xdr:spPr>
        <a:xfrm>
          <a:off x="13216618" y="5400675"/>
          <a:ext cx="913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33</xdr:row>
      <xdr:rowOff>19050</xdr:rowOff>
    </xdr:from>
    <xdr:to>
      <xdr:col>38</xdr:col>
      <xdr:colOff>103324</xdr:colOff>
      <xdr:row>33</xdr:row>
      <xdr:rowOff>133350</xdr:rowOff>
    </xdr:to>
    <xdr:sp macro="" textlink="">
      <xdr:nvSpPr>
        <xdr:cNvPr id="35062" name="30">
          <a:extLst>
            <a:ext uri="{FF2B5EF4-FFF2-40B4-BE49-F238E27FC236}">
              <a16:creationId xmlns:a16="http://schemas.microsoft.com/office/drawing/2014/main" id="{D41781B6-6700-4FAB-B7F4-3D0B5EC5C442}"/>
            </a:ext>
          </a:extLst>
        </xdr:cNvPr>
        <xdr:cNvSpPr/>
      </xdr:nvSpPr>
      <xdr:spPr>
        <a:xfrm>
          <a:off x="13216618" y="51911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33</xdr:row>
      <xdr:rowOff>76200</xdr:rowOff>
    </xdr:from>
    <xdr:to>
      <xdr:col>37</xdr:col>
      <xdr:colOff>137643</xdr:colOff>
      <xdr:row>33</xdr:row>
      <xdr:rowOff>76200</xdr:rowOff>
    </xdr:to>
    <xdr:cxnSp macro="">
      <xdr:nvCxnSpPr>
        <xdr:cNvPr id="35063" name="직선 화살표 연결선 35062">
          <a:extLst>
            <a:ext uri="{FF2B5EF4-FFF2-40B4-BE49-F238E27FC236}">
              <a16:creationId xmlns:a16="http://schemas.microsoft.com/office/drawing/2014/main" id="{41BA9F94-0378-4362-A4F1-F15A3269CA63}"/>
            </a:ext>
          </a:extLst>
        </xdr:cNvPr>
        <xdr:cNvCxnSpPr/>
      </xdr:nvCxnSpPr>
      <xdr:spPr>
        <a:xfrm>
          <a:off x="13216618" y="5248275"/>
          <a:ext cx="913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40821</xdr:colOff>
      <xdr:row>32</xdr:row>
      <xdr:rowOff>19050</xdr:rowOff>
    </xdr:from>
    <xdr:to>
      <xdr:col>39</xdr:col>
      <xdr:colOff>21681</xdr:colOff>
      <xdr:row>32</xdr:row>
      <xdr:rowOff>133350</xdr:rowOff>
    </xdr:to>
    <xdr:sp macro="" textlink="">
      <xdr:nvSpPr>
        <xdr:cNvPr id="35064" name="29">
          <a:extLst>
            <a:ext uri="{FF2B5EF4-FFF2-40B4-BE49-F238E27FC236}">
              <a16:creationId xmlns:a16="http://schemas.microsoft.com/office/drawing/2014/main" id="{FDC4AA48-4990-4AD9-9D6E-CF84718FA0E4}"/>
            </a:ext>
          </a:extLst>
        </xdr:cNvPr>
        <xdr:cNvSpPr/>
      </xdr:nvSpPr>
      <xdr:spPr>
        <a:xfrm>
          <a:off x="14175921" y="5038725"/>
          <a:ext cx="1237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40821</xdr:colOff>
      <xdr:row>32</xdr:row>
      <xdr:rowOff>76200</xdr:rowOff>
    </xdr:from>
    <xdr:to>
      <xdr:col>38</xdr:col>
      <xdr:colOff>40821</xdr:colOff>
      <xdr:row>32</xdr:row>
      <xdr:rowOff>76200</xdr:rowOff>
    </xdr:to>
    <xdr:cxnSp macro="">
      <xdr:nvCxnSpPr>
        <xdr:cNvPr id="35065" name="직선 화살표 연결선 35064">
          <a:extLst>
            <a:ext uri="{FF2B5EF4-FFF2-40B4-BE49-F238E27FC236}">
              <a16:creationId xmlns:a16="http://schemas.microsoft.com/office/drawing/2014/main" id="{BA4B6893-2F03-49ED-B7E1-2400D6A3EE66}"/>
            </a:ext>
          </a:extLst>
        </xdr:cNvPr>
        <xdr:cNvCxnSpPr/>
      </xdr:nvCxnSpPr>
      <xdr:spPr>
        <a:xfrm>
          <a:off x="14175921" y="509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31</xdr:row>
      <xdr:rowOff>19050</xdr:rowOff>
    </xdr:from>
    <xdr:to>
      <xdr:col>39</xdr:col>
      <xdr:colOff>82913</xdr:colOff>
      <xdr:row>31</xdr:row>
      <xdr:rowOff>133350</xdr:rowOff>
    </xdr:to>
    <xdr:sp macro="" textlink="">
      <xdr:nvSpPr>
        <xdr:cNvPr id="35066" name="28">
          <a:extLst>
            <a:ext uri="{FF2B5EF4-FFF2-40B4-BE49-F238E27FC236}">
              <a16:creationId xmlns:a16="http://schemas.microsoft.com/office/drawing/2014/main" id="{36AC0F46-9D77-4D19-8071-21E6E3C73C88}"/>
            </a:ext>
          </a:extLst>
        </xdr:cNvPr>
        <xdr:cNvSpPr/>
      </xdr:nvSpPr>
      <xdr:spPr>
        <a:xfrm>
          <a:off x="14298386" y="48863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31</xdr:row>
      <xdr:rowOff>76200</xdr:rowOff>
    </xdr:from>
    <xdr:to>
      <xdr:col>39</xdr:col>
      <xdr:colOff>20411</xdr:colOff>
      <xdr:row>31</xdr:row>
      <xdr:rowOff>76200</xdr:rowOff>
    </xdr:to>
    <xdr:cxnSp macro="">
      <xdr:nvCxnSpPr>
        <xdr:cNvPr id="35067" name="직선 화살표 연결선 35066">
          <a:extLst>
            <a:ext uri="{FF2B5EF4-FFF2-40B4-BE49-F238E27FC236}">
              <a16:creationId xmlns:a16="http://schemas.microsoft.com/office/drawing/2014/main" id="{31C2AC39-FD45-49C5-B3FA-59A1D7507C41}"/>
            </a:ext>
          </a:extLst>
        </xdr:cNvPr>
        <xdr:cNvCxnSpPr/>
      </xdr:nvCxnSpPr>
      <xdr:spPr>
        <a:xfrm>
          <a:off x="14298386" y="494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30</xdr:row>
      <xdr:rowOff>19050</xdr:rowOff>
    </xdr:from>
    <xdr:to>
      <xdr:col>39</xdr:col>
      <xdr:colOff>82913</xdr:colOff>
      <xdr:row>30</xdr:row>
      <xdr:rowOff>133350</xdr:rowOff>
    </xdr:to>
    <xdr:sp macro="" textlink="">
      <xdr:nvSpPr>
        <xdr:cNvPr id="35068" name="27">
          <a:extLst>
            <a:ext uri="{FF2B5EF4-FFF2-40B4-BE49-F238E27FC236}">
              <a16:creationId xmlns:a16="http://schemas.microsoft.com/office/drawing/2014/main" id="{C271C2FF-7FD7-4029-A992-4FE8E9E338EC}"/>
            </a:ext>
          </a:extLst>
        </xdr:cNvPr>
        <xdr:cNvSpPr/>
      </xdr:nvSpPr>
      <xdr:spPr>
        <a:xfrm>
          <a:off x="14298386" y="47339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30</xdr:row>
      <xdr:rowOff>76200</xdr:rowOff>
    </xdr:from>
    <xdr:to>
      <xdr:col>39</xdr:col>
      <xdr:colOff>81643</xdr:colOff>
      <xdr:row>30</xdr:row>
      <xdr:rowOff>76200</xdr:rowOff>
    </xdr:to>
    <xdr:cxnSp macro="">
      <xdr:nvCxnSpPr>
        <xdr:cNvPr id="35069" name="직선 화살표 연결선 35068">
          <a:extLst>
            <a:ext uri="{FF2B5EF4-FFF2-40B4-BE49-F238E27FC236}">
              <a16:creationId xmlns:a16="http://schemas.microsoft.com/office/drawing/2014/main" id="{E96AFCDF-4F08-4790-A8E8-190826F62D37}"/>
            </a:ext>
          </a:extLst>
        </xdr:cNvPr>
        <xdr:cNvCxnSpPr/>
      </xdr:nvCxnSpPr>
      <xdr:spPr>
        <a:xfrm>
          <a:off x="14298386" y="47910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40821</xdr:colOff>
      <xdr:row>29</xdr:row>
      <xdr:rowOff>19050</xdr:rowOff>
    </xdr:from>
    <xdr:to>
      <xdr:col>39</xdr:col>
      <xdr:colOff>82913</xdr:colOff>
      <xdr:row>29</xdr:row>
      <xdr:rowOff>133350</xdr:rowOff>
    </xdr:to>
    <xdr:sp macro="" textlink="">
      <xdr:nvSpPr>
        <xdr:cNvPr id="35070" name="26">
          <a:extLst>
            <a:ext uri="{FF2B5EF4-FFF2-40B4-BE49-F238E27FC236}">
              <a16:creationId xmlns:a16="http://schemas.microsoft.com/office/drawing/2014/main" id="{3131C1E5-69EC-40D3-A4CC-3F26B702DDD0}"/>
            </a:ext>
          </a:extLst>
        </xdr:cNvPr>
        <xdr:cNvSpPr/>
      </xdr:nvSpPr>
      <xdr:spPr>
        <a:xfrm>
          <a:off x="14175921" y="4581525"/>
          <a:ext cx="18496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40821</xdr:colOff>
      <xdr:row>29</xdr:row>
      <xdr:rowOff>76200</xdr:rowOff>
    </xdr:from>
    <xdr:to>
      <xdr:col>38</xdr:col>
      <xdr:colOff>95931</xdr:colOff>
      <xdr:row>29</xdr:row>
      <xdr:rowOff>76200</xdr:rowOff>
    </xdr:to>
    <xdr:cxnSp macro="">
      <xdr:nvCxnSpPr>
        <xdr:cNvPr id="35071" name="직선 화살표 연결선 35070">
          <a:extLst>
            <a:ext uri="{FF2B5EF4-FFF2-40B4-BE49-F238E27FC236}">
              <a16:creationId xmlns:a16="http://schemas.microsoft.com/office/drawing/2014/main" id="{BA712839-084A-470B-B362-A4166AC1290F}"/>
            </a:ext>
          </a:extLst>
        </xdr:cNvPr>
        <xdr:cNvCxnSpPr/>
      </xdr:nvCxnSpPr>
      <xdr:spPr>
        <a:xfrm>
          <a:off x="14175921" y="4638675"/>
          <a:ext cx="551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27</xdr:row>
      <xdr:rowOff>19050</xdr:rowOff>
    </xdr:from>
    <xdr:to>
      <xdr:col>38</xdr:col>
      <xdr:colOff>62502</xdr:colOff>
      <xdr:row>27</xdr:row>
      <xdr:rowOff>133350</xdr:rowOff>
    </xdr:to>
    <xdr:sp macro="" textlink="">
      <xdr:nvSpPr>
        <xdr:cNvPr id="35072" name="24">
          <a:extLst>
            <a:ext uri="{FF2B5EF4-FFF2-40B4-BE49-F238E27FC236}">
              <a16:creationId xmlns:a16="http://schemas.microsoft.com/office/drawing/2014/main" id="{087312E9-83E8-4A22-92A4-6FB1359F632E}"/>
            </a:ext>
          </a:extLst>
        </xdr:cNvPr>
        <xdr:cNvSpPr/>
      </xdr:nvSpPr>
      <xdr:spPr>
        <a:xfrm>
          <a:off x="13828939" y="4276725"/>
          <a:ext cx="3686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27</xdr:row>
      <xdr:rowOff>76200</xdr:rowOff>
    </xdr:from>
    <xdr:to>
      <xdr:col>37</xdr:col>
      <xdr:colOff>130628</xdr:colOff>
      <xdr:row>27</xdr:row>
      <xdr:rowOff>76200</xdr:rowOff>
    </xdr:to>
    <xdr:cxnSp macro="">
      <xdr:nvCxnSpPr>
        <xdr:cNvPr id="35073" name="직선 화살표 연결선 35072">
          <a:extLst>
            <a:ext uri="{FF2B5EF4-FFF2-40B4-BE49-F238E27FC236}">
              <a16:creationId xmlns:a16="http://schemas.microsoft.com/office/drawing/2014/main" id="{C4D632CE-0B9D-4514-A494-11BC8B7D5363}"/>
            </a:ext>
          </a:extLst>
        </xdr:cNvPr>
        <xdr:cNvCxnSpPr/>
      </xdr:nvCxnSpPr>
      <xdr:spPr>
        <a:xfrm>
          <a:off x="13828939" y="4333875"/>
          <a:ext cx="2939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26</xdr:row>
      <xdr:rowOff>19050</xdr:rowOff>
    </xdr:from>
    <xdr:to>
      <xdr:col>38</xdr:col>
      <xdr:colOff>62502</xdr:colOff>
      <xdr:row>26</xdr:row>
      <xdr:rowOff>133350</xdr:rowOff>
    </xdr:to>
    <xdr:sp macro="" textlink="">
      <xdr:nvSpPr>
        <xdr:cNvPr id="35074" name="23">
          <a:extLst>
            <a:ext uri="{FF2B5EF4-FFF2-40B4-BE49-F238E27FC236}">
              <a16:creationId xmlns:a16="http://schemas.microsoft.com/office/drawing/2014/main" id="{E4304D80-E12C-4BDE-997D-2C6DD6E3EA8E}"/>
            </a:ext>
          </a:extLst>
        </xdr:cNvPr>
        <xdr:cNvSpPr/>
      </xdr:nvSpPr>
      <xdr:spPr>
        <a:xfrm>
          <a:off x="13828939" y="4124325"/>
          <a:ext cx="3686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26</xdr:row>
      <xdr:rowOff>76200</xdr:rowOff>
    </xdr:from>
    <xdr:to>
      <xdr:col>37</xdr:col>
      <xdr:colOff>130628</xdr:colOff>
      <xdr:row>26</xdr:row>
      <xdr:rowOff>76200</xdr:rowOff>
    </xdr:to>
    <xdr:cxnSp macro="">
      <xdr:nvCxnSpPr>
        <xdr:cNvPr id="35075" name="직선 화살표 연결선 35074">
          <a:extLst>
            <a:ext uri="{FF2B5EF4-FFF2-40B4-BE49-F238E27FC236}">
              <a16:creationId xmlns:a16="http://schemas.microsoft.com/office/drawing/2014/main" id="{A304D60D-5714-4A24-97C5-BCA34FA1AB18}"/>
            </a:ext>
          </a:extLst>
        </xdr:cNvPr>
        <xdr:cNvCxnSpPr/>
      </xdr:nvCxnSpPr>
      <xdr:spPr>
        <a:xfrm>
          <a:off x="13828939" y="4181475"/>
          <a:ext cx="2939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81643</xdr:colOff>
      <xdr:row>25</xdr:row>
      <xdr:rowOff>19050</xdr:rowOff>
    </xdr:from>
    <xdr:to>
      <xdr:col>38</xdr:col>
      <xdr:colOff>1270</xdr:colOff>
      <xdr:row>25</xdr:row>
      <xdr:rowOff>133350</xdr:rowOff>
    </xdr:to>
    <xdr:sp macro="" textlink="">
      <xdr:nvSpPr>
        <xdr:cNvPr id="35076" name="22">
          <a:extLst>
            <a:ext uri="{FF2B5EF4-FFF2-40B4-BE49-F238E27FC236}">
              <a16:creationId xmlns:a16="http://schemas.microsoft.com/office/drawing/2014/main" id="{324D8901-9EB4-4856-B998-7DE7EC887DC2}"/>
            </a:ext>
          </a:extLst>
        </xdr:cNvPr>
        <xdr:cNvSpPr/>
      </xdr:nvSpPr>
      <xdr:spPr>
        <a:xfrm>
          <a:off x="14073868" y="39719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81643</xdr:colOff>
      <xdr:row>25</xdr:row>
      <xdr:rowOff>76200</xdr:rowOff>
    </xdr:from>
    <xdr:to>
      <xdr:col>38</xdr:col>
      <xdr:colOff>0</xdr:colOff>
      <xdr:row>25</xdr:row>
      <xdr:rowOff>76200</xdr:rowOff>
    </xdr:to>
    <xdr:cxnSp macro="">
      <xdr:nvCxnSpPr>
        <xdr:cNvPr id="35077" name="직선 화살표 연결선 35076">
          <a:extLst>
            <a:ext uri="{FF2B5EF4-FFF2-40B4-BE49-F238E27FC236}">
              <a16:creationId xmlns:a16="http://schemas.microsoft.com/office/drawing/2014/main" id="{23324CEA-13FA-48AE-84E5-1AEB4A1C41EA}"/>
            </a:ext>
          </a:extLst>
        </xdr:cNvPr>
        <xdr:cNvCxnSpPr/>
      </xdr:nvCxnSpPr>
      <xdr:spPr>
        <a:xfrm>
          <a:off x="14073868" y="40290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24</xdr:row>
      <xdr:rowOff>19050</xdr:rowOff>
    </xdr:from>
    <xdr:to>
      <xdr:col>37</xdr:col>
      <xdr:colOff>82913</xdr:colOff>
      <xdr:row>24</xdr:row>
      <xdr:rowOff>133350</xdr:rowOff>
    </xdr:to>
    <xdr:sp macro="" textlink="">
      <xdr:nvSpPr>
        <xdr:cNvPr id="35078" name="21">
          <a:extLst>
            <a:ext uri="{FF2B5EF4-FFF2-40B4-BE49-F238E27FC236}">
              <a16:creationId xmlns:a16="http://schemas.microsoft.com/office/drawing/2014/main" id="{3F8A1752-3246-49F8-B317-FB49C2018E21}"/>
            </a:ext>
          </a:extLst>
        </xdr:cNvPr>
        <xdr:cNvSpPr/>
      </xdr:nvSpPr>
      <xdr:spPr>
        <a:xfrm>
          <a:off x="14012636" y="3819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24</xdr:row>
      <xdr:rowOff>76200</xdr:rowOff>
    </xdr:from>
    <xdr:to>
      <xdr:col>37</xdr:col>
      <xdr:colOff>81643</xdr:colOff>
      <xdr:row>24</xdr:row>
      <xdr:rowOff>76200</xdr:rowOff>
    </xdr:to>
    <xdr:cxnSp macro="">
      <xdr:nvCxnSpPr>
        <xdr:cNvPr id="35079" name="직선 화살표 연결선 35078">
          <a:extLst>
            <a:ext uri="{FF2B5EF4-FFF2-40B4-BE49-F238E27FC236}">
              <a16:creationId xmlns:a16="http://schemas.microsoft.com/office/drawing/2014/main" id="{5D4A47D3-E6FF-49BD-BC9F-94B54DB59AA8}"/>
            </a:ext>
          </a:extLst>
        </xdr:cNvPr>
        <xdr:cNvCxnSpPr/>
      </xdr:nvCxnSpPr>
      <xdr:spPr>
        <a:xfrm>
          <a:off x="14012636" y="3876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23</xdr:row>
      <xdr:rowOff>19050</xdr:rowOff>
    </xdr:from>
    <xdr:to>
      <xdr:col>37</xdr:col>
      <xdr:colOff>42090</xdr:colOff>
      <xdr:row>23</xdr:row>
      <xdr:rowOff>133350</xdr:rowOff>
    </xdr:to>
    <xdr:sp macro="" textlink="">
      <xdr:nvSpPr>
        <xdr:cNvPr id="35080" name="20">
          <a:extLst>
            <a:ext uri="{FF2B5EF4-FFF2-40B4-BE49-F238E27FC236}">
              <a16:creationId xmlns:a16="http://schemas.microsoft.com/office/drawing/2014/main" id="{2D55246D-5662-47EB-A0E5-0E2C0DFCC913}"/>
            </a:ext>
          </a:extLst>
        </xdr:cNvPr>
        <xdr:cNvSpPr/>
      </xdr:nvSpPr>
      <xdr:spPr>
        <a:xfrm>
          <a:off x="13747296" y="36671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23</xdr:row>
      <xdr:rowOff>76200</xdr:rowOff>
    </xdr:from>
    <xdr:to>
      <xdr:col>37</xdr:col>
      <xdr:colOff>40821</xdr:colOff>
      <xdr:row>23</xdr:row>
      <xdr:rowOff>76200</xdr:rowOff>
    </xdr:to>
    <xdr:cxnSp macro="">
      <xdr:nvCxnSpPr>
        <xdr:cNvPr id="35081" name="직선 화살표 연결선 35080">
          <a:extLst>
            <a:ext uri="{FF2B5EF4-FFF2-40B4-BE49-F238E27FC236}">
              <a16:creationId xmlns:a16="http://schemas.microsoft.com/office/drawing/2014/main" id="{9714C344-597D-4B91-B70F-A2701A278B7A}"/>
            </a:ext>
          </a:extLst>
        </xdr:cNvPr>
        <xdr:cNvCxnSpPr/>
      </xdr:nvCxnSpPr>
      <xdr:spPr>
        <a:xfrm>
          <a:off x="13747296" y="3724275"/>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22</xdr:row>
      <xdr:rowOff>19050</xdr:rowOff>
    </xdr:from>
    <xdr:to>
      <xdr:col>38</xdr:col>
      <xdr:colOff>1270</xdr:colOff>
      <xdr:row>22</xdr:row>
      <xdr:rowOff>133350</xdr:rowOff>
    </xdr:to>
    <xdr:sp macro="" textlink="">
      <xdr:nvSpPr>
        <xdr:cNvPr id="35082" name="19">
          <a:extLst>
            <a:ext uri="{FF2B5EF4-FFF2-40B4-BE49-F238E27FC236}">
              <a16:creationId xmlns:a16="http://schemas.microsoft.com/office/drawing/2014/main" id="{71FC5964-7137-4C48-8148-92633440FBBA}"/>
            </a:ext>
          </a:extLst>
        </xdr:cNvPr>
        <xdr:cNvSpPr/>
      </xdr:nvSpPr>
      <xdr:spPr>
        <a:xfrm>
          <a:off x="13747296" y="3514725"/>
          <a:ext cx="3890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22</xdr:row>
      <xdr:rowOff>76200</xdr:rowOff>
    </xdr:from>
    <xdr:to>
      <xdr:col>38</xdr:col>
      <xdr:colOff>0</xdr:colOff>
      <xdr:row>22</xdr:row>
      <xdr:rowOff>76200</xdr:rowOff>
    </xdr:to>
    <xdr:cxnSp macro="">
      <xdr:nvCxnSpPr>
        <xdr:cNvPr id="35083" name="직선 화살표 연결선 35082">
          <a:extLst>
            <a:ext uri="{FF2B5EF4-FFF2-40B4-BE49-F238E27FC236}">
              <a16:creationId xmlns:a16="http://schemas.microsoft.com/office/drawing/2014/main" id="{E1F199E0-D940-4C0A-A016-3E850663B582}"/>
            </a:ext>
          </a:extLst>
        </xdr:cNvPr>
        <xdr:cNvCxnSpPr/>
      </xdr:nvCxnSpPr>
      <xdr:spPr>
        <a:xfrm>
          <a:off x="13747296" y="35718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21</xdr:row>
      <xdr:rowOff>19050</xdr:rowOff>
    </xdr:from>
    <xdr:to>
      <xdr:col>38</xdr:col>
      <xdr:colOff>62502</xdr:colOff>
      <xdr:row>21</xdr:row>
      <xdr:rowOff>133350</xdr:rowOff>
    </xdr:to>
    <xdr:sp macro="" textlink="">
      <xdr:nvSpPr>
        <xdr:cNvPr id="35084" name="18">
          <a:extLst>
            <a:ext uri="{FF2B5EF4-FFF2-40B4-BE49-F238E27FC236}">
              <a16:creationId xmlns:a16="http://schemas.microsoft.com/office/drawing/2014/main" id="{DD29986A-C9B8-40E2-893E-49D68009409C}"/>
            </a:ext>
          </a:extLst>
        </xdr:cNvPr>
        <xdr:cNvSpPr/>
      </xdr:nvSpPr>
      <xdr:spPr>
        <a:xfrm>
          <a:off x="13747296" y="3362325"/>
          <a:ext cx="4503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21</xdr:row>
      <xdr:rowOff>76200</xdr:rowOff>
    </xdr:from>
    <xdr:to>
      <xdr:col>38</xdr:col>
      <xdr:colOff>21318</xdr:colOff>
      <xdr:row>21</xdr:row>
      <xdr:rowOff>76200</xdr:rowOff>
    </xdr:to>
    <xdr:cxnSp macro="">
      <xdr:nvCxnSpPr>
        <xdr:cNvPr id="35085" name="직선 화살표 연결선 35084">
          <a:extLst>
            <a:ext uri="{FF2B5EF4-FFF2-40B4-BE49-F238E27FC236}">
              <a16:creationId xmlns:a16="http://schemas.microsoft.com/office/drawing/2014/main" id="{A3965AB1-45FC-4FC7-9E7B-FA93EB610138}"/>
            </a:ext>
          </a:extLst>
        </xdr:cNvPr>
        <xdr:cNvCxnSpPr/>
      </xdr:nvCxnSpPr>
      <xdr:spPr>
        <a:xfrm>
          <a:off x="13747296" y="3419475"/>
          <a:ext cx="4091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122464</xdr:colOff>
      <xdr:row>20</xdr:row>
      <xdr:rowOff>19050</xdr:rowOff>
    </xdr:from>
    <xdr:to>
      <xdr:col>38</xdr:col>
      <xdr:colOff>21681</xdr:colOff>
      <xdr:row>20</xdr:row>
      <xdr:rowOff>133350</xdr:rowOff>
    </xdr:to>
    <xdr:sp macro="" textlink="">
      <xdr:nvSpPr>
        <xdr:cNvPr id="35086" name="17">
          <a:extLst>
            <a:ext uri="{FF2B5EF4-FFF2-40B4-BE49-F238E27FC236}">
              <a16:creationId xmlns:a16="http://schemas.microsoft.com/office/drawing/2014/main" id="{966042E4-2524-4EEB-99FC-8CCBB7AB6D00}"/>
            </a:ext>
          </a:extLst>
        </xdr:cNvPr>
        <xdr:cNvSpPr/>
      </xdr:nvSpPr>
      <xdr:spPr>
        <a:xfrm>
          <a:off x="14114689" y="3209925"/>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122464</xdr:colOff>
      <xdr:row>20</xdr:row>
      <xdr:rowOff>76200</xdr:rowOff>
    </xdr:from>
    <xdr:to>
      <xdr:col>37</xdr:col>
      <xdr:colOff>122464</xdr:colOff>
      <xdr:row>20</xdr:row>
      <xdr:rowOff>76200</xdr:rowOff>
    </xdr:to>
    <xdr:cxnSp macro="">
      <xdr:nvCxnSpPr>
        <xdr:cNvPr id="35087" name="직선 화살표 연결선 35086">
          <a:extLst>
            <a:ext uri="{FF2B5EF4-FFF2-40B4-BE49-F238E27FC236}">
              <a16:creationId xmlns:a16="http://schemas.microsoft.com/office/drawing/2014/main" id="{58C90620-4276-4806-B1C0-43EB0BB98B53}"/>
            </a:ext>
          </a:extLst>
        </xdr:cNvPr>
        <xdr:cNvCxnSpPr/>
      </xdr:nvCxnSpPr>
      <xdr:spPr>
        <a:xfrm>
          <a:off x="14114689"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19</xdr:row>
      <xdr:rowOff>19050</xdr:rowOff>
    </xdr:from>
    <xdr:to>
      <xdr:col>36</xdr:col>
      <xdr:colOff>42090</xdr:colOff>
      <xdr:row>19</xdr:row>
      <xdr:rowOff>133350</xdr:rowOff>
    </xdr:to>
    <xdr:sp macro="" textlink="">
      <xdr:nvSpPr>
        <xdr:cNvPr id="35088" name="16">
          <a:extLst>
            <a:ext uri="{FF2B5EF4-FFF2-40B4-BE49-F238E27FC236}">
              <a16:creationId xmlns:a16="http://schemas.microsoft.com/office/drawing/2014/main" id="{9FB3E837-01D7-4F8C-9651-2D0B87269B4E}"/>
            </a:ext>
          </a:extLst>
        </xdr:cNvPr>
        <xdr:cNvSpPr/>
      </xdr:nvSpPr>
      <xdr:spPr>
        <a:xfrm>
          <a:off x="13747296" y="3057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19</xdr:row>
      <xdr:rowOff>76200</xdr:rowOff>
    </xdr:from>
    <xdr:to>
      <xdr:col>36</xdr:col>
      <xdr:colOff>40821</xdr:colOff>
      <xdr:row>19</xdr:row>
      <xdr:rowOff>76200</xdr:rowOff>
    </xdr:to>
    <xdr:cxnSp macro="">
      <xdr:nvCxnSpPr>
        <xdr:cNvPr id="35089" name="직선 화살표 연결선 35088">
          <a:extLst>
            <a:ext uri="{FF2B5EF4-FFF2-40B4-BE49-F238E27FC236}">
              <a16:creationId xmlns:a16="http://schemas.microsoft.com/office/drawing/2014/main" id="{6AD0C99E-DBF6-4E88-8294-85BDB28C2070}"/>
            </a:ext>
          </a:extLst>
        </xdr:cNvPr>
        <xdr:cNvCxnSpPr/>
      </xdr:nvCxnSpPr>
      <xdr:spPr>
        <a:xfrm>
          <a:off x="13747296" y="3114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18</xdr:row>
      <xdr:rowOff>19050</xdr:rowOff>
    </xdr:from>
    <xdr:to>
      <xdr:col>37</xdr:col>
      <xdr:colOff>42090</xdr:colOff>
      <xdr:row>18</xdr:row>
      <xdr:rowOff>133350</xdr:rowOff>
    </xdr:to>
    <xdr:sp macro="" textlink="">
      <xdr:nvSpPr>
        <xdr:cNvPr id="35090" name="15">
          <a:extLst>
            <a:ext uri="{FF2B5EF4-FFF2-40B4-BE49-F238E27FC236}">
              <a16:creationId xmlns:a16="http://schemas.microsoft.com/office/drawing/2014/main" id="{50F7C20A-17A3-47DE-BE26-82A6169F708C}"/>
            </a:ext>
          </a:extLst>
        </xdr:cNvPr>
        <xdr:cNvSpPr/>
      </xdr:nvSpPr>
      <xdr:spPr>
        <a:xfrm>
          <a:off x="13747296" y="29051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18</xdr:row>
      <xdr:rowOff>76200</xdr:rowOff>
    </xdr:from>
    <xdr:to>
      <xdr:col>37</xdr:col>
      <xdr:colOff>40821</xdr:colOff>
      <xdr:row>18</xdr:row>
      <xdr:rowOff>76200</xdr:rowOff>
    </xdr:to>
    <xdr:cxnSp macro="">
      <xdr:nvCxnSpPr>
        <xdr:cNvPr id="35091" name="직선 화살표 연결선 35090">
          <a:extLst>
            <a:ext uri="{FF2B5EF4-FFF2-40B4-BE49-F238E27FC236}">
              <a16:creationId xmlns:a16="http://schemas.microsoft.com/office/drawing/2014/main" id="{6DCD4C6E-BABD-4FE8-A5D4-68021234F816}"/>
            </a:ext>
          </a:extLst>
        </xdr:cNvPr>
        <xdr:cNvCxnSpPr/>
      </xdr:nvCxnSpPr>
      <xdr:spPr>
        <a:xfrm>
          <a:off x="13747296" y="2962275"/>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17</xdr:row>
      <xdr:rowOff>19050</xdr:rowOff>
    </xdr:from>
    <xdr:to>
      <xdr:col>38</xdr:col>
      <xdr:colOff>21681</xdr:colOff>
      <xdr:row>17</xdr:row>
      <xdr:rowOff>133350</xdr:rowOff>
    </xdr:to>
    <xdr:sp macro="" textlink="">
      <xdr:nvSpPr>
        <xdr:cNvPr id="35092" name="14">
          <a:extLst>
            <a:ext uri="{FF2B5EF4-FFF2-40B4-BE49-F238E27FC236}">
              <a16:creationId xmlns:a16="http://schemas.microsoft.com/office/drawing/2014/main" id="{1F546408-1DDC-429C-BBFB-5298A180D144}"/>
            </a:ext>
          </a:extLst>
        </xdr:cNvPr>
        <xdr:cNvSpPr/>
      </xdr:nvSpPr>
      <xdr:spPr>
        <a:xfrm>
          <a:off x="13747296" y="27527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17</xdr:row>
      <xdr:rowOff>76200</xdr:rowOff>
    </xdr:from>
    <xdr:to>
      <xdr:col>38</xdr:col>
      <xdr:colOff>20411</xdr:colOff>
      <xdr:row>17</xdr:row>
      <xdr:rowOff>76200</xdr:rowOff>
    </xdr:to>
    <xdr:cxnSp macro="">
      <xdr:nvCxnSpPr>
        <xdr:cNvPr id="35093" name="직선 화살표 연결선 35092">
          <a:extLst>
            <a:ext uri="{FF2B5EF4-FFF2-40B4-BE49-F238E27FC236}">
              <a16:creationId xmlns:a16="http://schemas.microsoft.com/office/drawing/2014/main" id="{5710BA51-694A-4C68-BFF2-0D0C7DAE6CB5}"/>
            </a:ext>
          </a:extLst>
        </xdr:cNvPr>
        <xdr:cNvCxnSpPr/>
      </xdr:nvCxnSpPr>
      <xdr:spPr>
        <a:xfrm>
          <a:off x="13747296" y="2809875"/>
          <a:ext cx="4082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16</xdr:row>
      <xdr:rowOff>19050</xdr:rowOff>
    </xdr:from>
    <xdr:to>
      <xdr:col>38</xdr:col>
      <xdr:colOff>21681</xdr:colOff>
      <xdr:row>16</xdr:row>
      <xdr:rowOff>133350</xdr:rowOff>
    </xdr:to>
    <xdr:sp macro="" textlink="">
      <xdr:nvSpPr>
        <xdr:cNvPr id="35094" name="13">
          <a:extLst>
            <a:ext uri="{FF2B5EF4-FFF2-40B4-BE49-F238E27FC236}">
              <a16:creationId xmlns:a16="http://schemas.microsoft.com/office/drawing/2014/main" id="{DF1D8FA1-B2F2-4AF0-8AFA-34B3CDAF0F16}"/>
            </a:ext>
          </a:extLst>
        </xdr:cNvPr>
        <xdr:cNvSpPr/>
      </xdr:nvSpPr>
      <xdr:spPr>
        <a:xfrm>
          <a:off x="13747296" y="26003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16</xdr:row>
      <xdr:rowOff>76200</xdr:rowOff>
    </xdr:from>
    <xdr:to>
      <xdr:col>38</xdr:col>
      <xdr:colOff>20411</xdr:colOff>
      <xdr:row>16</xdr:row>
      <xdr:rowOff>76200</xdr:rowOff>
    </xdr:to>
    <xdr:cxnSp macro="">
      <xdr:nvCxnSpPr>
        <xdr:cNvPr id="35095" name="직선 화살표 연결선 35094">
          <a:extLst>
            <a:ext uri="{FF2B5EF4-FFF2-40B4-BE49-F238E27FC236}">
              <a16:creationId xmlns:a16="http://schemas.microsoft.com/office/drawing/2014/main" id="{880F9DDE-4A9C-41DB-BB56-DC16A13F32AA}"/>
            </a:ext>
          </a:extLst>
        </xdr:cNvPr>
        <xdr:cNvCxnSpPr/>
      </xdr:nvCxnSpPr>
      <xdr:spPr>
        <a:xfrm>
          <a:off x="13747296" y="2657475"/>
          <a:ext cx="4082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81643</xdr:colOff>
      <xdr:row>15</xdr:row>
      <xdr:rowOff>19050</xdr:rowOff>
    </xdr:from>
    <xdr:to>
      <xdr:col>37</xdr:col>
      <xdr:colOff>82913</xdr:colOff>
      <xdr:row>15</xdr:row>
      <xdr:rowOff>133350</xdr:rowOff>
    </xdr:to>
    <xdr:sp macro="" textlink="">
      <xdr:nvSpPr>
        <xdr:cNvPr id="35096" name="12">
          <a:extLst>
            <a:ext uri="{FF2B5EF4-FFF2-40B4-BE49-F238E27FC236}">
              <a16:creationId xmlns:a16="http://schemas.microsoft.com/office/drawing/2014/main" id="{EC07F2D1-9153-49CD-9580-338F52814FD9}"/>
            </a:ext>
          </a:extLst>
        </xdr:cNvPr>
        <xdr:cNvSpPr/>
      </xdr:nvSpPr>
      <xdr:spPr>
        <a:xfrm>
          <a:off x="13930993" y="24479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81643</xdr:colOff>
      <xdr:row>15</xdr:row>
      <xdr:rowOff>76200</xdr:rowOff>
    </xdr:from>
    <xdr:to>
      <xdr:col>37</xdr:col>
      <xdr:colOff>81643</xdr:colOff>
      <xdr:row>15</xdr:row>
      <xdr:rowOff>76200</xdr:rowOff>
    </xdr:to>
    <xdr:cxnSp macro="">
      <xdr:nvCxnSpPr>
        <xdr:cNvPr id="35097" name="직선 화살표 연결선 35096">
          <a:extLst>
            <a:ext uri="{FF2B5EF4-FFF2-40B4-BE49-F238E27FC236}">
              <a16:creationId xmlns:a16="http://schemas.microsoft.com/office/drawing/2014/main" id="{84CF908B-0BA2-4A07-9561-B2447C970527}"/>
            </a:ext>
          </a:extLst>
        </xdr:cNvPr>
        <xdr:cNvCxnSpPr/>
      </xdr:nvCxnSpPr>
      <xdr:spPr>
        <a:xfrm>
          <a:off x="13930993" y="25050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14</xdr:row>
      <xdr:rowOff>19050</xdr:rowOff>
    </xdr:from>
    <xdr:to>
      <xdr:col>37</xdr:col>
      <xdr:colOff>42090</xdr:colOff>
      <xdr:row>14</xdr:row>
      <xdr:rowOff>133350</xdr:rowOff>
    </xdr:to>
    <xdr:sp macro="" textlink="">
      <xdr:nvSpPr>
        <xdr:cNvPr id="35098" name="11">
          <a:extLst>
            <a:ext uri="{FF2B5EF4-FFF2-40B4-BE49-F238E27FC236}">
              <a16:creationId xmlns:a16="http://schemas.microsoft.com/office/drawing/2014/main" id="{7B82F6D3-EE7B-4AD7-AE6A-B57F5EE09E75}"/>
            </a:ext>
          </a:extLst>
        </xdr:cNvPr>
        <xdr:cNvSpPr/>
      </xdr:nvSpPr>
      <xdr:spPr>
        <a:xfrm>
          <a:off x="13890171" y="2295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14</xdr:row>
      <xdr:rowOff>76200</xdr:rowOff>
    </xdr:from>
    <xdr:to>
      <xdr:col>37</xdr:col>
      <xdr:colOff>40821</xdr:colOff>
      <xdr:row>14</xdr:row>
      <xdr:rowOff>76200</xdr:rowOff>
    </xdr:to>
    <xdr:cxnSp macro="">
      <xdr:nvCxnSpPr>
        <xdr:cNvPr id="35099" name="직선 화살표 연결선 35098">
          <a:extLst>
            <a:ext uri="{FF2B5EF4-FFF2-40B4-BE49-F238E27FC236}">
              <a16:creationId xmlns:a16="http://schemas.microsoft.com/office/drawing/2014/main" id="{A2D8D5BF-4E61-4DE7-8617-623FD95521F2}"/>
            </a:ext>
          </a:extLst>
        </xdr:cNvPr>
        <xdr:cNvCxnSpPr/>
      </xdr:nvCxnSpPr>
      <xdr:spPr>
        <a:xfrm>
          <a:off x="13890171" y="2352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13</xdr:row>
      <xdr:rowOff>19050</xdr:rowOff>
    </xdr:from>
    <xdr:to>
      <xdr:col>36</xdr:col>
      <xdr:colOff>42090</xdr:colOff>
      <xdr:row>13</xdr:row>
      <xdr:rowOff>133350</xdr:rowOff>
    </xdr:to>
    <xdr:sp macro="" textlink="">
      <xdr:nvSpPr>
        <xdr:cNvPr id="35100" name="10">
          <a:extLst>
            <a:ext uri="{FF2B5EF4-FFF2-40B4-BE49-F238E27FC236}">
              <a16:creationId xmlns:a16="http://schemas.microsoft.com/office/drawing/2014/main" id="{1CD7F1A5-B702-493F-8A02-E95B382FA3A2}"/>
            </a:ext>
          </a:extLst>
        </xdr:cNvPr>
        <xdr:cNvSpPr/>
      </xdr:nvSpPr>
      <xdr:spPr>
        <a:xfrm>
          <a:off x="13747296" y="2143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13</xdr:row>
      <xdr:rowOff>76200</xdr:rowOff>
    </xdr:from>
    <xdr:to>
      <xdr:col>36</xdr:col>
      <xdr:colOff>40821</xdr:colOff>
      <xdr:row>13</xdr:row>
      <xdr:rowOff>76200</xdr:rowOff>
    </xdr:to>
    <xdr:cxnSp macro="">
      <xdr:nvCxnSpPr>
        <xdr:cNvPr id="35101" name="직선 화살표 연결선 35100">
          <a:extLst>
            <a:ext uri="{FF2B5EF4-FFF2-40B4-BE49-F238E27FC236}">
              <a16:creationId xmlns:a16="http://schemas.microsoft.com/office/drawing/2014/main" id="{9EFF5DAA-1986-4209-801C-FEC1BA4F5195}"/>
            </a:ext>
          </a:extLst>
        </xdr:cNvPr>
        <xdr:cNvCxnSpPr/>
      </xdr:nvCxnSpPr>
      <xdr:spPr>
        <a:xfrm>
          <a:off x="13747296" y="2200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12</xdr:row>
      <xdr:rowOff>19050</xdr:rowOff>
    </xdr:from>
    <xdr:to>
      <xdr:col>36</xdr:col>
      <xdr:colOff>1270</xdr:colOff>
      <xdr:row>12</xdr:row>
      <xdr:rowOff>133350</xdr:rowOff>
    </xdr:to>
    <xdr:sp macro="" textlink="">
      <xdr:nvSpPr>
        <xdr:cNvPr id="35102" name="9">
          <a:extLst>
            <a:ext uri="{FF2B5EF4-FFF2-40B4-BE49-F238E27FC236}">
              <a16:creationId xmlns:a16="http://schemas.microsoft.com/office/drawing/2014/main" id="{6F4A6BE6-5ED9-477B-8B14-BD4A33C0CD48}"/>
            </a:ext>
          </a:extLst>
        </xdr:cNvPr>
        <xdr:cNvSpPr/>
      </xdr:nvSpPr>
      <xdr:spPr>
        <a:xfrm>
          <a:off x="13747296" y="19907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12</xdr:row>
      <xdr:rowOff>76200</xdr:rowOff>
    </xdr:from>
    <xdr:to>
      <xdr:col>36</xdr:col>
      <xdr:colOff>0</xdr:colOff>
      <xdr:row>12</xdr:row>
      <xdr:rowOff>76200</xdr:rowOff>
    </xdr:to>
    <xdr:cxnSp macro="">
      <xdr:nvCxnSpPr>
        <xdr:cNvPr id="35103" name="직선 화살표 연결선 35102">
          <a:extLst>
            <a:ext uri="{FF2B5EF4-FFF2-40B4-BE49-F238E27FC236}">
              <a16:creationId xmlns:a16="http://schemas.microsoft.com/office/drawing/2014/main" id="{40E12495-5763-4201-8E94-0A741F1D7F4E}"/>
            </a:ext>
          </a:extLst>
        </xdr:cNvPr>
        <xdr:cNvCxnSpPr/>
      </xdr:nvCxnSpPr>
      <xdr:spPr>
        <a:xfrm>
          <a:off x="13747296" y="20478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11</xdr:row>
      <xdr:rowOff>19050</xdr:rowOff>
    </xdr:from>
    <xdr:to>
      <xdr:col>36</xdr:col>
      <xdr:colOff>1270</xdr:colOff>
      <xdr:row>11</xdr:row>
      <xdr:rowOff>133350</xdr:rowOff>
    </xdr:to>
    <xdr:sp macro="" textlink="">
      <xdr:nvSpPr>
        <xdr:cNvPr id="35104" name="8">
          <a:extLst>
            <a:ext uri="{FF2B5EF4-FFF2-40B4-BE49-F238E27FC236}">
              <a16:creationId xmlns:a16="http://schemas.microsoft.com/office/drawing/2014/main" id="{812A85A3-AB23-4DE4-AEA8-A1F2CD1BBCF2}"/>
            </a:ext>
          </a:extLst>
        </xdr:cNvPr>
        <xdr:cNvSpPr/>
      </xdr:nvSpPr>
      <xdr:spPr>
        <a:xfrm>
          <a:off x="13747296" y="1838325"/>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11</xdr:row>
      <xdr:rowOff>76200</xdr:rowOff>
    </xdr:from>
    <xdr:to>
      <xdr:col>36</xdr:col>
      <xdr:colOff>0</xdr:colOff>
      <xdr:row>11</xdr:row>
      <xdr:rowOff>76200</xdr:rowOff>
    </xdr:to>
    <xdr:cxnSp macro="">
      <xdr:nvCxnSpPr>
        <xdr:cNvPr id="35105" name="직선 화살표 연결선 35104">
          <a:extLst>
            <a:ext uri="{FF2B5EF4-FFF2-40B4-BE49-F238E27FC236}">
              <a16:creationId xmlns:a16="http://schemas.microsoft.com/office/drawing/2014/main" id="{5E9A75E6-D125-4807-AA62-79BD4C2FA45D}"/>
            </a:ext>
          </a:extLst>
        </xdr:cNvPr>
        <xdr:cNvCxnSpPr/>
      </xdr:nvCxnSpPr>
      <xdr:spPr>
        <a:xfrm>
          <a:off x="13747296" y="18954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10</xdr:row>
      <xdr:rowOff>19050</xdr:rowOff>
    </xdr:from>
    <xdr:to>
      <xdr:col>36</xdr:col>
      <xdr:colOff>24946</xdr:colOff>
      <xdr:row>10</xdr:row>
      <xdr:rowOff>146050</xdr:rowOff>
    </xdr:to>
    <xdr:sp macro="" textlink="">
      <xdr:nvSpPr>
        <xdr:cNvPr id="35106" name="다이아몬드 35105">
          <a:extLst>
            <a:ext uri="{FF2B5EF4-FFF2-40B4-BE49-F238E27FC236}">
              <a16:creationId xmlns:a16="http://schemas.microsoft.com/office/drawing/2014/main" id="{D3E6613A-E8FE-487B-A165-8481EDF44733}"/>
            </a:ext>
          </a:extLst>
        </xdr:cNvPr>
        <xdr:cNvSpPr/>
      </xdr:nvSpPr>
      <xdr:spPr>
        <a:xfrm>
          <a:off x="13747296" y="1685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19050</xdr:rowOff>
    </xdr:from>
    <xdr:to>
      <xdr:col>36</xdr:col>
      <xdr:colOff>82913</xdr:colOff>
      <xdr:row>9</xdr:row>
      <xdr:rowOff>133350</xdr:rowOff>
    </xdr:to>
    <xdr:sp macro="" textlink="">
      <xdr:nvSpPr>
        <xdr:cNvPr id="35107" name="6">
          <a:extLst>
            <a:ext uri="{FF2B5EF4-FFF2-40B4-BE49-F238E27FC236}">
              <a16:creationId xmlns:a16="http://schemas.microsoft.com/office/drawing/2014/main" id="{92AB8A68-37CA-4F45-8FFB-A05A821296E9}"/>
            </a:ext>
          </a:extLst>
        </xdr:cNvPr>
        <xdr:cNvSpPr/>
      </xdr:nvSpPr>
      <xdr:spPr>
        <a:xfrm>
          <a:off x="13869761" y="1533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76200</xdr:rowOff>
    </xdr:from>
    <xdr:to>
      <xdr:col>36</xdr:col>
      <xdr:colOff>81643</xdr:colOff>
      <xdr:row>9</xdr:row>
      <xdr:rowOff>76200</xdr:rowOff>
    </xdr:to>
    <xdr:cxnSp macro="">
      <xdr:nvCxnSpPr>
        <xdr:cNvPr id="35108" name="직선 화살표 연결선 35107">
          <a:extLst>
            <a:ext uri="{FF2B5EF4-FFF2-40B4-BE49-F238E27FC236}">
              <a16:creationId xmlns:a16="http://schemas.microsoft.com/office/drawing/2014/main" id="{CEA39F3F-51E8-495F-96FF-672C899A3A90}"/>
            </a:ext>
          </a:extLst>
        </xdr:cNvPr>
        <xdr:cNvCxnSpPr/>
      </xdr:nvCxnSpPr>
      <xdr:spPr>
        <a:xfrm>
          <a:off x="13869761" y="1590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8</xdr:row>
      <xdr:rowOff>19050</xdr:rowOff>
    </xdr:from>
    <xdr:to>
      <xdr:col>35</xdr:col>
      <xdr:colOff>1270</xdr:colOff>
      <xdr:row>8</xdr:row>
      <xdr:rowOff>133350</xdr:rowOff>
    </xdr:to>
    <xdr:sp macro="" textlink="">
      <xdr:nvSpPr>
        <xdr:cNvPr id="35109" name="5">
          <a:extLst>
            <a:ext uri="{FF2B5EF4-FFF2-40B4-BE49-F238E27FC236}">
              <a16:creationId xmlns:a16="http://schemas.microsoft.com/office/drawing/2014/main" id="{598D647D-B642-4F8C-9673-5747740634D3}"/>
            </a:ext>
          </a:extLst>
        </xdr:cNvPr>
        <xdr:cNvSpPr/>
      </xdr:nvSpPr>
      <xdr:spPr>
        <a:xfrm>
          <a:off x="13624832" y="1381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8</xdr:row>
      <xdr:rowOff>76200</xdr:rowOff>
    </xdr:from>
    <xdr:to>
      <xdr:col>35</xdr:col>
      <xdr:colOff>0</xdr:colOff>
      <xdr:row>8</xdr:row>
      <xdr:rowOff>76200</xdr:rowOff>
    </xdr:to>
    <xdr:cxnSp macro="">
      <xdr:nvCxnSpPr>
        <xdr:cNvPr id="35110" name="직선 화살표 연결선 35109">
          <a:extLst>
            <a:ext uri="{FF2B5EF4-FFF2-40B4-BE49-F238E27FC236}">
              <a16:creationId xmlns:a16="http://schemas.microsoft.com/office/drawing/2014/main" id="{AC2DE377-94E5-434A-9FD5-1C4CE7FF5B6A}"/>
            </a:ext>
          </a:extLst>
        </xdr:cNvPr>
        <xdr:cNvCxnSpPr/>
      </xdr:nvCxnSpPr>
      <xdr:spPr>
        <a:xfrm>
          <a:off x="13624832" y="14382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7</xdr:row>
      <xdr:rowOff>19050</xdr:rowOff>
    </xdr:from>
    <xdr:to>
      <xdr:col>36</xdr:col>
      <xdr:colOff>82913</xdr:colOff>
      <xdr:row>7</xdr:row>
      <xdr:rowOff>133350</xdr:rowOff>
    </xdr:to>
    <xdr:sp macro="" textlink="">
      <xdr:nvSpPr>
        <xdr:cNvPr id="35111" name="4">
          <a:extLst>
            <a:ext uri="{FF2B5EF4-FFF2-40B4-BE49-F238E27FC236}">
              <a16:creationId xmlns:a16="http://schemas.microsoft.com/office/drawing/2014/main" id="{85E8FC43-BAD7-424B-8F23-B44299BD9305}"/>
            </a:ext>
          </a:extLst>
        </xdr:cNvPr>
        <xdr:cNvSpPr/>
      </xdr:nvSpPr>
      <xdr:spPr>
        <a:xfrm>
          <a:off x="13624832" y="12287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7</xdr:row>
      <xdr:rowOff>76200</xdr:rowOff>
    </xdr:from>
    <xdr:to>
      <xdr:col>36</xdr:col>
      <xdr:colOff>81643</xdr:colOff>
      <xdr:row>7</xdr:row>
      <xdr:rowOff>76200</xdr:rowOff>
    </xdr:to>
    <xdr:cxnSp macro="">
      <xdr:nvCxnSpPr>
        <xdr:cNvPr id="35112" name="직선 화살표 연결선 35111">
          <a:extLst>
            <a:ext uri="{FF2B5EF4-FFF2-40B4-BE49-F238E27FC236}">
              <a16:creationId xmlns:a16="http://schemas.microsoft.com/office/drawing/2014/main" id="{38032862-43F5-4839-8EB2-E826F05F00AB}"/>
            </a:ext>
          </a:extLst>
        </xdr:cNvPr>
        <xdr:cNvCxnSpPr/>
      </xdr:nvCxnSpPr>
      <xdr:spPr>
        <a:xfrm>
          <a:off x="13624832" y="12858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6</xdr:row>
      <xdr:rowOff>19050</xdr:rowOff>
    </xdr:from>
    <xdr:to>
      <xdr:col>38</xdr:col>
      <xdr:colOff>21681</xdr:colOff>
      <xdr:row>6</xdr:row>
      <xdr:rowOff>133350</xdr:rowOff>
    </xdr:to>
    <xdr:sp macro="" textlink="">
      <xdr:nvSpPr>
        <xdr:cNvPr id="35113" name="3">
          <a:extLst>
            <a:ext uri="{FF2B5EF4-FFF2-40B4-BE49-F238E27FC236}">
              <a16:creationId xmlns:a16="http://schemas.microsoft.com/office/drawing/2014/main" id="{9B608451-B989-4425-AFBE-487229102703}"/>
            </a:ext>
          </a:extLst>
        </xdr:cNvPr>
        <xdr:cNvSpPr/>
      </xdr:nvSpPr>
      <xdr:spPr>
        <a:xfrm>
          <a:off x="13624832" y="1076325"/>
          <a:ext cx="531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6</xdr:row>
      <xdr:rowOff>76200</xdr:rowOff>
    </xdr:from>
    <xdr:to>
      <xdr:col>38</xdr:col>
      <xdr:colOff>20411</xdr:colOff>
      <xdr:row>6</xdr:row>
      <xdr:rowOff>76200</xdr:rowOff>
    </xdr:to>
    <xdr:cxnSp macro="">
      <xdr:nvCxnSpPr>
        <xdr:cNvPr id="35114" name="직선 화살표 연결선 35113">
          <a:extLst>
            <a:ext uri="{FF2B5EF4-FFF2-40B4-BE49-F238E27FC236}">
              <a16:creationId xmlns:a16="http://schemas.microsoft.com/office/drawing/2014/main" id="{2BD1C5E2-8CFE-4DFA-A104-5BBCF6CEC603}"/>
            </a:ext>
          </a:extLst>
        </xdr:cNvPr>
        <xdr:cNvCxnSpPr/>
      </xdr:nvCxnSpPr>
      <xdr:spPr>
        <a:xfrm>
          <a:off x="13624832" y="1133475"/>
          <a:ext cx="5306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xdr:row>
      <xdr:rowOff>19050</xdr:rowOff>
    </xdr:from>
    <xdr:to>
      <xdr:col>39</xdr:col>
      <xdr:colOff>82913</xdr:colOff>
      <xdr:row>5</xdr:row>
      <xdr:rowOff>133350</xdr:rowOff>
    </xdr:to>
    <xdr:sp macro="" textlink="">
      <xdr:nvSpPr>
        <xdr:cNvPr id="35115" name="2">
          <a:extLst>
            <a:ext uri="{FF2B5EF4-FFF2-40B4-BE49-F238E27FC236}">
              <a16:creationId xmlns:a16="http://schemas.microsoft.com/office/drawing/2014/main" id="{8B452551-3AA4-4394-8D58-9A6859C42317}"/>
            </a:ext>
          </a:extLst>
        </xdr:cNvPr>
        <xdr:cNvSpPr/>
      </xdr:nvSpPr>
      <xdr:spPr>
        <a:xfrm>
          <a:off x="13624832" y="923925"/>
          <a:ext cx="7360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xdr:row>
      <xdr:rowOff>76200</xdr:rowOff>
    </xdr:from>
    <xdr:to>
      <xdr:col>38</xdr:col>
      <xdr:colOff>134817</xdr:colOff>
      <xdr:row>5</xdr:row>
      <xdr:rowOff>76200</xdr:rowOff>
    </xdr:to>
    <xdr:cxnSp macro="">
      <xdr:nvCxnSpPr>
        <xdr:cNvPr id="35116" name="직선 화살표 연결선 35115">
          <a:extLst>
            <a:ext uri="{FF2B5EF4-FFF2-40B4-BE49-F238E27FC236}">
              <a16:creationId xmlns:a16="http://schemas.microsoft.com/office/drawing/2014/main" id="{123ECF47-33B3-4C55-A32D-B827B2CE6F95}"/>
            </a:ext>
          </a:extLst>
        </xdr:cNvPr>
        <xdr:cNvCxnSpPr/>
      </xdr:nvCxnSpPr>
      <xdr:spPr>
        <a:xfrm>
          <a:off x="13624832" y="981075"/>
          <a:ext cx="6450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4</xdr:row>
      <xdr:rowOff>19050</xdr:rowOff>
    </xdr:from>
    <xdr:to>
      <xdr:col>39</xdr:col>
      <xdr:colOff>82913</xdr:colOff>
      <xdr:row>4</xdr:row>
      <xdr:rowOff>133350</xdr:rowOff>
    </xdr:to>
    <xdr:sp macro="" textlink="">
      <xdr:nvSpPr>
        <xdr:cNvPr id="35117" name="1">
          <a:extLst>
            <a:ext uri="{FF2B5EF4-FFF2-40B4-BE49-F238E27FC236}">
              <a16:creationId xmlns:a16="http://schemas.microsoft.com/office/drawing/2014/main" id="{71EA5073-10D1-42D6-B2EB-DA6A8EF3D2E7}"/>
            </a:ext>
          </a:extLst>
        </xdr:cNvPr>
        <xdr:cNvSpPr/>
      </xdr:nvSpPr>
      <xdr:spPr>
        <a:xfrm>
          <a:off x="13216618" y="771525"/>
          <a:ext cx="1144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4</xdr:row>
      <xdr:rowOff>76200</xdr:rowOff>
    </xdr:from>
    <xdr:to>
      <xdr:col>37</xdr:col>
      <xdr:colOff>15495</xdr:colOff>
      <xdr:row>4</xdr:row>
      <xdr:rowOff>76200</xdr:rowOff>
    </xdr:to>
    <xdr:cxnSp macro="">
      <xdr:nvCxnSpPr>
        <xdr:cNvPr id="35118" name="직선 화살표 연결선 35117">
          <a:extLst>
            <a:ext uri="{FF2B5EF4-FFF2-40B4-BE49-F238E27FC236}">
              <a16:creationId xmlns:a16="http://schemas.microsoft.com/office/drawing/2014/main" id="{F7CA9888-4400-44DF-AFA4-565E162DF9A1}"/>
            </a:ext>
          </a:extLst>
        </xdr:cNvPr>
        <xdr:cNvCxnSpPr/>
      </xdr:nvCxnSpPr>
      <xdr:spPr>
        <a:xfrm>
          <a:off x="13216618" y="828675"/>
          <a:ext cx="79110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5" t="s">
        <v>1394</v>
      </c>
      <c r="C6" s="72"/>
      <c r="D6" s="72"/>
      <c r="E6" s="72" t="s">
        <v>11</v>
      </c>
      <c r="F6" s="72"/>
    </row>
    <row r="7" spans="1:64">
      <c r="A7" s="71" t="s">
        <v>16</v>
      </c>
      <c r="B7" s="71" t="s">
        <v>10</v>
      </c>
      <c r="C7" s="72"/>
      <c r="D7" s="72"/>
      <c r="E7" s="72" t="s">
        <v>11</v>
      </c>
      <c r="F7" s="72"/>
    </row>
    <row r="8" spans="1:64">
      <c r="A8" s="71" t="s">
        <v>17</v>
      </c>
      <c r="B8" s="74" t="s">
        <v>1523</v>
      </c>
      <c r="C8" s="72" t="s">
        <v>1674</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1543</v>
      </c>
      <c r="D11" s="70" t="s">
        <v>23</v>
      </c>
      <c r="E11" s="79">
        <v>1</v>
      </c>
      <c r="F11" s="80" t="s">
        <v>24</v>
      </c>
      <c r="G11" s="81">
        <v>44532</v>
      </c>
      <c r="H11" s="80" t="s">
        <v>25</v>
      </c>
      <c r="I11" s="81">
        <v>44587</v>
      </c>
      <c r="J11" s="73" t="s">
        <v>403</v>
      </c>
      <c r="K11" s="73" t="s">
        <v>1675</v>
      </c>
      <c r="L11" s="73" t="s">
        <v>400</v>
      </c>
      <c r="M11" s="73">
        <v>1</v>
      </c>
      <c r="N11" s="78" t="s">
        <v>26</v>
      </c>
      <c r="O11" s="70">
        <v>0</v>
      </c>
      <c r="P11" s="70" t="s">
        <v>27</v>
      </c>
      <c r="Q11" s="78" t="s">
        <v>1544</v>
      </c>
      <c r="R11" s="73" t="s">
        <v>405</v>
      </c>
      <c r="S11" s="73">
        <v>1</v>
      </c>
      <c r="T11" s="73" t="s">
        <v>410</v>
      </c>
      <c r="U11" s="73">
        <v>1</v>
      </c>
      <c r="V11" s="73" t="s">
        <v>411</v>
      </c>
      <c r="W11" s="73">
        <v>1</v>
      </c>
      <c r="X11" s="73" t="s">
        <v>414</v>
      </c>
      <c r="Y11" s="73">
        <v>1</v>
      </c>
      <c r="Z11" s="73" t="s">
        <v>553</v>
      </c>
      <c r="AA11" s="73">
        <v>0</v>
      </c>
      <c r="AB11" s="73" t="s">
        <v>955</v>
      </c>
      <c r="AC11" s="73">
        <v>0</v>
      </c>
      <c r="AD11" s="73" t="s">
        <v>989</v>
      </c>
      <c r="AE11" s="73">
        <v>1</v>
      </c>
      <c r="AF11" s="73" t="s">
        <v>1239</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962</v>
      </c>
      <c r="AI12" s="73">
        <v>9</v>
      </c>
      <c r="AJ12" s="73" t="s">
        <v>1235</v>
      </c>
      <c r="AK12" s="73">
        <v>1</v>
      </c>
      <c r="AL12" s="73" t="s">
        <v>1236</v>
      </c>
      <c r="AM12" s="73">
        <v>1</v>
      </c>
      <c r="AN12" s="73" t="s">
        <v>1237</v>
      </c>
      <c r="AO12" s="73">
        <v>1</v>
      </c>
      <c r="AP12" s="73" t="s">
        <v>1238</v>
      </c>
      <c r="AQ12" s="135" t="s">
        <v>1348</v>
      </c>
      <c r="AR12" s="73" t="s">
        <v>1385</v>
      </c>
      <c r="AS12" s="73">
        <v>-4131</v>
      </c>
    </row>
    <row r="13" spans="1:64">
      <c r="A13" s="72" t="s">
        <v>387</v>
      </c>
      <c r="B13" s="78" t="s">
        <v>28</v>
      </c>
      <c r="C13" s="70">
        <v>1</v>
      </c>
      <c r="D13" s="78" t="s">
        <v>29</v>
      </c>
      <c r="E13" s="70" t="s">
        <v>1545</v>
      </c>
      <c r="F13" s="70" t="s">
        <v>30</v>
      </c>
      <c r="G13" s="80" t="s">
        <v>1546</v>
      </c>
      <c r="H13" s="80" t="s">
        <v>31</v>
      </c>
      <c r="I13" s="73" t="s">
        <v>528</v>
      </c>
    </row>
    <row r="14" spans="1:64">
      <c r="A14" s="72" t="s">
        <v>388</v>
      </c>
      <c r="B14" s="79" t="s">
        <v>32</v>
      </c>
      <c r="C14" s="79" t="s">
        <v>1547</v>
      </c>
      <c r="D14" s="79" t="s">
        <v>33</v>
      </c>
      <c r="E14" s="79" t="s">
        <v>1548</v>
      </c>
      <c r="F14" s="79" t="s">
        <v>34</v>
      </c>
      <c r="G14" s="79" t="s">
        <v>1549</v>
      </c>
      <c r="H14" s="79" t="s">
        <v>35</v>
      </c>
      <c r="I14" s="79" t="b">
        <v>0</v>
      </c>
      <c r="J14" s="79" t="s">
        <v>36</v>
      </c>
      <c r="K14" s="79" t="s">
        <v>1550</v>
      </c>
      <c r="L14" s="79" t="s">
        <v>37</v>
      </c>
      <c r="M14" s="79" t="s">
        <v>1551</v>
      </c>
      <c r="N14" s="79" t="s">
        <v>38</v>
      </c>
      <c r="O14" s="79" t="s">
        <v>1549</v>
      </c>
      <c r="P14" s="79" t="s">
        <v>39</v>
      </c>
      <c r="Q14" s="79" t="b">
        <v>0</v>
      </c>
      <c r="R14" s="79" t="s">
        <v>40</v>
      </c>
      <c r="S14" s="79" t="s">
        <v>1552</v>
      </c>
      <c r="T14" s="79" t="s">
        <v>41</v>
      </c>
      <c r="U14" s="79" t="s">
        <v>1553</v>
      </c>
      <c r="V14" s="79" t="s">
        <v>42</v>
      </c>
      <c r="W14" s="79" t="s">
        <v>1549</v>
      </c>
      <c r="X14" s="79" t="s">
        <v>43</v>
      </c>
      <c r="Y14" s="79" t="b">
        <v>1</v>
      </c>
      <c r="Z14" s="79" t="s">
        <v>44</v>
      </c>
      <c r="AA14" s="79" t="s">
        <v>1554</v>
      </c>
      <c r="AB14" s="79" t="s">
        <v>45</v>
      </c>
      <c r="AC14" s="79" t="s">
        <v>1555</v>
      </c>
      <c r="AD14" s="79" t="s">
        <v>46</v>
      </c>
      <c r="AE14" s="79" t="s">
        <v>1556</v>
      </c>
      <c r="AF14" s="79" t="s">
        <v>47</v>
      </c>
      <c r="AG14" s="79" t="b">
        <v>1</v>
      </c>
      <c r="AH14" s="79" t="s">
        <v>48</v>
      </c>
      <c r="AI14" s="79" t="s">
        <v>1557</v>
      </c>
      <c r="AJ14" s="79" t="s">
        <v>49</v>
      </c>
      <c r="AK14" s="79" t="s">
        <v>1558</v>
      </c>
      <c r="AL14" s="79" t="s">
        <v>50</v>
      </c>
      <c r="AM14" s="79" t="s">
        <v>1559</v>
      </c>
      <c r="AN14" s="79" t="s">
        <v>51</v>
      </c>
      <c r="AO14" s="79" t="b">
        <v>0</v>
      </c>
      <c r="AP14" s="79" t="s">
        <v>52</v>
      </c>
      <c r="AQ14" s="79" t="s">
        <v>1560</v>
      </c>
      <c r="AR14" s="79" t="s">
        <v>53</v>
      </c>
      <c r="AS14" s="79" t="s">
        <v>1561</v>
      </c>
      <c r="AT14" s="79" t="s">
        <v>54</v>
      </c>
      <c r="AU14" s="79" t="s">
        <v>1562</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1564</v>
      </c>
      <c r="H15" s="73" t="s">
        <v>402</v>
      </c>
      <c r="I15" s="73">
        <v>82</v>
      </c>
    </row>
  </sheetData>
  <phoneticPr fontId="2" type="noConversion"/>
  <hyperlinks>
    <hyperlink ref="B6"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sheetPr>
  <dimension ref="A1:M34"/>
  <sheetViews>
    <sheetView showGridLines="0" zoomScale="90" zoomScaleNormal="90" workbookViewId="0">
      <selection activeCell="L19" sqref="L19"/>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55" t="s">
        <v>1396</v>
      </c>
      <c r="B1" s="256"/>
      <c r="C1" s="256"/>
      <c r="D1" s="256"/>
      <c r="E1" s="256"/>
      <c r="F1" s="256"/>
      <c r="G1" s="256"/>
      <c r="H1" s="182"/>
      <c r="I1" s="182"/>
      <c r="J1" s="262" t="s">
        <v>1525</v>
      </c>
      <c r="K1" s="263"/>
      <c r="L1" s="263"/>
      <c r="M1" s="183"/>
    </row>
    <row r="2" spans="1:13" s="104" customFormat="1" ht="33.75" customHeight="1">
      <c r="A2" s="257"/>
      <c r="B2" s="258"/>
      <c r="C2" s="258"/>
      <c r="D2" s="258"/>
      <c r="E2" s="258"/>
      <c r="F2" s="258"/>
      <c r="G2" s="258"/>
      <c r="H2" s="266" t="s">
        <v>1397</v>
      </c>
      <c r="I2" s="267"/>
      <c r="J2" s="267"/>
      <c r="K2" s="267"/>
      <c r="L2" s="267"/>
      <c r="M2" s="184"/>
    </row>
    <row r="4" spans="1:13" ht="17.25" customHeight="1">
      <c r="B4" s="264" t="s">
        <v>1398</v>
      </c>
      <c r="C4" s="264"/>
      <c r="D4" s="264"/>
      <c r="E4" s="264"/>
      <c r="F4" s="264"/>
      <c r="G4" s="264"/>
      <c r="H4" s="264"/>
      <c r="I4" s="264"/>
      <c r="J4" s="264"/>
      <c r="K4" s="264"/>
      <c r="L4" s="264"/>
    </row>
    <row r="5" spans="1:13" ht="27.75" customHeight="1">
      <c r="B5" s="264"/>
      <c r="C5" s="264"/>
      <c r="D5" s="264"/>
      <c r="E5" s="264"/>
      <c r="F5" s="264"/>
      <c r="G5" s="264"/>
      <c r="H5" s="264"/>
      <c r="I5" s="264"/>
      <c r="J5" s="264"/>
      <c r="K5" s="264"/>
      <c r="L5" s="264"/>
    </row>
    <row r="6" spans="1:13" s="104" customFormat="1" ht="12.75">
      <c r="B6" s="105"/>
    </row>
    <row r="7" spans="1:13" s="104" customFormat="1" ht="18.75">
      <c r="B7" s="106" t="s">
        <v>1399</v>
      </c>
      <c r="D7" s="107"/>
    </row>
    <row r="8" spans="1:13" s="104" customFormat="1" ht="7.5" customHeight="1">
      <c r="B8" s="105"/>
    </row>
    <row r="9" spans="1:13" s="104" customFormat="1" ht="34.5" customHeight="1" thickBot="1">
      <c r="A9" s="108"/>
      <c r="B9" s="109" t="s">
        <v>533</v>
      </c>
      <c r="C9" s="108"/>
      <c r="D9" s="260" t="s">
        <v>1131</v>
      </c>
      <c r="E9" s="260"/>
      <c r="F9" s="260"/>
      <c r="G9" s="260"/>
      <c r="H9" s="260"/>
      <c r="I9" s="260"/>
      <c r="J9" s="260"/>
      <c r="K9" s="260"/>
      <c r="L9" s="260"/>
    </row>
    <row r="10" spans="1:13" s="104" customFormat="1" ht="27.75" customHeight="1" thickTop="1" thickBot="1">
      <c r="A10" s="108"/>
      <c r="B10" s="110" t="s">
        <v>534</v>
      </c>
      <c r="C10" s="108"/>
      <c r="D10" s="260" t="s">
        <v>1400</v>
      </c>
      <c r="E10" s="260"/>
      <c r="F10" s="260"/>
      <c r="G10" s="260"/>
      <c r="H10" s="260"/>
      <c r="I10" s="260"/>
      <c r="J10" s="260"/>
      <c r="K10" s="260"/>
      <c r="L10" s="260"/>
    </row>
    <row r="11" spans="1:13" s="104" customFormat="1" ht="27.75" customHeight="1" thickTop="1" thickBot="1">
      <c r="A11" s="108"/>
      <c r="B11" s="111" t="s">
        <v>535</v>
      </c>
      <c r="C11" s="108"/>
      <c r="D11" s="260" t="s">
        <v>1401</v>
      </c>
      <c r="E11" s="260"/>
      <c r="F11" s="260"/>
      <c r="G11" s="260"/>
      <c r="H11" s="260"/>
      <c r="I11" s="260"/>
      <c r="J11" s="260"/>
      <c r="K11" s="260"/>
      <c r="L11" s="260"/>
    </row>
    <row r="12" spans="1:13" s="104" customFormat="1" ht="27.75" customHeight="1" thickTop="1" thickBot="1">
      <c r="A12" s="108"/>
      <c r="B12" s="112" t="s">
        <v>536</v>
      </c>
      <c r="C12" s="108"/>
      <c r="D12" s="260" t="s">
        <v>1402</v>
      </c>
      <c r="E12" s="260"/>
      <c r="F12" s="260"/>
      <c r="G12" s="260"/>
      <c r="H12" s="260"/>
      <c r="I12" s="260"/>
      <c r="J12" s="260"/>
      <c r="K12" s="260"/>
      <c r="L12" s="260"/>
    </row>
    <row r="13" spans="1:13" s="104" customFormat="1" ht="27.75" customHeight="1" thickTop="1" thickBot="1">
      <c r="A13" s="108"/>
      <c r="B13" s="113" t="s">
        <v>1075</v>
      </c>
      <c r="C13" s="108"/>
      <c r="D13" s="260" t="s">
        <v>1172</v>
      </c>
      <c r="E13" s="260"/>
      <c r="F13" s="260"/>
      <c r="G13" s="260"/>
      <c r="H13" s="260"/>
      <c r="I13" s="260"/>
      <c r="J13" s="260"/>
      <c r="K13" s="260"/>
      <c r="L13" s="260"/>
    </row>
    <row r="14" spans="1:13" s="104" customFormat="1" ht="27.75" customHeight="1" thickTop="1" thickBot="1">
      <c r="A14" s="108"/>
      <c r="B14" s="113" t="s">
        <v>992</v>
      </c>
      <c r="C14" s="108"/>
      <c r="D14" s="265" t="s">
        <v>1403</v>
      </c>
      <c r="E14" s="265"/>
      <c r="F14" s="265"/>
      <c r="G14" s="265"/>
      <c r="H14" s="265"/>
      <c r="I14" s="265"/>
      <c r="J14" s="265"/>
      <c r="K14" s="265"/>
      <c r="L14" s="265"/>
    </row>
    <row r="15" spans="1:13" s="104" customFormat="1" ht="27.75" customHeight="1" thickTop="1" thickBot="1">
      <c r="A15" s="108"/>
      <c r="B15" s="114" t="s">
        <v>537</v>
      </c>
      <c r="C15" s="108"/>
      <c r="D15" s="260" t="s">
        <v>1404</v>
      </c>
      <c r="E15" s="260"/>
      <c r="F15" s="260"/>
      <c r="G15" s="260"/>
      <c r="H15" s="260"/>
      <c r="I15" s="260"/>
      <c r="J15" s="260"/>
      <c r="K15" s="260"/>
      <c r="L15" s="260"/>
    </row>
    <row r="16" spans="1:13" ht="16.5" thickTop="1">
      <c r="A16" s="115"/>
      <c r="B16" s="116"/>
      <c r="C16" s="115"/>
      <c r="D16" s="117"/>
      <c r="E16" s="117"/>
      <c r="F16" s="117"/>
      <c r="G16" s="117"/>
      <c r="H16" s="117"/>
      <c r="I16" s="117"/>
      <c r="J16" s="117"/>
      <c r="K16" s="117"/>
      <c r="L16" s="117"/>
    </row>
    <row r="17" spans="2:12" s="104" customFormat="1" ht="18.75">
      <c r="B17" s="106" t="s">
        <v>1405</v>
      </c>
      <c r="D17" s="107"/>
    </row>
    <row r="18" spans="2:12" s="104" customFormat="1" ht="5.25" customHeight="1">
      <c r="B18" s="118"/>
      <c r="D18" s="107"/>
    </row>
    <row r="19" spans="2:12" s="104" customFormat="1" ht="24.75" customHeight="1" thickBot="1">
      <c r="B19" s="119" t="s">
        <v>1406</v>
      </c>
      <c r="D19" s="259" t="s">
        <v>1416</v>
      </c>
      <c r="E19" s="259"/>
      <c r="F19" s="259"/>
      <c r="G19" s="259"/>
      <c r="H19" s="259"/>
      <c r="I19" s="259"/>
      <c r="J19" s="259"/>
      <c r="K19" s="259"/>
      <c r="L19" s="126" t="s">
        <v>1158</v>
      </c>
    </row>
    <row r="20" spans="2:12" s="104" customFormat="1" ht="41.25" customHeight="1" thickTop="1" thickBot="1">
      <c r="B20" s="119" t="s">
        <v>1528</v>
      </c>
      <c r="D20" s="259" t="s">
        <v>1417</v>
      </c>
      <c r="E20" s="259"/>
      <c r="F20" s="259"/>
      <c r="G20" s="259"/>
      <c r="H20" s="259"/>
      <c r="I20" s="259"/>
      <c r="J20" s="259"/>
      <c r="K20" s="259"/>
      <c r="L20" s="126" t="s">
        <v>1158</v>
      </c>
    </row>
    <row r="21" spans="2:12" s="104" customFormat="1" ht="37.5" customHeight="1" thickTop="1" thickBot="1">
      <c r="B21" s="119" t="s">
        <v>1407</v>
      </c>
      <c r="D21" s="259" t="s">
        <v>1418</v>
      </c>
      <c r="E21" s="259"/>
      <c r="F21" s="259"/>
      <c r="G21" s="259"/>
      <c r="H21" s="259"/>
      <c r="I21" s="259"/>
      <c r="J21" s="259"/>
      <c r="K21" s="259"/>
      <c r="L21" s="126" t="s">
        <v>1158</v>
      </c>
    </row>
    <row r="22" spans="2:12" s="104" customFormat="1" ht="41.25" customHeight="1" thickTop="1" thickBot="1">
      <c r="B22" s="119" t="s">
        <v>1408</v>
      </c>
      <c r="D22" s="259" t="s">
        <v>1419</v>
      </c>
      <c r="E22" s="259"/>
      <c r="F22" s="259"/>
      <c r="G22" s="259"/>
      <c r="H22" s="259"/>
      <c r="I22" s="259"/>
      <c r="J22" s="259"/>
      <c r="K22" s="259"/>
      <c r="L22" s="126" t="s">
        <v>1158</v>
      </c>
    </row>
    <row r="23" spans="2:12" s="104" customFormat="1" ht="36" customHeight="1" thickTop="1" thickBot="1">
      <c r="B23" s="119" t="s">
        <v>1409</v>
      </c>
      <c r="D23" s="259" t="s">
        <v>1187</v>
      </c>
      <c r="E23" s="259"/>
      <c r="F23" s="259"/>
      <c r="G23" s="259"/>
      <c r="H23" s="259"/>
      <c r="I23" s="259"/>
      <c r="J23" s="259"/>
      <c r="K23" s="259"/>
      <c r="L23" s="126" t="s">
        <v>1158</v>
      </c>
    </row>
    <row r="24" spans="2:12" s="104" customFormat="1" ht="52.5" customHeight="1" thickTop="1" thickBot="1">
      <c r="B24" s="119" t="s">
        <v>1410</v>
      </c>
      <c r="D24" s="259" t="s">
        <v>1420</v>
      </c>
      <c r="E24" s="259"/>
      <c r="F24" s="259"/>
      <c r="G24" s="259"/>
      <c r="H24" s="259"/>
      <c r="I24" s="259"/>
      <c r="J24" s="259"/>
      <c r="K24" s="259"/>
      <c r="L24" s="126" t="s">
        <v>1158</v>
      </c>
    </row>
    <row r="25" spans="2:12" s="104" customFormat="1" ht="57" customHeight="1" thickTop="1" thickBot="1">
      <c r="B25" s="119" t="s">
        <v>1411</v>
      </c>
      <c r="D25" s="259" t="s">
        <v>1421</v>
      </c>
      <c r="E25" s="259"/>
      <c r="F25" s="259"/>
      <c r="G25" s="259"/>
      <c r="H25" s="259"/>
      <c r="I25" s="259"/>
      <c r="J25" s="259"/>
      <c r="K25" s="259"/>
      <c r="L25" s="126" t="s">
        <v>1158</v>
      </c>
    </row>
    <row r="26" spans="2:12" s="104" customFormat="1" ht="48.75" customHeight="1" thickTop="1" thickBot="1">
      <c r="B26" s="119" t="s">
        <v>1412</v>
      </c>
      <c r="D26" s="259" t="s">
        <v>1422</v>
      </c>
      <c r="E26" s="259"/>
      <c r="F26" s="259"/>
      <c r="G26" s="259"/>
      <c r="H26" s="259"/>
      <c r="I26" s="259"/>
      <c r="J26" s="259"/>
      <c r="K26" s="259"/>
      <c r="L26" s="126" t="s">
        <v>1158</v>
      </c>
    </row>
    <row r="27" spans="2:12" s="104" customFormat="1" ht="43.5" customHeight="1" thickTop="1" thickBot="1">
      <c r="B27" s="119" t="s">
        <v>1413</v>
      </c>
      <c r="D27" s="259" t="s">
        <v>1423</v>
      </c>
      <c r="E27" s="259"/>
      <c r="F27" s="259"/>
      <c r="G27" s="259"/>
      <c r="H27" s="259"/>
      <c r="I27" s="259"/>
      <c r="J27" s="259"/>
      <c r="K27" s="259"/>
      <c r="L27" s="126" t="s">
        <v>1158</v>
      </c>
    </row>
    <row r="28" spans="2:12" s="104" customFormat="1" ht="43.5" customHeight="1" thickTop="1" thickBot="1">
      <c r="B28" s="119" t="s">
        <v>1414</v>
      </c>
      <c r="D28" s="259" t="s">
        <v>1424</v>
      </c>
      <c r="E28" s="259"/>
      <c r="F28" s="259"/>
      <c r="G28" s="259"/>
      <c r="H28" s="259"/>
      <c r="I28" s="259"/>
      <c r="J28" s="259"/>
      <c r="K28" s="259"/>
      <c r="L28" s="126" t="s">
        <v>1158</v>
      </c>
    </row>
    <row r="29" spans="2:12" s="104" customFormat="1" ht="50.25" customHeight="1" thickTop="1" thickBot="1">
      <c r="B29" s="119" t="s">
        <v>536</v>
      </c>
      <c r="D29" s="259" t="s">
        <v>1193</v>
      </c>
      <c r="E29" s="259"/>
      <c r="F29" s="259"/>
      <c r="G29" s="259"/>
      <c r="H29" s="259"/>
      <c r="I29" s="259"/>
      <c r="J29" s="259"/>
      <c r="K29" s="259"/>
      <c r="L29" s="126" t="s">
        <v>1158</v>
      </c>
    </row>
    <row r="30" spans="2:12" s="104" customFormat="1" ht="57.75" customHeight="1" thickTop="1" thickBot="1">
      <c r="B30" s="119" t="s">
        <v>1156</v>
      </c>
      <c r="D30" s="259" t="s">
        <v>1425</v>
      </c>
      <c r="E30" s="259"/>
      <c r="F30" s="259"/>
      <c r="G30" s="259"/>
      <c r="H30" s="259"/>
      <c r="I30" s="259"/>
      <c r="J30" s="259"/>
      <c r="K30" s="259"/>
      <c r="L30" s="126" t="s">
        <v>1158</v>
      </c>
    </row>
    <row r="31" spans="2:12" s="104" customFormat="1" ht="67.5" customHeight="1" thickTop="1" thickBot="1">
      <c r="B31" s="119" t="s">
        <v>1415</v>
      </c>
      <c r="D31" s="259" t="s">
        <v>1195</v>
      </c>
      <c r="E31" s="259"/>
      <c r="F31" s="259"/>
      <c r="G31" s="259"/>
      <c r="H31" s="259"/>
      <c r="I31" s="259"/>
      <c r="J31" s="259"/>
      <c r="K31" s="259"/>
      <c r="L31" s="126" t="s">
        <v>1158</v>
      </c>
    </row>
    <row r="32" spans="2:12" s="104" customFormat="1" thickTop="1">
      <c r="B32" s="120"/>
      <c r="D32" s="107"/>
      <c r="L32" s="108"/>
    </row>
    <row r="33" spans="2:12" s="104" customFormat="1" ht="18.75" customHeight="1">
      <c r="B33" s="121" t="s">
        <v>1527</v>
      </c>
      <c r="C33" s="122"/>
      <c r="D33" s="123"/>
      <c r="E33" s="122"/>
      <c r="F33" s="122"/>
      <c r="G33" s="122"/>
      <c r="H33" s="122"/>
      <c r="I33" s="122"/>
      <c r="J33" s="122"/>
      <c r="K33" s="122"/>
      <c r="L33" s="124"/>
    </row>
    <row r="34" spans="2:12" s="104" customFormat="1" ht="59.25" customHeight="1">
      <c r="B34" s="261" t="s">
        <v>1426</v>
      </c>
      <c r="C34" s="261"/>
      <c r="D34" s="261"/>
      <c r="E34" s="261"/>
      <c r="F34" s="261"/>
      <c r="G34" s="261"/>
      <c r="H34" s="261"/>
      <c r="I34" s="261"/>
      <c r="J34" s="261"/>
      <c r="K34" s="261"/>
      <c r="L34" s="261"/>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100-000000000000}"/>
    <hyperlink ref="B10" location="Progress!A1" display="Progress" xr:uid="{00000000-0004-0000-0100-000001000000}"/>
    <hyperlink ref="B11" location="AnalysisReport!A1" display="AnalysisReport" xr:uid="{00000000-0004-0000-0100-000002000000}"/>
    <hyperlink ref="B13" location="Workload!A1" display="Workload" xr:uid="{00000000-0004-0000-0100-000003000000}"/>
    <hyperlink ref="B14" location="ServerData!A1" display="ServerData" xr:uid="{00000000-0004-0000-0100-000004000000}"/>
    <hyperlink ref="L19" r:id="rId1" display="https://xlworks.net/xlgantt-easy-tip/" xr:uid="{00000000-0004-0000-0100-000005000000}"/>
    <hyperlink ref="L20" r:id="rId2" display="https://xlworks.net/xlgantt-howto-02-task/" xr:uid="{00000000-0004-0000-0100-000006000000}"/>
    <hyperlink ref="L21" r:id="rId3" display="https://xlworks.net/xlgantt-howto-03-gantt-chart/" xr:uid="{00000000-0004-0000-0100-000007000000}"/>
    <hyperlink ref="L23" r:id="rId4" display="https://xlworks.net/xlgantt-howto-05-analysis-report/" xr:uid="{00000000-0004-0000-0100-000008000000}"/>
    <hyperlink ref="L24" r:id="rId5" display="https://xlworks.net/xlgantt-howto-06-schedule-change-management/" xr:uid="{00000000-0004-0000-0100-000009000000}"/>
    <hyperlink ref="L25" r:id="rId6" display="https://xlworks.net/xlgantt-howto-07-deliverables/" xr:uid="{00000000-0004-0000-0100-00000A000000}"/>
    <hyperlink ref="L26" r:id="rId7" display="https://xlworks.net/xlgantt-howto-08-add-tasks-to-outlook/" xr:uid="{00000000-0004-0000-0100-00000B000000}"/>
    <hyperlink ref="L27" r:id="rId8" display="https://xlworks.net/xlgantt-howto-09-multilingual-support/" xr:uid="{00000000-0004-0000-0100-00000C000000}"/>
    <hyperlink ref="L28" r:id="rId9" display="https://xlworks.net/xlgantt-howto-10-import-schedule/" xr:uid="{00000000-0004-0000-0100-00000D000000}"/>
    <hyperlink ref="L29" r:id="rId10" display="https://xlworks.net/xlgantt-howto-11-calendar/" xr:uid="{00000000-0004-0000-0100-00000E000000}"/>
    <hyperlink ref="L30" r:id="rId11" display="https://xlworks.net/xlgantt-howto-12-integration-with-excel/" xr:uid="{00000000-0004-0000-0100-00000F000000}"/>
    <hyperlink ref="L22" r:id="rId12" display="https://xlworks.net/xlgantt-howto-04-project-progress/" xr:uid="{00000000-0004-0000-0100-000010000000}"/>
    <hyperlink ref="L31" r:id="rId13" display="https://xlworks.net/xlgantt-howto-13-server-data/" xr:uid="{00000000-0004-0000-0100-000011000000}"/>
    <hyperlink ref="B12" location="Calendar!A1" display="Calendar" xr:uid="{00000000-0004-0000-0100-000012000000}"/>
    <hyperlink ref="J1" r:id="rId14" display="https://xlworks.net/xlgantt-project-scheduler/" xr:uid="{00000000-0004-0000-0100-000013000000}"/>
    <hyperlink ref="H2" r:id="rId15" display="https://xlworks.net/xlgantt-project-scheduler/" xr:uid="{00000000-0004-0000-0100-000014000000}"/>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00A44A"/>
    <outlinePr summaryBelow="0"/>
    <pageSetUpPr fitToPage="1"/>
  </sheetPr>
  <dimension ref="A1:CP98"/>
  <sheetViews>
    <sheetView tabSelected="1" zoomScaleNormal="100" zoomScalePageLayoutView="55" workbookViewId="0">
      <pane ySplit="4" topLeftCell="A13" activePane="bottomLeft" state="frozen"/>
      <selection activeCell="E5" sqref="E5"/>
      <selection pane="bottomLeft" activeCell="D5" sqref="D5"/>
    </sheetView>
  </sheetViews>
  <sheetFormatPr defaultColWidth="10" defaultRowHeight="12" customHeight="1" outlineLevelRow="6"/>
  <cols>
    <col min="1" max="1" width="9.125" style="143" hidden="1" customWidth="1"/>
    <col min="2" max="2" width="9" style="143" hidden="1" customWidth="1"/>
    <col min="3" max="3" width="8.375" style="143" hidden="1" customWidth="1"/>
    <col min="4" max="4" width="9.75" style="185" customWidth="1"/>
    <col min="5" max="13" width="2.75" style="144" customWidth="1"/>
    <col min="14" max="14" width="15.75" style="144" customWidth="1"/>
    <col min="15" max="15" width="24.125" style="144"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30.875" style="146" customWidth="1"/>
    <col min="29" max="29" width="10.25" style="150" bestFit="1" customWidth="1"/>
    <col min="30" max="30" width="7.75" style="151" bestFit="1" customWidth="1"/>
    <col min="31" max="31" width="7.25" style="152" customWidth="1"/>
    <col min="32" max="94" width="1.875" style="142" customWidth="1"/>
    <col min="95" max="16384" width="10" style="142"/>
  </cols>
  <sheetData>
    <row r="1" spans="1:94" s="139" customFormat="1" ht="20.100000000000001" customHeight="1">
      <c r="A1" s="153"/>
      <c r="B1" s="154"/>
      <c r="C1" s="155"/>
      <c r="D1" s="186" t="str">
        <f ca="1">xlgantt.ProjectName()</f>
        <v>나쁜넘들</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2021-12-02~2022-01-26 [계획:86.70% 실적:69.21%]</v>
      </c>
      <c r="AF1" s="174" t="s">
        <v>1524</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94" s="139" customFormat="1" ht="15" customHeight="1">
      <c r="A2" s="153"/>
      <c r="B2" s="153"/>
      <c r="C2" s="155"/>
      <c r="D2" s="268"/>
      <c r="E2" s="268"/>
      <c r="F2" s="268"/>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301" t="s">
        <v>1291</v>
      </c>
      <c r="AG2" s="301"/>
      <c r="AH2" s="301"/>
      <c r="AI2" s="301"/>
      <c r="AJ2" s="301" t="s">
        <v>1616</v>
      </c>
      <c r="AK2" s="301"/>
      <c r="AL2" s="301"/>
      <c r="AM2" s="301"/>
      <c r="AN2" s="301" t="s">
        <v>1702</v>
      </c>
      <c r="AO2" s="301"/>
      <c r="AP2" s="301"/>
      <c r="AQ2" s="301"/>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c r="BR2" s="254"/>
      <c r="BS2" s="254"/>
      <c r="BT2" s="254"/>
      <c r="BU2" s="254"/>
      <c r="BV2" s="254"/>
      <c r="BW2" s="254"/>
      <c r="BX2" s="254"/>
      <c r="BY2" s="254"/>
      <c r="BZ2" s="254"/>
      <c r="CA2" s="254"/>
      <c r="CB2" s="254"/>
      <c r="CC2" s="254"/>
      <c r="CD2" s="254"/>
      <c r="CE2" s="254"/>
      <c r="CF2" s="254"/>
      <c r="CG2" s="254"/>
      <c r="CH2" s="254"/>
      <c r="CI2" s="254"/>
      <c r="CJ2" s="254"/>
      <c r="CK2" s="254"/>
      <c r="CL2" s="254"/>
      <c r="CM2" s="254"/>
      <c r="CN2" s="254"/>
      <c r="CO2" s="254"/>
      <c r="CP2" s="254"/>
    </row>
    <row r="3" spans="1:94" s="140" customFormat="1" ht="18.95" customHeight="1">
      <c r="A3" s="282" t="s">
        <v>1700</v>
      </c>
      <c r="B3" s="284" t="s">
        <v>1686</v>
      </c>
      <c r="C3" s="286" t="s">
        <v>1687</v>
      </c>
      <c r="D3" s="287" t="s">
        <v>1688</v>
      </c>
      <c r="E3" s="289" t="s">
        <v>1689</v>
      </c>
      <c r="F3" s="290"/>
      <c r="G3" s="290"/>
      <c r="H3" s="290"/>
      <c r="I3" s="290"/>
      <c r="J3" s="290"/>
      <c r="K3" s="290"/>
      <c r="L3" s="290"/>
      <c r="M3" s="290"/>
      <c r="N3" s="290"/>
      <c r="O3" s="269" t="s">
        <v>1690</v>
      </c>
      <c r="P3" s="269" t="s">
        <v>1676</v>
      </c>
      <c r="Q3" s="269" t="s">
        <v>1684</v>
      </c>
      <c r="R3" s="274" t="s">
        <v>1691</v>
      </c>
      <c r="S3" s="271" t="s">
        <v>1677</v>
      </c>
      <c r="T3" s="276" t="s">
        <v>1678</v>
      </c>
      <c r="U3" s="271" t="s">
        <v>1679</v>
      </c>
      <c r="V3" s="271" t="s">
        <v>1680</v>
      </c>
      <c r="W3" s="273" t="s">
        <v>1681</v>
      </c>
      <c r="X3" s="273" t="s">
        <v>1685</v>
      </c>
      <c r="Y3" s="292" t="s">
        <v>1692</v>
      </c>
      <c r="Z3" s="280" t="s">
        <v>1682</v>
      </c>
      <c r="AA3" s="296" t="s">
        <v>1683</v>
      </c>
      <c r="AB3" s="269" t="s">
        <v>1693</v>
      </c>
      <c r="AC3" s="298" t="s">
        <v>1694</v>
      </c>
      <c r="AD3" s="294" t="s">
        <v>1695</v>
      </c>
      <c r="AE3" s="278" t="s">
        <v>1696</v>
      </c>
      <c r="AF3" s="299" t="s">
        <v>1614</v>
      </c>
      <c r="AG3" s="300"/>
      <c r="AH3" s="300"/>
      <c r="AI3" s="300"/>
      <c r="AJ3" s="302" t="s">
        <v>1615</v>
      </c>
      <c r="AK3" s="300"/>
      <c r="AL3" s="300"/>
      <c r="AM3" s="300"/>
      <c r="AN3" s="302" t="s">
        <v>1701</v>
      </c>
      <c r="AO3" s="300"/>
      <c r="AP3" s="300"/>
      <c r="AQ3" s="303"/>
    </row>
    <row r="4" spans="1:94" s="141" customFormat="1" ht="6" customHeight="1">
      <c r="A4" s="283"/>
      <c r="B4" s="285"/>
      <c r="C4" s="282"/>
      <c r="D4" s="288"/>
      <c r="E4" s="291"/>
      <c r="F4" s="290"/>
      <c r="G4" s="290"/>
      <c r="H4" s="290"/>
      <c r="I4" s="290"/>
      <c r="J4" s="290"/>
      <c r="K4" s="290"/>
      <c r="L4" s="290"/>
      <c r="M4" s="290"/>
      <c r="N4" s="290"/>
      <c r="O4" s="270"/>
      <c r="P4" s="270"/>
      <c r="Q4" s="270"/>
      <c r="R4" s="275"/>
      <c r="S4" s="272"/>
      <c r="T4" s="277"/>
      <c r="U4" s="272"/>
      <c r="V4" s="272"/>
      <c r="W4" s="270"/>
      <c r="X4" s="270"/>
      <c r="Y4" s="293"/>
      <c r="Z4" s="281"/>
      <c r="AA4" s="297"/>
      <c r="AB4" s="270"/>
      <c r="AC4" s="288"/>
      <c r="AD4" s="295"/>
      <c r="AE4" s="279"/>
      <c r="AF4" s="187">
        <v>44528</v>
      </c>
      <c r="AG4" s="188">
        <v>44535</v>
      </c>
      <c r="AH4" s="188">
        <v>44542</v>
      </c>
      <c r="AI4" s="188">
        <v>44549</v>
      </c>
      <c r="AJ4" s="188">
        <v>44556</v>
      </c>
      <c r="AK4" s="188">
        <v>44563</v>
      </c>
      <c r="AL4" s="188">
        <v>44570</v>
      </c>
      <c r="AM4" s="188">
        <v>44577</v>
      </c>
      <c r="AN4" s="188">
        <v>44584</v>
      </c>
      <c r="AO4" s="252"/>
      <c r="AP4" s="252"/>
      <c r="AQ4" s="253"/>
      <c r="AR4" s="217"/>
      <c r="AS4" s="217"/>
      <c r="AT4" s="217"/>
      <c r="AU4" s="217"/>
      <c r="AV4" s="217"/>
      <c r="AW4" s="217"/>
      <c r="AX4" s="217"/>
      <c r="AY4" s="217"/>
      <c r="AZ4" s="217"/>
      <c r="BA4" s="217"/>
      <c r="BB4" s="217"/>
      <c r="BC4" s="217"/>
      <c r="BD4" s="217"/>
      <c r="BE4" s="217"/>
      <c r="BF4" s="217"/>
      <c r="BG4" s="217"/>
      <c r="BH4" s="217"/>
      <c r="BI4" s="217"/>
      <c r="BJ4" s="217"/>
      <c r="BK4" s="217"/>
      <c r="BL4" s="217"/>
      <c r="BM4" s="217"/>
      <c r="BN4" s="217"/>
      <c r="BO4" s="217"/>
      <c r="BP4" s="217"/>
      <c r="BQ4" s="217"/>
      <c r="BR4" s="217"/>
      <c r="BS4" s="217"/>
      <c r="BT4" s="217"/>
      <c r="BU4" s="217"/>
      <c r="BV4" s="217"/>
      <c r="BW4" s="217"/>
      <c r="BX4" s="217"/>
      <c r="BY4" s="217"/>
      <c r="BZ4" s="217"/>
      <c r="CA4" s="217"/>
      <c r="CB4" s="217"/>
      <c r="CC4" s="217"/>
      <c r="CD4" s="217"/>
      <c r="CE4" s="217"/>
      <c r="CF4" s="217"/>
      <c r="CG4" s="217"/>
      <c r="CH4" s="217"/>
      <c r="CI4" s="217"/>
      <c r="CJ4" s="217"/>
      <c r="CK4" s="217"/>
      <c r="CL4" s="217"/>
      <c r="CM4" s="217"/>
      <c r="CN4" s="217"/>
      <c r="CO4" s="217"/>
      <c r="CP4" s="217"/>
    </row>
    <row r="5" spans="1:94" ht="12" customHeight="1">
      <c r="A5" s="203"/>
      <c r="B5" s="203" t="s">
        <v>1570</v>
      </c>
      <c r="C5" s="203">
        <v>1</v>
      </c>
      <c r="D5" s="214" t="s">
        <v>1007</v>
      </c>
      <c r="E5" s="204" t="s">
        <v>1565</v>
      </c>
      <c r="F5" s="204"/>
      <c r="G5" s="204"/>
      <c r="H5" s="204"/>
      <c r="I5" s="204"/>
      <c r="J5" s="204"/>
      <c r="K5" s="204"/>
      <c r="L5" s="204"/>
      <c r="M5" s="204"/>
      <c r="N5" s="204"/>
      <c r="O5" s="204"/>
      <c r="P5" s="205">
        <v>44532</v>
      </c>
      <c r="Q5" s="205">
        <v>44587</v>
      </c>
      <c r="R5" s="206"/>
      <c r="S5" s="207">
        <v>188</v>
      </c>
      <c r="T5" s="207">
        <v>163</v>
      </c>
      <c r="U5" s="207">
        <v>40</v>
      </c>
      <c r="V5" s="207">
        <v>34</v>
      </c>
      <c r="W5" s="205"/>
      <c r="X5" s="205"/>
      <c r="Y5" s="208">
        <v>0</v>
      </c>
      <c r="Z5" s="209">
        <v>0</v>
      </c>
      <c r="AA5" s="207"/>
      <c r="AB5" s="206"/>
      <c r="AC5" s="210"/>
      <c r="AD5" s="211">
        <v>0.86702127659574468</v>
      </c>
      <c r="AE5" s="251">
        <v>0.69212765957446809</v>
      </c>
      <c r="AF5" s="190"/>
      <c r="AG5" s="191"/>
      <c r="AH5" s="191"/>
      <c r="AI5" s="191"/>
      <c r="AJ5" s="191"/>
      <c r="AK5" s="191"/>
      <c r="AL5" s="191" t="str">
        <f>" " &amp; TEXT(AE5,"#0.00%") &amp; " " &amp; "2022 졸업작품 프로젝트" &amp; " " &amp; IF(P5="","",TEXT(P5,"M/D-")) &amp; IF(Q5="","",TEXT(Q5,"M/D")) &amp; " "</f>
        <v xml:space="preserve"> 69.21% 2022 졸업작품 프로젝트 12/2-1/26 </v>
      </c>
      <c r="AM5" s="191"/>
      <c r="AN5" s="191"/>
      <c r="AO5" s="191"/>
      <c r="AP5" s="189"/>
      <c r="AQ5" s="189"/>
    </row>
    <row r="6" spans="1:94" ht="12" customHeight="1" outlineLevel="1">
      <c r="A6" s="203"/>
      <c r="B6" s="203" t="s">
        <v>1570</v>
      </c>
      <c r="C6" s="203">
        <v>2</v>
      </c>
      <c r="D6" s="214" t="s">
        <v>1081</v>
      </c>
      <c r="E6" s="204"/>
      <c r="F6" s="204" t="s">
        <v>1566</v>
      </c>
      <c r="G6" s="204"/>
      <c r="H6" s="204"/>
      <c r="I6" s="204"/>
      <c r="J6" s="204"/>
      <c r="K6" s="204"/>
      <c r="L6" s="204"/>
      <c r="M6" s="204"/>
      <c r="N6" s="204"/>
      <c r="O6" s="204"/>
      <c r="P6" s="205">
        <v>44552</v>
      </c>
      <c r="Q6" s="205">
        <v>44587</v>
      </c>
      <c r="R6" s="206"/>
      <c r="S6" s="207">
        <v>77</v>
      </c>
      <c r="T6" s="207">
        <v>68</v>
      </c>
      <c r="U6" s="207">
        <v>26</v>
      </c>
      <c r="V6" s="207">
        <v>20</v>
      </c>
      <c r="W6" s="205"/>
      <c r="X6" s="205"/>
      <c r="Y6" s="208">
        <v>0</v>
      </c>
      <c r="Z6" s="209">
        <v>0</v>
      </c>
      <c r="AA6" s="207"/>
      <c r="AB6" s="206"/>
      <c r="AC6" s="210"/>
      <c r="AD6" s="211">
        <v>0.88311688311688308</v>
      </c>
      <c r="AE6" s="251">
        <v>0.87792207792207788</v>
      </c>
      <c r="AF6" s="190"/>
      <c r="AG6" s="191"/>
      <c r="AH6" s="191"/>
      <c r="AI6" s="191"/>
      <c r="AJ6" s="191"/>
      <c r="AK6" s="191"/>
      <c r="AL6" s="191"/>
      <c r="AM6" s="191"/>
      <c r="AN6" s="191" t="str">
        <f>"" &amp; TEXT(AE6,"#0.00%") &amp; " " &amp; "개발 관련" &amp; " " &amp; IF(P6="","",TEXT(P6,"M/D-")) &amp; IF(Q6="","",TEXT(Q6,"M/D")) &amp; " "</f>
        <v xml:space="preserve">87.79% 개발 관련 12/22-1/26 </v>
      </c>
      <c r="AO6" s="191"/>
    </row>
    <row r="7" spans="1:94" ht="12" customHeight="1" outlineLevel="2">
      <c r="A7" s="203"/>
      <c r="B7" s="203" t="s">
        <v>1570</v>
      </c>
      <c r="C7" s="203">
        <v>3</v>
      </c>
      <c r="D7" s="214" t="s">
        <v>1082</v>
      </c>
      <c r="E7" s="204"/>
      <c r="F7" s="204"/>
      <c r="G7" s="204" t="s">
        <v>1586</v>
      </c>
      <c r="H7" s="204"/>
      <c r="I7" s="204"/>
      <c r="J7" s="204"/>
      <c r="K7" s="204"/>
      <c r="L7" s="204"/>
      <c r="M7" s="204"/>
      <c r="N7" s="204"/>
      <c r="O7" s="204"/>
      <c r="P7" s="205">
        <v>44552</v>
      </c>
      <c r="Q7" s="205">
        <v>44577</v>
      </c>
      <c r="R7" s="206"/>
      <c r="S7" s="207">
        <v>40</v>
      </c>
      <c r="T7" s="207">
        <v>40</v>
      </c>
      <c r="U7" s="207">
        <v>18</v>
      </c>
      <c r="V7" s="207">
        <v>18</v>
      </c>
      <c r="W7" s="205"/>
      <c r="X7" s="205"/>
      <c r="Y7" s="208">
        <v>0</v>
      </c>
      <c r="Z7" s="209">
        <v>0</v>
      </c>
      <c r="AA7" s="207"/>
      <c r="AB7" s="206"/>
      <c r="AC7" s="210"/>
      <c r="AD7" s="211">
        <v>1</v>
      </c>
      <c r="AE7" s="247">
        <v>1</v>
      </c>
      <c r="AF7" s="190"/>
      <c r="AG7" s="191"/>
      <c r="AH7" s="191"/>
      <c r="AI7" s="191"/>
      <c r="AJ7" s="191"/>
      <c r="AK7" s="191"/>
      <c r="AL7" s="191"/>
      <c r="AM7" s="191" t="str">
        <f>" " &amp; TEXT(AE7,"#0.00%") &amp; " " &amp; "플레이어 관련" &amp; " " &amp; IF(P7="","",TEXT(P7,"M/D-")) &amp; IF(Q7="","",TEXT(Q7,"M/D")) &amp; " "</f>
        <v xml:space="preserve"> 100.00% 플레이어 관련 12/22-1/16 </v>
      </c>
      <c r="AN7" s="191"/>
      <c r="AO7" s="191"/>
    </row>
    <row r="8" spans="1:94" ht="12" customHeight="1" outlineLevel="3">
      <c r="A8" s="203"/>
      <c r="B8" s="203" t="s">
        <v>1570</v>
      </c>
      <c r="C8" s="203">
        <v>4</v>
      </c>
      <c r="D8" s="214" t="s">
        <v>1571</v>
      </c>
      <c r="E8" s="204"/>
      <c r="F8" s="204"/>
      <c r="G8" s="204"/>
      <c r="H8" s="204" t="s">
        <v>1575</v>
      </c>
      <c r="I8" s="204"/>
      <c r="J8" s="204"/>
      <c r="K8" s="204"/>
      <c r="L8" s="204"/>
      <c r="M8" s="204"/>
      <c r="N8" s="204"/>
      <c r="O8" s="204"/>
      <c r="P8" s="205">
        <v>44552</v>
      </c>
      <c r="Q8" s="205">
        <v>44566</v>
      </c>
      <c r="R8" s="206"/>
      <c r="S8" s="207">
        <v>6</v>
      </c>
      <c r="T8" s="207">
        <v>6</v>
      </c>
      <c r="U8" s="207">
        <v>11</v>
      </c>
      <c r="V8" s="207">
        <v>11</v>
      </c>
      <c r="W8" s="205"/>
      <c r="X8" s="205"/>
      <c r="Y8" s="208">
        <v>0</v>
      </c>
      <c r="Z8" s="209">
        <v>0</v>
      </c>
      <c r="AA8" s="207"/>
      <c r="AB8" s="206"/>
      <c r="AC8" s="210"/>
      <c r="AD8" s="211">
        <v>1</v>
      </c>
      <c r="AE8" s="247">
        <v>1</v>
      </c>
      <c r="AF8" s="190"/>
      <c r="AG8" s="191"/>
      <c r="AH8" s="191"/>
      <c r="AI8" s="191"/>
      <c r="AJ8" s="191"/>
      <c r="AK8" s="191" t="str">
        <f>"    " &amp; TEXT(AE8,"#0.00%") &amp; " " &amp; "플레이어 조작 관련" &amp; " " &amp; IF(P8="","",TEXT(P8,"M/D-")) &amp; IF(Q8="","",TEXT(Q8,"M/D")) &amp; " "</f>
        <v xml:space="preserve">    100.00% 플레이어 조작 관련 12/22-1/5 </v>
      </c>
      <c r="AL8" s="191"/>
      <c r="AM8" s="191"/>
      <c r="AN8" s="191"/>
      <c r="AO8" s="191"/>
    </row>
    <row r="9" spans="1:94" ht="12" customHeight="1" outlineLevel="4">
      <c r="A9" s="203"/>
      <c r="B9" s="203"/>
      <c r="C9" s="203">
        <v>5</v>
      </c>
      <c r="D9" s="214" t="s">
        <v>1572</v>
      </c>
      <c r="E9" s="204"/>
      <c r="F9" s="204"/>
      <c r="G9" s="204"/>
      <c r="H9" s="204"/>
      <c r="I9" s="204" t="s">
        <v>1567</v>
      </c>
      <c r="J9" s="204"/>
      <c r="K9" s="204"/>
      <c r="L9" s="204"/>
      <c r="M9" s="204"/>
      <c r="N9" s="204"/>
      <c r="O9" s="204"/>
      <c r="P9" s="205">
        <v>44552</v>
      </c>
      <c r="Q9" s="205">
        <v>44555</v>
      </c>
      <c r="R9" s="206"/>
      <c r="S9" s="207">
        <v>3</v>
      </c>
      <c r="T9" s="207">
        <v>3</v>
      </c>
      <c r="U9" s="207">
        <v>3</v>
      </c>
      <c r="V9" s="207">
        <v>3</v>
      </c>
      <c r="W9" s="205">
        <v>44190</v>
      </c>
      <c r="X9" s="205"/>
      <c r="Y9" s="208">
        <v>-31553</v>
      </c>
      <c r="Z9" s="209">
        <v>0</v>
      </c>
      <c r="AA9" s="207">
        <v>1</v>
      </c>
      <c r="AB9" s="206" t="s">
        <v>1579</v>
      </c>
      <c r="AC9" s="210"/>
      <c r="AD9" s="211">
        <v>1</v>
      </c>
      <c r="AE9" s="213">
        <v>1</v>
      </c>
      <c r="AF9" s="190"/>
      <c r="AG9" s="191"/>
      <c r="AH9" s="191"/>
      <c r="AI9" s="191"/>
      <c r="AJ9" s="191" t="str">
        <f>"" &amp; TEXT(AE9,"#0.00%") &amp; " " &amp; "플레이어 WASD 조작" &amp; "(권성빈)" &amp; " " &amp; IF(P9="","",TEXT(P9,"M/D-")) &amp; IF(Q9="","",TEXT(Q9,"M/D")) &amp; " "</f>
        <v xml:space="preserve">100.00% 플레이어 WASD 조작(권성빈) 12/22-12/25 </v>
      </c>
      <c r="AK9" s="191"/>
      <c r="AL9" s="191"/>
      <c r="AM9" s="191"/>
      <c r="AN9" s="191"/>
      <c r="AO9" s="191"/>
    </row>
    <row r="10" spans="1:94" ht="12" customHeight="1" outlineLevel="4">
      <c r="A10" s="203"/>
      <c r="B10" s="203"/>
      <c r="C10" s="203">
        <v>5</v>
      </c>
      <c r="D10" s="214" t="s">
        <v>1577</v>
      </c>
      <c r="E10" s="204"/>
      <c r="F10" s="204"/>
      <c r="G10" s="204"/>
      <c r="H10" s="204"/>
      <c r="I10" s="204" t="s">
        <v>1576</v>
      </c>
      <c r="J10" s="204"/>
      <c r="K10" s="204"/>
      <c r="L10" s="204"/>
      <c r="M10" s="204"/>
      <c r="N10" s="204"/>
      <c r="O10" s="204"/>
      <c r="P10" s="205">
        <v>44564</v>
      </c>
      <c r="Q10" s="205">
        <v>44566</v>
      </c>
      <c r="R10" s="206"/>
      <c r="S10" s="207">
        <v>3</v>
      </c>
      <c r="T10" s="207">
        <v>3</v>
      </c>
      <c r="U10" s="207">
        <v>3</v>
      </c>
      <c r="V10" s="207">
        <v>3</v>
      </c>
      <c r="W10" s="205"/>
      <c r="X10" s="205"/>
      <c r="Y10" s="208"/>
      <c r="Z10" s="209">
        <v>0</v>
      </c>
      <c r="AA10" s="207"/>
      <c r="AB10" s="206" t="s">
        <v>1579</v>
      </c>
      <c r="AC10" s="210"/>
      <c r="AD10" s="211">
        <v>1</v>
      </c>
      <c r="AE10" s="213">
        <v>1</v>
      </c>
      <c r="AF10" s="190"/>
      <c r="AG10" s="191"/>
      <c r="AH10" s="191"/>
      <c r="AI10" s="191"/>
      <c r="AJ10" s="191"/>
      <c r="AK10" s="191" t="str">
        <f>"    " &amp; TEXT(AE10,"#0.00%") &amp; " " &amp; "플레이어 마우스 시점 조작" &amp; "(권성빈)" &amp; " " &amp; IF(P10="","",TEXT(P10,"M/D-")) &amp; IF(Q10="","",TEXT(Q10,"M/D")) &amp; " "</f>
        <v xml:space="preserve">    100.00% 플레이어 마우스 시점 조작(권성빈) 1/3-1/5 </v>
      </c>
      <c r="AL10" s="191"/>
      <c r="AM10" s="191"/>
      <c r="AN10" s="191"/>
      <c r="AO10" s="191"/>
    </row>
    <row r="11" spans="1:94" ht="12" customHeight="1" outlineLevel="3">
      <c r="A11" s="203">
        <v>1</v>
      </c>
      <c r="B11" s="203" t="s">
        <v>1570</v>
      </c>
      <c r="C11" s="203">
        <v>4</v>
      </c>
      <c r="D11" s="214" t="s">
        <v>1573</v>
      </c>
      <c r="E11" s="204"/>
      <c r="F11" s="204"/>
      <c r="G11" s="204"/>
      <c r="H11" s="204" t="s">
        <v>1568</v>
      </c>
      <c r="I11" s="204"/>
      <c r="J11" s="204"/>
      <c r="K11" s="204"/>
      <c r="L11" s="204"/>
      <c r="M11" s="204"/>
      <c r="N11" s="204"/>
      <c r="O11" s="204"/>
      <c r="P11" s="205">
        <v>44558</v>
      </c>
      <c r="Q11" s="205">
        <v>44573</v>
      </c>
      <c r="R11" s="206"/>
      <c r="S11" s="207">
        <v>19</v>
      </c>
      <c r="T11" s="207">
        <v>19</v>
      </c>
      <c r="U11" s="207">
        <v>12</v>
      </c>
      <c r="V11" s="207">
        <v>12</v>
      </c>
      <c r="W11" s="205"/>
      <c r="X11" s="205"/>
      <c r="Y11" s="208">
        <v>0</v>
      </c>
      <c r="Z11" s="209">
        <v>0</v>
      </c>
      <c r="AA11" s="207"/>
      <c r="AB11" s="206"/>
      <c r="AC11" s="210"/>
      <c r="AD11" s="211">
        <v>1</v>
      </c>
      <c r="AE11" s="247">
        <v>1</v>
      </c>
      <c r="AF11" s="190"/>
      <c r="AG11" s="191"/>
      <c r="AH11" s="191"/>
      <c r="AI11" s="191"/>
      <c r="AJ11" s="191" t="str">
        <f>"      " &amp; TEXT(AE11,"#0.00%") &amp; " " &amp; "플레이어 상호작용 관련" &amp; " " &amp; IF(P11="","",TEXT(P11,"M/D-")) &amp; IF(Q11="","",TEXT(Q11,"M/D")) &amp; " "</f>
        <v xml:space="preserve">      100.00% 플레이어 상호작용 관련 12/28-1/12 </v>
      </c>
      <c r="AK11" s="191"/>
      <c r="AL11" s="191"/>
      <c r="AM11" s="191"/>
      <c r="AN11" s="191"/>
      <c r="AO11" s="191"/>
    </row>
    <row r="12" spans="1:94" ht="12" customHeight="1" outlineLevel="4">
      <c r="A12" s="203"/>
      <c r="B12" s="203" t="s">
        <v>1570</v>
      </c>
      <c r="C12" s="203">
        <v>5</v>
      </c>
      <c r="D12" s="214" t="s">
        <v>1574</v>
      </c>
      <c r="E12" s="204"/>
      <c r="F12" s="204"/>
      <c r="G12" s="204"/>
      <c r="H12" s="204"/>
      <c r="I12" s="204" t="s">
        <v>1578</v>
      </c>
      <c r="J12" s="204"/>
      <c r="K12" s="204"/>
      <c r="L12" s="204"/>
      <c r="M12" s="204"/>
      <c r="N12" s="204"/>
      <c r="O12" s="204"/>
      <c r="P12" s="205">
        <v>44558</v>
      </c>
      <c r="Q12" s="205">
        <v>44562</v>
      </c>
      <c r="R12" s="206"/>
      <c r="S12" s="207">
        <v>4</v>
      </c>
      <c r="T12" s="207">
        <v>4</v>
      </c>
      <c r="U12" s="207">
        <v>4</v>
      </c>
      <c r="V12" s="207">
        <v>4</v>
      </c>
      <c r="W12" s="205"/>
      <c r="X12" s="205"/>
      <c r="Y12" s="208">
        <v>0</v>
      </c>
      <c r="Z12" s="209">
        <v>0</v>
      </c>
      <c r="AA12" s="207"/>
      <c r="AB12" s="206" t="s">
        <v>1579</v>
      </c>
      <c r="AC12" s="210"/>
      <c r="AD12" s="211">
        <v>1</v>
      </c>
      <c r="AE12" s="247">
        <v>1</v>
      </c>
      <c r="AF12" s="190"/>
      <c r="AG12" s="191"/>
      <c r="AH12" s="191"/>
      <c r="AI12" s="191"/>
      <c r="AJ12" s="191"/>
      <c r="AK12" s="191" t="str">
        <f>"" &amp; TEXT(AE12,"#0.00%") &amp; " " &amp; "오브젝트 아웃라인 관련 구현" &amp; "(권성빈)" &amp; " " &amp; IF(P12="","",TEXT(P12,"M/D-")) &amp; IF(Q12="","",TEXT(Q12,"M/D")) &amp; " "</f>
        <v xml:space="preserve">100.00% 오브젝트 아웃라인 관련 구현(권성빈) 12/28-1/1 </v>
      </c>
      <c r="AL12" s="191"/>
      <c r="AM12" s="191"/>
      <c r="AN12" s="191"/>
      <c r="AO12" s="191"/>
    </row>
    <row r="13" spans="1:94" ht="12" customHeight="1" outlineLevel="5">
      <c r="A13" s="203"/>
      <c r="B13" s="203"/>
      <c r="C13" s="203">
        <v>6</v>
      </c>
      <c r="D13" s="214" t="s">
        <v>1648</v>
      </c>
      <c r="E13" s="204"/>
      <c r="F13" s="204"/>
      <c r="G13" s="204"/>
      <c r="H13" s="204"/>
      <c r="I13" s="204"/>
      <c r="J13" s="204" t="s">
        <v>1647</v>
      </c>
      <c r="K13" s="204"/>
      <c r="L13" s="204"/>
      <c r="M13" s="204"/>
      <c r="N13" s="204"/>
      <c r="O13" s="204"/>
      <c r="P13" s="205">
        <v>44558</v>
      </c>
      <c r="Q13" s="205">
        <v>44562</v>
      </c>
      <c r="R13" s="206"/>
      <c r="S13" s="207">
        <v>4</v>
      </c>
      <c r="T13" s="207">
        <v>4</v>
      </c>
      <c r="U13" s="207">
        <v>4</v>
      </c>
      <c r="V13" s="207">
        <v>4</v>
      </c>
      <c r="W13" s="205"/>
      <c r="X13" s="205"/>
      <c r="Y13" s="208"/>
      <c r="Z13" s="209">
        <v>0</v>
      </c>
      <c r="AA13" s="207"/>
      <c r="AB13" s="206" t="s">
        <v>1579</v>
      </c>
      <c r="AC13" s="210"/>
      <c r="AD13" s="211">
        <v>1</v>
      </c>
      <c r="AE13" s="213">
        <v>1</v>
      </c>
      <c r="AF13" s="190"/>
      <c r="AG13" s="191"/>
      <c r="AH13" s="191"/>
      <c r="AI13" s="191"/>
      <c r="AJ13" s="191"/>
      <c r="AK13" s="191" t="str">
        <f>"" &amp; TEXT(AE13,"#0.00%") &amp; " " &amp; "플레이어의 상호작용 구현" &amp; "(권성빈)" &amp; " " &amp; IF(P13="","",TEXT(P13,"M/D-")) &amp; IF(Q13="","",TEXT(Q13,"M/D")) &amp; " "</f>
        <v xml:space="preserve">100.00% 플레이어의 상호작용 구현(권성빈) 12/28-1/1 </v>
      </c>
      <c r="AL13" s="191"/>
      <c r="AM13" s="191"/>
      <c r="AN13" s="191"/>
      <c r="AO13" s="191"/>
    </row>
    <row r="14" spans="1:94" ht="12" customHeight="1" outlineLevel="4">
      <c r="A14" s="203"/>
      <c r="B14" s="203"/>
      <c r="C14" s="203">
        <v>5</v>
      </c>
      <c r="D14" s="214" t="s">
        <v>1582</v>
      </c>
      <c r="E14" s="204"/>
      <c r="F14" s="204"/>
      <c r="G14" s="204"/>
      <c r="H14" s="204"/>
      <c r="I14" s="204" t="s">
        <v>1569</v>
      </c>
      <c r="J14" s="204"/>
      <c r="K14" s="204"/>
      <c r="L14" s="204"/>
      <c r="M14" s="204"/>
      <c r="N14" s="204"/>
      <c r="O14" s="204"/>
      <c r="P14" s="205">
        <v>44558</v>
      </c>
      <c r="Q14" s="205">
        <v>44564</v>
      </c>
      <c r="R14" s="206"/>
      <c r="S14" s="207">
        <v>5</v>
      </c>
      <c r="T14" s="207">
        <v>5</v>
      </c>
      <c r="U14" s="207">
        <v>5</v>
      </c>
      <c r="V14" s="207">
        <v>5</v>
      </c>
      <c r="W14" s="205"/>
      <c r="X14" s="205"/>
      <c r="Y14" s="208"/>
      <c r="Z14" s="209">
        <v>0</v>
      </c>
      <c r="AA14" s="207"/>
      <c r="AB14" s="206" t="s">
        <v>1580</v>
      </c>
      <c r="AC14" s="210"/>
      <c r="AD14" s="211">
        <v>1</v>
      </c>
      <c r="AE14" s="213">
        <v>1</v>
      </c>
      <c r="AF14" s="190"/>
      <c r="AG14" s="191"/>
      <c r="AH14" s="191"/>
      <c r="AI14" s="191"/>
      <c r="AJ14" s="191"/>
      <c r="AK14" s="191" t="str">
        <f>"  " &amp; TEXT(AE14,"#0.00%") &amp; " " &amp; "수집 오브젝트" &amp; "(박광현)" &amp; " " &amp; IF(P14="","",TEXT(P14,"M/D-")) &amp; IF(Q14="","",TEXT(Q14,"M/D")) &amp; " "</f>
        <v xml:space="preserve">  100.00% 수집 오브젝트(박광현) 12/28-1/3 </v>
      </c>
      <c r="AL14" s="191"/>
      <c r="AM14" s="191"/>
      <c r="AN14" s="191"/>
      <c r="AO14" s="191"/>
    </row>
    <row r="15" spans="1:94" ht="12" customHeight="1" outlineLevel="4">
      <c r="A15" s="203"/>
      <c r="B15" s="203"/>
      <c r="C15" s="203">
        <v>5</v>
      </c>
      <c r="D15" s="214" t="s">
        <v>1612</v>
      </c>
      <c r="E15" s="204"/>
      <c r="F15" s="204"/>
      <c r="G15" s="204"/>
      <c r="H15" s="204"/>
      <c r="I15" s="204" t="s">
        <v>1611</v>
      </c>
      <c r="J15" s="204"/>
      <c r="K15" s="204"/>
      <c r="L15" s="204"/>
      <c r="M15" s="204"/>
      <c r="N15" s="204"/>
      <c r="O15" s="204"/>
      <c r="P15" s="205">
        <v>44565</v>
      </c>
      <c r="Q15" s="205">
        <v>44571</v>
      </c>
      <c r="R15" s="206"/>
      <c r="S15" s="207">
        <v>5</v>
      </c>
      <c r="T15" s="207">
        <v>5</v>
      </c>
      <c r="U15" s="207">
        <v>5</v>
      </c>
      <c r="V15" s="207">
        <v>5</v>
      </c>
      <c r="W15" s="205"/>
      <c r="X15" s="205"/>
      <c r="Y15" s="208"/>
      <c r="Z15" s="209">
        <v>0</v>
      </c>
      <c r="AA15" s="207"/>
      <c r="AB15" s="206" t="s">
        <v>1580</v>
      </c>
      <c r="AC15" s="210"/>
      <c r="AD15" s="211">
        <v>1</v>
      </c>
      <c r="AE15" s="213">
        <v>1</v>
      </c>
      <c r="AF15" s="190"/>
      <c r="AG15" s="191"/>
      <c r="AH15" s="191"/>
      <c r="AI15" s="191"/>
      <c r="AJ15" s="191"/>
      <c r="AK15" s="191"/>
      <c r="AL15" s="191" t="str">
        <f>"  " &amp; TEXT(AE15,"#0.00%") &amp; " " &amp; "플레이어 수집물 인벤토리 구현" &amp; "(박광현)" &amp; " " &amp; IF(P15="","",TEXT(P15,"M/D-")) &amp; IF(Q15="","",TEXT(Q15,"M/D")) &amp; " "</f>
        <v xml:space="preserve">  100.00% 플레이어 수집물 인벤토리 구현(박광현) 1/4-1/10 </v>
      </c>
      <c r="AM15" s="191"/>
      <c r="AN15" s="191"/>
      <c r="AO15" s="191"/>
    </row>
    <row r="16" spans="1:94" ht="12" customHeight="1" outlineLevel="4">
      <c r="A16" s="203"/>
      <c r="B16" s="203"/>
      <c r="C16" s="203">
        <v>5</v>
      </c>
      <c r="D16" s="214" t="s">
        <v>1733</v>
      </c>
      <c r="E16" s="204"/>
      <c r="F16" s="204"/>
      <c r="G16" s="204"/>
      <c r="H16" s="204"/>
      <c r="I16" s="204" t="s">
        <v>1732</v>
      </c>
      <c r="J16" s="204"/>
      <c r="K16" s="204"/>
      <c r="L16" s="204"/>
      <c r="M16" s="204"/>
      <c r="N16" s="204"/>
      <c r="O16" s="204"/>
      <c r="P16" s="205">
        <v>44567</v>
      </c>
      <c r="Q16" s="205">
        <v>44573</v>
      </c>
      <c r="R16" s="206"/>
      <c r="S16" s="207">
        <v>5</v>
      </c>
      <c r="T16" s="207">
        <v>5</v>
      </c>
      <c r="U16" s="207">
        <v>5</v>
      </c>
      <c r="V16" s="207">
        <v>5</v>
      </c>
      <c r="W16" s="205"/>
      <c r="X16" s="205"/>
      <c r="Y16" s="208"/>
      <c r="Z16" s="209">
        <v>0</v>
      </c>
      <c r="AA16" s="207"/>
      <c r="AB16" s="206" t="s">
        <v>1580</v>
      </c>
      <c r="AC16" s="210"/>
      <c r="AD16" s="211">
        <v>1</v>
      </c>
      <c r="AE16" s="213">
        <v>1</v>
      </c>
      <c r="AF16" s="190"/>
      <c r="AG16" s="191"/>
      <c r="AH16" s="191"/>
      <c r="AI16" s="191"/>
      <c r="AJ16" s="191"/>
      <c r="AK16" s="191"/>
      <c r="AL16" s="191" t="str">
        <f>"    " &amp; TEXT(AE16,"#0.00%") &amp; " " &amp; "인벤토리 새로운 기획에 맞춰 구현" &amp; "(박광현)" &amp; " " &amp; IF(P16="","",TEXT(P16,"M/D-")) &amp; IF(Q16="","",TEXT(Q16,"M/D")) &amp; " "</f>
        <v xml:space="preserve">    100.00% 인벤토리 새로운 기획에 맞춰 구현(박광현) 1/6-1/12 </v>
      </c>
      <c r="AM16" s="191"/>
      <c r="AN16" s="191"/>
      <c r="AO16" s="191"/>
    </row>
    <row r="17" spans="1:41" ht="12" customHeight="1" outlineLevel="3">
      <c r="A17" s="203"/>
      <c r="B17" s="203" t="s">
        <v>1570</v>
      </c>
      <c r="C17" s="203">
        <v>4</v>
      </c>
      <c r="D17" s="214" t="s">
        <v>1635</v>
      </c>
      <c r="E17" s="204"/>
      <c r="F17" s="204"/>
      <c r="G17" s="204"/>
      <c r="H17" s="204" t="s">
        <v>1634</v>
      </c>
      <c r="I17" s="204"/>
      <c r="J17" s="204"/>
      <c r="K17" s="204"/>
      <c r="L17" s="204"/>
      <c r="M17" s="204"/>
      <c r="N17" s="204"/>
      <c r="O17" s="204"/>
      <c r="P17" s="205">
        <v>44558</v>
      </c>
      <c r="Q17" s="205">
        <v>44577</v>
      </c>
      <c r="R17" s="206"/>
      <c r="S17" s="207">
        <v>15</v>
      </c>
      <c r="T17" s="207">
        <v>15</v>
      </c>
      <c r="U17" s="207">
        <v>14</v>
      </c>
      <c r="V17" s="207">
        <v>14</v>
      </c>
      <c r="W17" s="205"/>
      <c r="X17" s="205"/>
      <c r="Y17" s="208">
        <v>0</v>
      </c>
      <c r="Z17" s="209">
        <v>0</v>
      </c>
      <c r="AA17" s="207"/>
      <c r="AB17" s="206"/>
      <c r="AC17" s="210"/>
      <c r="AD17" s="211">
        <v>1</v>
      </c>
      <c r="AE17" s="247">
        <v>1</v>
      </c>
      <c r="AF17" s="190"/>
      <c r="AG17" s="191"/>
      <c r="AH17" s="191"/>
      <c r="AI17" s="191"/>
      <c r="AJ17" s="191"/>
      <c r="AK17" s="191"/>
      <c r="AL17" s="191"/>
      <c r="AM17" s="191" t="str">
        <f>" " &amp; TEXT(AE17,"#0.00%") &amp; " " &amp; "퍼즐 관련 개발" &amp; " " &amp; IF(P17="","",TEXT(P17,"M/D-")) &amp; IF(Q17="","",TEXT(Q17,"M/D")) &amp; " "</f>
        <v xml:space="preserve"> 100.00% 퍼즐 관련 개발 12/28-1/16 </v>
      </c>
      <c r="AN17" s="191"/>
      <c r="AO17" s="191"/>
    </row>
    <row r="18" spans="1:41" ht="12" customHeight="1" outlineLevel="4">
      <c r="A18" s="203"/>
      <c r="B18" s="203" t="s">
        <v>1570</v>
      </c>
      <c r="C18" s="203">
        <v>5</v>
      </c>
      <c r="D18" s="214" t="s">
        <v>1637</v>
      </c>
      <c r="E18" s="204"/>
      <c r="F18" s="204"/>
      <c r="G18" s="204"/>
      <c r="H18" s="204"/>
      <c r="I18" s="204" t="s">
        <v>1636</v>
      </c>
      <c r="J18" s="204"/>
      <c r="K18" s="204"/>
      <c r="L18" s="204"/>
      <c r="M18" s="204"/>
      <c r="N18" s="204"/>
      <c r="O18" s="204"/>
      <c r="P18" s="205">
        <v>44558</v>
      </c>
      <c r="Q18" s="205">
        <v>44577</v>
      </c>
      <c r="R18" s="206"/>
      <c r="S18" s="207">
        <v>15</v>
      </c>
      <c r="T18" s="207">
        <v>15</v>
      </c>
      <c r="U18" s="207">
        <v>14</v>
      </c>
      <c r="V18" s="207">
        <v>14</v>
      </c>
      <c r="W18" s="205"/>
      <c r="X18" s="205"/>
      <c r="Y18" s="208">
        <v>0</v>
      </c>
      <c r="Z18" s="209">
        <v>0</v>
      </c>
      <c r="AA18" s="207"/>
      <c r="AB18" s="206" t="s">
        <v>1581</v>
      </c>
      <c r="AC18" s="210"/>
      <c r="AD18" s="211">
        <v>1</v>
      </c>
      <c r="AE18" s="247">
        <v>1</v>
      </c>
      <c r="AF18" s="190"/>
      <c r="AG18" s="191"/>
      <c r="AH18" s="191"/>
      <c r="AI18" s="191"/>
      <c r="AJ18" s="191"/>
      <c r="AK18" s="191"/>
      <c r="AL18" s="191"/>
      <c r="AM18" s="191" t="str">
        <f>" " &amp; TEXT(AE18,"#0.00%") &amp; " " &amp; "3D 러시아워 퍼즐 개발" &amp; "(김 건)" &amp; " " &amp; IF(P18="","",TEXT(P18,"M/D-")) &amp; IF(Q18="","",TEXT(Q18,"M/D")) &amp; " "</f>
        <v xml:space="preserve"> 100.00% 3D 러시아워 퍼즐 개발(김 건) 12/28-1/16 </v>
      </c>
      <c r="AN18" s="191"/>
      <c r="AO18" s="191"/>
    </row>
    <row r="19" spans="1:41" ht="12" customHeight="1" outlineLevel="5">
      <c r="A19" s="203"/>
      <c r="B19" s="203"/>
      <c r="C19" s="203">
        <v>6</v>
      </c>
      <c r="D19" s="214" t="s">
        <v>1650</v>
      </c>
      <c r="E19" s="204"/>
      <c r="F19" s="204"/>
      <c r="G19" s="204"/>
      <c r="H19" s="204"/>
      <c r="I19" s="204"/>
      <c r="J19" s="204" t="s">
        <v>1659</v>
      </c>
      <c r="K19" s="204"/>
      <c r="L19" s="204"/>
      <c r="M19" s="204"/>
      <c r="N19" s="204"/>
      <c r="O19" s="204"/>
      <c r="P19" s="205">
        <v>44558</v>
      </c>
      <c r="Q19" s="205">
        <v>44571</v>
      </c>
      <c r="R19" s="206"/>
      <c r="S19" s="207">
        <v>10</v>
      </c>
      <c r="T19" s="207">
        <v>10</v>
      </c>
      <c r="U19" s="207">
        <v>10</v>
      </c>
      <c r="V19" s="207">
        <v>10</v>
      </c>
      <c r="W19" s="205"/>
      <c r="X19" s="205"/>
      <c r="Y19" s="208"/>
      <c r="Z19" s="209">
        <v>0</v>
      </c>
      <c r="AA19" s="207"/>
      <c r="AB19" s="206" t="s">
        <v>1581</v>
      </c>
      <c r="AC19" s="210"/>
      <c r="AD19" s="211">
        <v>1</v>
      </c>
      <c r="AE19" s="213">
        <v>1</v>
      </c>
      <c r="AF19" s="190"/>
      <c r="AG19" s="191"/>
      <c r="AH19" s="191"/>
      <c r="AI19" s="191"/>
      <c r="AJ19" s="191"/>
      <c r="AK19" s="191"/>
      <c r="AL19" s="191" t="str">
        <f>"  " &amp; TEXT(AE19,"#0.00%") &amp; " " &amp; "플레이어 입력 반영" &amp; "(김 건)" &amp; " " &amp; IF(P19="","",TEXT(P19,"M/D-")) &amp; IF(Q19="","",TEXT(Q19,"M/D")) &amp; " "</f>
        <v xml:space="preserve">  100.00% 플레이어 입력 반영(김 건) 12/28-1/10 </v>
      </c>
      <c r="AM19" s="191"/>
      <c r="AN19" s="191"/>
      <c r="AO19" s="191"/>
    </row>
    <row r="20" spans="1:41" ht="12" customHeight="1" outlineLevel="5">
      <c r="A20" s="203"/>
      <c r="B20" s="203"/>
      <c r="C20" s="203">
        <v>6</v>
      </c>
      <c r="D20" s="214" t="s">
        <v>1652</v>
      </c>
      <c r="E20" s="204"/>
      <c r="F20" s="204"/>
      <c r="G20" s="204"/>
      <c r="H20" s="204"/>
      <c r="I20" s="204"/>
      <c r="J20" s="204" t="s">
        <v>1649</v>
      </c>
      <c r="K20" s="204"/>
      <c r="L20" s="204"/>
      <c r="M20" s="204"/>
      <c r="N20" s="204"/>
      <c r="O20" s="204"/>
      <c r="P20" s="205">
        <v>44558</v>
      </c>
      <c r="Q20" s="205">
        <v>44564</v>
      </c>
      <c r="R20" s="206"/>
      <c r="S20" s="207">
        <v>5</v>
      </c>
      <c r="T20" s="207">
        <v>5</v>
      </c>
      <c r="U20" s="207">
        <v>5</v>
      </c>
      <c r="V20" s="207">
        <v>5</v>
      </c>
      <c r="W20" s="205"/>
      <c r="X20" s="205"/>
      <c r="Y20" s="208"/>
      <c r="Z20" s="209">
        <v>0</v>
      </c>
      <c r="AA20" s="207"/>
      <c r="AB20" s="206" t="s">
        <v>1581</v>
      </c>
      <c r="AC20" s="210"/>
      <c r="AD20" s="211">
        <v>1</v>
      </c>
      <c r="AE20" s="213">
        <v>1</v>
      </c>
      <c r="AF20" s="190"/>
      <c r="AG20" s="191"/>
      <c r="AH20" s="191"/>
      <c r="AI20" s="191"/>
      <c r="AJ20" s="191"/>
      <c r="AK20" s="191" t="str">
        <f>"  " &amp; TEXT(AE20,"#0.00%") &amp; " " &amp; "3D 큐브로 프로토타입 개발" &amp; "(김 건)" &amp; " " &amp; IF(P20="","",TEXT(P20,"M/D-")) &amp; IF(Q20="","",TEXT(Q20,"M/D")) &amp; " "</f>
        <v xml:space="preserve">  100.00% 3D 큐브로 프로토타입 개발(김 건) 12/28-1/3 </v>
      </c>
      <c r="AL20" s="191"/>
      <c r="AM20" s="191"/>
      <c r="AN20" s="191"/>
      <c r="AO20" s="191"/>
    </row>
    <row r="21" spans="1:41" ht="12" customHeight="1" outlineLevel="5">
      <c r="A21" s="203"/>
      <c r="B21" s="203"/>
      <c r="C21" s="203">
        <v>6</v>
      </c>
      <c r="D21" s="214" t="s">
        <v>1660</v>
      </c>
      <c r="E21" s="204"/>
      <c r="F21" s="204"/>
      <c r="G21" s="204"/>
      <c r="H21" s="204"/>
      <c r="I21" s="204"/>
      <c r="J21" s="204" t="s">
        <v>1651</v>
      </c>
      <c r="K21" s="204"/>
      <c r="L21" s="204"/>
      <c r="M21" s="204"/>
      <c r="N21" s="204"/>
      <c r="O21" s="204"/>
      <c r="P21" s="205">
        <v>44576</v>
      </c>
      <c r="Q21" s="205">
        <v>44577</v>
      </c>
      <c r="R21" s="206"/>
      <c r="S21" s="207">
        <v>0</v>
      </c>
      <c r="T21" s="207">
        <v>0</v>
      </c>
      <c r="U21" s="207">
        <v>0</v>
      </c>
      <c r="V21" s="207">
        <v>0</v>
      </c>
      <c r="W21" s="205"/>
      <c r="X21" s="205"/>
      <c r="Y21" s="208"/>
      <c r="Z21" s="209">
        <v>0</v>
      </c>
      <c r="AA21" s="207"/>
      <c r="AB21" s="206" t="s">
        <v>1581</v>
      </c>
      <c r="AC21" s="210"/>
      <c r="AD21" s="211">
        <v>0</v>
      </c>
      <c r="AE21" s="213">
        <v>0</v>
      </c>
      <c r="AF21" s="190"/>
      <c r="AG21" s="191"/>
      <c r="AH21" s="191"/>
      <c r="AI21" s="191"/>
      <c r="AJ21" s="191"/>
      <c r="AK21" s="191"/>
      <c r="AL21" s="191" t="str">
        <f>"      " &amp; TEXT(AE21,"#0.00%") &amp; " " &amp; "모델링 된 모델 적용" &amp; "(김 건)" &amp; " " &amp; IF(P21="","",TEXT(P21,"M/D-")) &amp; IF(Q21="","",TEXT(Q21,"M/D")) &amp; " "</f>
        <v xml:space="preserve">      0.00% 모델링 된 모델 적용(김 건) 1/15-1/16 </v>
      </c>
      <c r="AM21" s="191"/>
      <c r="AN21" s="191"/>
      <c r="AO21" s="191"/>
    </row>
    <row r="22" spans="1:41" ht="12" customHeight="1" outlineLevel="2">
      <c r="A22" s="203"/>
      <c r="B22" s="203" t="s">
        <v>1570</v>
      </c>
      <c r="C22" s="203">
        <v>3</v>
      </c>
      <c r="D22" s="214" t="s">
        <v>1083</v>
      </c>
      <c r="E22" s="204"/>
      <c r="F22" s="204"/>
      <c r="G22" s="204" t="s">
        <v>1613</v>
      </c>
      <c r="H22" s="204"/>
      <c r="I22" s="204"/>
      <c r="J22" s="204"/>
      <c r="K22" s="204"/>
      <c r="L22" s="204"/>
      <c r="M22" s="204"/>
      <c r="N22" s="204"/>
      <c r="O22" s="204"/>
      <c r="P22" s="205">
        <v>44558</v>
      </c>
      <c r="Q22" s="205">
        <v>44579</v>
      </c>
      <c r="R22" s="206"/>
      <c r="S22" s="207">
        <v>27</v>
      </c>
      <c r="T22" s="207">
        <v>27</v>
      </c>
      <c r="U22" s="207">
        <v>16</v>
      </c>
      <c r="V22" s="207">
        <v>16</v>
      </c>
      <c r="W22" s="205"/>
      <c r="X22" s="205"/>
      <c r="Y22" s="208">
        <v>0</v>
      </c>
      <c r="Z22" s="209">
        <v>0</v>
      </c>
      <c r="AA22" s="207"/>
      <c r="AB22" s="206"/>
      <c r="AC22" s="210"/>
      <c r="AD22" s="211">
        <v>1</v>
      </c>
      <c r="AE22" s="251">
        <v>0.9111111111111112</v>
      </c>
      <c r="AF22" s="190"/>
      <c r="AG22" s="191"/>
      <c r="AH22" s="191"/>
      <c r="AI22" s="191"/>
      <c r="AJ22" s="191"/>
      <c r="AK22" s="191"/>
      <c r="AL22" s="191"/>
      <c r="AM22" s="191" t="str">
        <f>" " &amp; TEXT(AE22,"#0.00%") &amp; " " &amp; "UI 관련" &amp; " " &amp; IF(P22="","",TEXT(P22,"M/D-")) &amp; IF(Q22="","",TEXT(Q22,"M/D")) &amp; " "</f>
        <v xml:space="preserve"> 91.11% UI 관련 12/28-1/18 </v>
      </c>
      <c r="AN22" s="191"/>
      <c r="AO22" s="191"/>
    </row>
    <row r="23" spans="1:41" ht="12" customHeight="1" outlineLevel="3">
      <c r="A23" s="203"/>
      <c r="B23" s="203" t="s">
        <v>1570</v>
      </c>
      <c r="C23" s="203">
        <v>4</v>
      </c>
      <c r="D23" s="214" t="s">
        <v>1451</v>
      </c>
      <c r="E23" s="204"/>
      <c r="F23" s="204"/>
      <c r="G23" s="204"/>
      <c r="H23" s="204" t="s">
        <v>1631</v>
      </c>
      <c r="I23" s="204"/>
      <c r="J23" s="204"/>
      <c r="K23" s="204"/>
      <c r="L23" s="204"/>
      <c r="M23" s="204"/>
      <c r="N23" s="204"/>
      <c r="O23" s="204"/>
      <c r="P23" s="205">
        <v>44558</v>
      </c>
      <c r="Q23" s="205">
        <v>44576</v>
      </c>
      <c r="R23" s="206"/>
      <c r="S23" s="207">
        <v>15</v>
      </c>
      <c r="T23" s="207">
        <v>15</v>
      </c>
      <c r="U23" s="207">
        <v>14</v>
      </c>
      <c r="V23" s="207">
        <v>14</v>
      </c>
      <c r="W23" s="205"/>
      <c r="X23" s="205"/>
      <c r="Y23" s="208">
        <v>0</v>
      </c>
      <c r="Z23" s="209">
        <v>0</v>
      </c>
      <c r="AA23" s="207"/>
      <c r="AB23" s="206"/>
      <c r="AC23" s="210"/>
      <c r="AD23" s="211">
        <v>1</v>
      </c>
      <c r="AE23" s="247">
        <v>1</v>
      </c>
      <c r="AF23" s="190"/>
      <c r="AG23" s="191"/>
      <c r="AH23" s="191"/>
      <c r="AI23" s="191"/>
      <c r="AJ23" s="191"/>
      <c r="AK23" s="191"/>
      <c r="AL23" s="191"/>
      <c r="AM23" s="191" t="str">
        <f>"" &amp; TEXT(AE23,"#0.00%") &amp; " " &amp; "타이틀 화면 UI" &amp; " " &amp; IF(P23="","",TEXT(P23,"M/D-")) &amp; IF(Q23="","",TEXT(Q23,"M/D")) &amp; " "</f>
        <v xml:space="preserve">100.00% 타이틀 화면 UI 12/28-1/15 </v>
      </c>
      <c r="AN23" s="191"/>
      <c r="AO23" s="191"/>
    </row>
    <row r="24" spans="1:41" ht="12" customHeight="1" outlineLevel="4">
      <c r="A24" s="203"/>
      <c r="B24" s="203"/>
      <c r="C24" s="203">
        <v>5</v>
      </c>
      <c r="D24" s="214" t="s">
        <v>1633</v>
      </c>
      <c r="E24" s="204"/>
      <c r="F24" s="204"/>
      <c r="G24" s="204"/>
      <c r="H24" s="204"/>
      <c r="I24" s="204" t="s">
        <v>1632</v>
      </c>
      <c r="J24" s="204"/>
      <c r="K24" s="204"/>
      <c r="L24" s="204"/>
      <c r="M24" s="204"/>
      <c r="N24" s="204"/>
      <c r="O24" s="204"/>
      <c r="P24" s="205">
        <v>44558</v>
      </c>
      <c r="Q24" s="205">
        <v>44571</v>
      </c>
      <c r="R24" s="206"/>
      <c r="S24" s="207">
        <v>10</v>
      </c>
      <c r="T24" s="207">
        <v>10</v>
      </c>
      <c r="U24" s="207">
        <v>10</v>
      </c>
      <c r="V24" s="207">
        <v>10</v>
      </c>
      <c r="W24" s="205"/>
      <c r="X24" s="205"/>
      <c r="Y24" s="208"/>
      <c r="Z24" s="209">
        <v>0</v>
      </c>
      <c r="AA24" s="207"/>
      <c r="AB24" s="206" t="s">
        <v>1580</v>
      </c>
      <c r="AC24" s="210"/>
      <c r="AD24" s="211">
        <v>1</v>
      </c>
      <c r="AE24" s="213">
        <v>1</v>
      </c>
      <c r="AF24" s="190"/>
      <c r="AG24" s="191"/>
      <c r="AH24" s="191"/>
      <c r="AI24" s="191"/>
      <c r="AJ24" s="191"/>
      <c r="AK24" s="191"/>
      <c r="AL24" s="191" t="str">
        <f>"  " &amp; TEXT(AE24,"#0.00%") &amp; " " &amp; "게임 플레이로 이동" &amp; "(박광현)" &amp; " " &amp; IF(P24="","",TEXT(P24,"M/D-")) &amp; IF(Q24="","",TEXT(Q24,"M/D")) &amp; " "</f>
        <v xml:space="preserve">  100.00% 게임 플레이로 이동(박광현) 12/28-1/10 </v>
      </c>
      <c r="AM24" s="191"/>
      <c r="AN24" s="191"/>
      <c r="AO24" s="191"/>
    </row>
    <row r="25" spans="1:41" ht="12" customHeight="1" outlineLevel="4">
      <c r="A25" s="203"/>
      <c r="B25" s="203"/>
      <c r="C25" s="203">
        <v>5</v>
      </c>
      <c r="D25" s="214" t="s">
        <v>1727</v>
      </c>
      <c r="E25" s="204"/>
      <c r="F25" s="204"/>
      <c r="G25" s="204"/>
      <c r="H25" s="204"/>
      <c r="I25" s="204" t="s">
        <v>1726</v>
      </c>
      <c r="J25" s="204"/>
      <c r="K25" s="204"/>
      <c r="L25" s="204"/>
      <c r="M25" s="204"/>
      <c r="N25" s="204"/>
      <c r="O25" s="204"/>
      <c r="P25" s="205">
        <v>44571</v>
      </c>
      <c r="Q25" s="205">
        <v>44573</v>
      </c>
      <c r="R25" s="206"/>
      <c r="S25" s="207">
        <v>3</v>
      </c>
      <c r="T25" s="207">
        <v>3</v>
      </c>
      <c r="U25" s="207">
        <v>3</v>
      </c>
      <c r="V25" s="207">
        <v>3</v>
      </c>
      <c r="W25" s="205"/>
      <c r="X25" s="205"/>
      <c r="Y25" s="208"/>
      <c r="Z25" s="209">
        <v>0</v>
      </c>
      <c r="AA25" s="207"/>
      <c r="AB25" s="206" t="s">
        <v>1580</v>
      </c>
      <c r="AC25" s="210"/>
      <c r="AD25" s="211">
        <v>1</v>
      </c>
      <c r="AE25" s="213">
        <v>1</v>
      </c>
      <c r="AF25" s="190"/>
      <c r="AG25" s="191"/>
      <c r="AH25" s="191"/>
      <c r="AI25" s="191"/>
      <c r="AJ25" s="191"/>
      <c r="AK25" s="191"/>
      <c r="AL25" s="191" t="str">
        <f>"    " &amp; TEXT(AE25,"#0.00%") &amp; " " &amp; "게임 플레이로 이동 전에 로딩화면에 진입 후 이동" &amp; "(박광현)" &amp; " " &amp; IF(P25="","",TEXT(P25,"M/D-")) &amp; IF(Q25="","",TEXT(Q25,"M/D")) &amp; " "</f>
        <v xml:space="preserve">    100.00% 게임 플레이로 이동 전에 로딩화면에 진입 후 이동(박광현) 1/10-1/12 </v>
      </c>
      <c r="AM25" s="191"/>
      <c r="AN25" s="191"/>
      <c r="AO25" s="191"/>
    </row>
    <row r="26" spans="1:41" ht="12" customHeight="1" outlineLevel="4">
      <c r="A26" s="203"/>
      <c r="B26" s="203"/>
      <c r="C26" s="203">
        <v>5</v>
      </c>
      <c r="D26" s="214" t="s">
        <v>1729</v>
      </c>
      <c r="E26" s="204"/>
      <c r="F26" s="204"/>
      <c r="G26" s="204"/>
      <c r="H26" s="204"/>
      <c r="I26" s="204" t="s">
        <v>1728</v>
      </c>
      <c r="J26" s="204"/>
      <c r="K26" s="204"/>
      <c r="L26" s="204"/>
      <c r="M26" s="204"/>
      <c r="N26" s="204"/>
      <c r="O26" s="204"/>
      <c r="P26" s="205">
        <v>44574</v>
      </c>
      <c r="Q26" s="205">
        <v>44576</v>
      </c>
      <c r="R26" s="206"/>
      <c r="S26" s="207">
        <v>2</v>
      </c>
      <c r="T26" s="207">
        <v>2</v>
      </c>
      <c r="U26" s="207">
        <v>2</v>
      </c>
      <c r="V26" s="207">
        <v>2</v>
      </c>
      <c r="W26" s="205"/>
      <c r="X26" s="205"/>
      <c r="Y26" s="208"/>
      <c r="Z26" s="209">
        <v>0</v>
      </c>
      <c r="AA26" s="207"/>
      <c r="AB26" s="206" t="s">
        <v>1580</v>
      </c>
      <c r="AC26" s="210"/>
      <c r="AD26" s="211">
        <v>1</v>
      </c>
      <c r="AE26" s="213">
        <v>1</v>
      </c>
      <c r="AF26" s="190"/>
      <c r="AG26" s="191"/>
      <c r="AH26" s="191"/>
      <c r="AI26" s="191"/>
      <c r="AJ26" s="191"/>
      <c r="AK26" s="191"/>
      <c r="AL26" s="191"/>
      <c r="AM26" s="191" t="str">
        <f>"" &amp; TEXT(AE26,"#0.00%") &amp; " " &amp; "로딩화면 메시지 띄우는 기능 완성" &amp; "(박광현)" &amp; " " &amp; IF(P26="","",TEXT(P26,"M/D-")) &amp; IF(Q26="","",TEXT(Q26,"M/D")) &amp; " "</f>
        <v xml:space="preserve">100.00% 로딩화면 메시지 띄우는 기능 완성(박광현) 1/13-1/15 </v>
      </c>
      <c r="AN26" s="191"/>
      <c r="AO26" s="191"/>
    </row>
    <row r="27" spans="1:41" ht="12" customHeight="1" outlineLevel="3">
      <c r="A27" s="203"/>
      <c r="B27" s="203" t="s">
        <v>1570</v>
      </c>
      <c r="C27" s="203">
        <v>4</v>
      </c>
      <c r="D27" s="214" t="s">
        <v>1453</v>
      </c>
      <c r="E27" s="204"/>
      <c r="F27" s="204"/>
      <c r="G27" s="204"/>
      <c r="H27" s="204" t="s">
        <v>1666</v>
      </c>
      <c r="I27" s="204"/>
      <c r="J27" s="204"/>
      <c r="K27" s="204"/>
      <c r="L27" s="204"/>
      <c r="M27" s="204"/>
      <c r="N27" s="204"/>
      <c r="O27" s="204"/>
      <c r="P27" s="205">
        <v>44562</v>
      </c>
      <c r="Q27" s="205">
        <v>44579</v>
      </c>
      <c r="R27" s="206"/>
      <c r="S27" s="207">
        <v>12</v>
      </c>
      <c r="T27" s="207">
        <v>12</v>
      </c>
      <c r="U27" s="207">
        <v>12</v>
      </c>
      <c r="V27" s="207">
        <v>12</v>
      </c>
      <c r="W27" s="205"/>
      <c r="X27" s="205"/>
      <c r="Y27" s="208">
        <v>0</v>
      </c>
      <c r="Z27" s="209">
        <v>0</v>
      </c>
      <c r="AA27" s="207"/>
      <c r="AB27" s="206"/>
      <c r="AC27" s="210"/>
      <c r="AD27" s="211">
        <v>1</v>
      </c>
      <c r="AE27" s="251">
        <v>0.80000000000000016</v>
      </c>
      <c r="AF27" s="190"/>
      <c r="AG27" s="191"/>
      <c r="AH27" s="191"/>
      <c r="AI27" s="191"/>
      <c r="AJ27" s="191"/>
      <c r="AK27" s="191"/>
      <c r="AL27" s="191" t="str">
        <f>"      " &amp; TEXT(AE27,"#0.00%") &amp; " " &amp; "인게임 UI" &amp; " " &amp; IF(P27="","",TEXT(P27,"M/D-")) &amp; IF(Q27="","",TEXT(Q27,"M/D")) &amp; " "</f>
        <v xml:space="preserve">      80.00% 인게임 UI 1/1-1/18 </v>
      </c>
      <c r="AM27" s="191"/>
      <c r="AN27" s="191"/>
      <c r="AO27" s="191"/>
    </row>
    <row r="28" spans="1:41" ht="12" customHeight="1" outlineLevel="4">
      <c r="A28" s="203"/>
      <c r="B28" s="203"/>
      <c r="C28" s="203">
        <v>5</v>
      </c>
      <c r="D28" s="214" t="s">
        <v>1668</v>
      </c>
      <c r="E28" s="204"/>
      <c r="F28" s="204"/>
      <c r="G28" s="204"/>
      <c r="H28" s="204"/>
      <c r="I28" s="204" t="s">
        <v>1667</v>
      </c>
      <c r="J28" s="204"/>
      <c r="K28" s="204"/>
      <c r="L28" s="204"/>
      <c r="M28" s="204"/>
      <c r="N28" s="204"/>
      <c r="O28" s="204"/>
      <c r="P28" s="205">
        <v>44562</v>
      </c>
      <c r="Q28" s="205">
        <v>44579</v>
      </c>
      <c r="R28" s="206"/>
      <c r="S28" s="207">
        <v>12</v>
      </c>
      <c r="T28" s="207">
        <v>12</v>
      </c>
      <c r="U28" s="207">
        <v>12</v>
      </c>
      <c r="V28" s="207">
        <v>12</v>
      </c>
      <c r="W28" s="205"/>
      <c r="X28" s="205"/>
      <c r="Y28" s="208"/>
      <c r="Z28" s="209">
        <v>0</v>
      </c>
      <c r="AA28" s="207"/>
      <c r="AB28" s="206" t="s">
        <v>1579</v>
      </c>
      <c r="AC28" s="210"/>
      <c r="AD28" s="211">
        <v>1</v>
      </c>
      <c r="AE28" s="250">
        <v>0.8</v>
      </c>
      <c r="AF28" s="190"/>
      <c r="AG28" s="191"/>
      <c r="AH28" s="191"/>
      <c r="AI28" s="191"/>
      <c r="AJ28" s="191"/>
      <c r="AK28" s="191"/>
      <c r="AL28" s="191" t="str">
        <f>"      " &amp; TEXT(AE28,"#0.00%") &amp; " " &amp; "일시정지 UI 및 옵션 조절" &amp; "(권성빈)" &amp; " " &amp; IF(P28="","",TEXT(P28,"M/D-")) &amp; IF(Q28="","",TEXT(Q28,"M/D")) &amp; " "</f>
        <v xml:space="preserve">      80.00% 일시정지 UI 및 옵션 조절(권성빈) 1/1-1/18 </v>
      </c>
      <c r="AM28" s="191"/>
      <c r="AN28" s="191"/>
      <c r="AO28" s="191"/>
    </row>
    <row r="29" spans="1:41" ht="12" customHeight="1" outlineLevel="4">
      <c r="A29" s="203"/>
      <c r="B29" s="203"/>
      <c r="C29" s="203">
        <v>5</v>
      </c>
      <c r="D29" s="214" t="s">
        <v>1731</v>
      </c>
      <c r="E29" s="204"/>
      <c r="F29" s="204"/>
      <c r="G29" s="204"/>
      <c r="H29" s="204"/>
      <c r="I29" s="204" t="s">
        <v>1730</v>
      </c>
      <c r="J29" s="204"/>
      <c r="K29" s="204"/>
      <c r="L29" s="204"/>
      <c r="M29" s="204"/>
      <c r="N29" s="204"/>
      <c r="O29" s="204" t="s">
        <v>1736</v>
      </c>
      <c r="P29" s="205"/>
      <c r="Q29" s="205"/>
      <c r="R29" s="206"/>
      <c r="S29" s="207">
        <v>0</v>
      </c>
      <c r="T29" s="207">
        <v>0</v>
      </c>
      <c r="U29" s="207">
        <v>0</v>
      </c>
      <c r="V29" s="207">
        <v>0</v>
      </c>
      <c r="W29" s="205"/>
      <c r="X29" s="205"/>
      <c r="Y29" s="208">
        <v>0</v>
      </c>
      <c r="Z29" s="209">
        <v>0</v>
      </c>
      <c r="AA29" s="207"/>
      <c r="AB29" s="206" t="s">
        <v>1579</v>
      </c>
      <c r="AC29" s="210"/>
      <c r="AD29" s="211">
        <v>0</v>
      </c>
      <c r="AE29" s="216">
        <v>0</v>
      </c>
      <c r="AF29" s="190"/>
      <c r="AG29" s="191"/>
      <c r="AH29" s="191"/>
      <c r="AI29" s="191"/>
      <c r="AJ29" s="191"/>
      <c r="AK29" s="191"/>
      <c r="AL29" s="191"/>
      <c r="AM29" s="191"/>
      <c r="AN29" s="191"/>
      <c r="AO29" s="191"/>
    </row>
    <row r="30" spans="1:41" ht="12" customHeight="1" outlineLevel="2">
      <c r="A30" s="203"/>
      <c r="B30" s="203" t="s">
        <v>1570</v>
      </c>
      <c r="C30" s="203">
        <v>3</v>
      </c>
      <c r="D30" s="214" t="s">
        <v>1104</v>
      </c>
      <c r="E30" s="204"/>
      <c r="F30" s="204"/>
      <c r="G30" s="204" t="s">
        <v>1653</v>
      </c>
      <c r="H30" s="204"/>
      <c r="I30" s="204"/>
      <c r="J30" s="204"/>
      <c r="K30" s="204"/>
      <c r="L30" s="204"/>
      <c r="M30" s="204"/>
      <c r="N30" s="204"/>
      <c r="O30" s="204"/>
      <c r="P30" s="205">
        <v>44579</v>
      </c>
      <c r="Q30" s="205">
        <v>44587</v>
      </c>
      <c r="R30" s="206"/>
      <c r="S30" s="207">
        <v>10</v>
      </c>
      <c r="T30" s="207">
        <v>1</v>
      </c>
      <c r="U30" s="207">
        <v>7</v>
      </c>
      <c r="V30" s="207">
        <v>1</v>
      </c>
      <c r="W30" s="205"/>
      <c r="X30" s="205"/>
      <c r="Y30" s="208">
        <v>0</v>
      </c>
      <c r="Z30" s="209">
        <v>0</v>
      </c>
      <c r="AA30" s="207"/>
      <c r="AB30" s="206"/>
      <c r="AC30" s="210"/>
      <c r="AD30" s="211">
        <v>0.1</v>
      </c>
      <c r="AE30" s="249">
        <v>0.3</v>
      </c>
      <c r="AF30" s="190"/>
      <c r="AG30" s="191"/>
      <c r="AH30" s="191"/>
      <c r="AI30" s="191"/>
      <c r="AJ30" s="191"/>
      <c r="AK30" s="191"/>
      <c r="AL30" s="191"/>
      <c r="AM30" s="191" t="str">
        <f>"     " &amp; TEXT(AE30,"#0.00%") &amp; " " &amp; "프로토타입 제출" &amp; " " &amp; IF(P30="","",TEXT(P30,"M/D-")) &amp; IF(Q30="","",TEXT(Q30,"M/D")) &amp; " "</f>
        <v xml:space="preserve">     30.00% 프로토타입 제출 1/18-1/26 </v>
      </c>
      <c r="AN30" s="191"/>
      <c r="AO30" s="191"/>
    </row>
    <row r="31" spans="1:41" ht="12" customHeight="1" outlineLevel="3">
      <c r="A31" s="203"/>
      <c r="B31" s="203"/>
      <c r="C31" s="203">
        <v>4</v>
      </c>
      <c r="D31" s="214" t="s">
        <v>1655</v>
      </c>
      <c r="E31" s="204"/>
      <c r="F31" s="204"/>
      <c r="G31" s="204"/>
      <c r="H31" s="204" t="s">
        <v>1654</v>
      </c>
      <c r="I31" s="204"/>
      <c r="J31" s="204"/>
      <c r="K31" s="204"/>
      <c r="L31" s="204"/>
      <c r="M31" s="204"/>
      <c r="N31" s="204"/>
      <c r="O31" s="204"/>
      <c r="P31" s="205">
        <v>44585</v>
      </c>
      <c r="Q31" s="205">
        <v>44587</v>
      </c>
      <c r="R31" s="206"/>
      <c r="S31" s="207">
        <v>3</v>
      </c>
      <c r="T31" s="207">
        <v>0</v>
      </c>
      <c r="U31" s="207">
        <v>3</v>
      </c>
      <c r="V31" s="207">
        <v>0</v>
      </c>
      <c r="W31" s="205"/>
      <c r="X31" s="205"/>
      <c r="Y31" s="208"/>
      <c r="Z31" s="209">
        <v>0</v>
      </c>
      <c r="AA31" s="207"/>
      <c r="AB31" s="206" t="s">
        <v>1658</v>
      </c>
      <c r="AC31" s="210"/>
      <c r="AD31" s="211">
        <v>0</v>
      </c>
      <c r="AE31" s="248">
        <v>1</v>
      </c>
      <c r="AF31" s="190"/>
      <c r="AG31" s="191"/>
      <c r="AH31" s="191"/>
      <c r="AI31" s="191"/>
      <c r="AJ31" s="191"/>
      <c r="AK31" s="191"/>
      <c r="AL31" s="191"/>
      <c r="AM31" s="191"/>
      <c r="AN31" s="191" t="str">
        <f>"    " &amp; TEXT(AE31,"#0.00%") &amp; " " &amp; "프로토타입 씬과 메인메뉴 연결" &amp; "(개발 전원 협력)" &amp; " " &amp; IF(P31="","",TEXT(P31,"M/D-")) &amp; IF(Q31="","",TEXT(Q31,"M/D")) &amp; " "</f>
        <v xml:space="preserve">    100.00% 프로토타입 씬과 메인메뉴 연결(개발 전원 협력) 1/24-1/26 </v>
      </c>
      <c r="AO31" s="191"/>
    </row>
    <row r="32" spans="1:41" ht="12" customHeight="1" outlineLevel="3">
      <c r="A32" s="203"/>
      <c r="B32" s="203"/>
      <c r="C32" s="203">
        <v>4</v>
      </c>
      <c r="D32" s="214" t="s">
        <v>1656</v>
      </c>
      <c r="E32" s="204"/>
      <c r="F32" s="204"/>
      <c r="G32" s="204"/>
      <c r="H32" s="204" t="s">
        <v>1657</v>
      </c>
      <c r="I32" s="204"/>
      <c r="J32" s="204"/>
      <c r="K32" s="204"/>
      <c r="L32" s="204"/>
      <c r="M32" s="204"/>
      <c r="N32" s="204"/>
      <c r="O32" s="204"/>
      <c r="P32" s="205">
        <v>44585</v>
      </c>
      <c r="Q32" s="205">
        <v>44587</v>
      </c>
      <c r="R32" s="205">
        <v>44484</v>
      </c>
      <c r="S32" s="207">
        <v>3</v>
      </c>
      <c r="T32" s="207">
        <v>0</v>
      </c>
      <c r="U32" s="207">
        <v>3</v>
      </c>
      <c r="V32" s="207">
        <v>0</v>
      </c>
      <c r="W32" s="205"/>
      <c r="X32" s="205"/>
      <c r="Y32" s="208"/>
      <c r="Z32" s="209">
        <v>0</v>
      </c>
      <c r="AA32" s="207"/>
      <c r="AB32" s="206" t="s">
        <v>1658</v>
      </c>
      <c r="AC32" s="210"/>
      <c r="AD32" s="211">
        <v>0</v>
      </c>
      <c r="AE32" s="213">
        <v>0</v>
      </c>
      <c r="AF32" s="190"/>
      <c r="AG32" s="191"/>
      <c r="AH32" s="191"/>
      <c r="AI32" s="191"/>
      <c r="AJ32" s="191"/>
      <c r="AK32" s="191"/>
      <c r="AL32" s="191"/>
      <c r="AM32" s="191"/>
      <c r="AN32" s="191" t="str">
        <f>" " &amp; TEXT(AE32,"#0.00%") &amp; " " &amp; "프로토타입 제출 전 연출들 제작 및 연결" &amp; "(개발 전원 협력)" &amp; " " &amp; IF(P32="","",TEXT(P32,"M/D-")) &amp; IF(Q32="","",TEXT(Q32,"M/D")) &amp; " "</f>
        <v xml:space="preserve"> 0.00% 프로토타입 제출 전 연출들 제작 및 연결(개발 전원 협력) 1/24-1/26 </v>
      </c>
      <c r="AO32" s="191"/>
    </row>
    <row r="33" spans="1:41" ht="12" customHeight="1" outlineLevel="3">
      <c r="A33" s="203"/>
      <c r="B33" s="203"/>
      <c r="C33" s="203">
        <v>4</v>
      </c>
      <c r="D33" s="214" t="s">
        <v>1735</v>
      </c>
      <c r="E33" s="204"/>
      <c r="F33" s="204"/>
      <c r="G33" s="204"/>
      <c r="H33" s="204" t="s">
        <v>1734</v>
      </c>
      <c r="I33" s="204"/>
      <c r="J33" s="204"/>
      <c r="K33" s="204"/>
      <c r="L33" s="204"/>
      <c r="M33" s="204"/>
      <c r="N33" s="204"/>
      <c r="O33" s="204"/>
      <c r="P33" s="205">
        <v>44579</v>
      </c>
      <c r="Q33" s="205">
        <v>44584</v>
      </c>
      <c r="R33" s="205"/>
      <c r="S33" s="207">
        <v>4</v>
      </c>
      <c r="T33" s="207">
        <v>1</v>
      </c>
      <c r="U33" s="207">
        <v>4</v>
      </c>
      <c r="V33" s="207">
        <v>1</v>
      </c>
      <c r="W33" s="205"/>
      <c r="X33" s="205"/>
      <c r="Y33" s="208"/>
      <c r="Z33" s="209">
        <v>0</v>
      </c>
      <c r="AA33" s="207"/>
      <c r="AB33" s="206" t="s">
        <v>1658</v>
      </c>
      <c r="AC33" s="210"/>
      <c r="AD33" s="211">
        <v>0.25</v>
      </c>
      <c r="AE33" s="250">
        <v>0</v>
      </c>
      <c r="AF33" s="190"/>
      <c r="AG33" s="191"/>
      <c r="AH33" s="191"/>
      <c r="AI33" s="191"/>
      <c r="AJ33" s="191"/>
      <c r="AK33" s="191"/>
      <c r="AL33" s="191"/>
      <c r="AM33" s="191" t="str">
        <f>"  " &amp; TEXT(AE33,"#0.00%") &amp; " " &amp; "프로토타입 제출 전 디테일 작업" &amp; "(개발 전원 협력)" &amp; " " &amp; IF(P33="","",TEXT(P33,"M/D-")) &amp; IF(Q33="","",TEXT(Q33,"M/D")) &amp; " "</f>
        <v xml:space="preserve">  0.00% 프로토타입 제출 전 디테일 작업(개발 전원 협력) 1/18-1/23 </v>
      </c>
      <c r="AN33" s="191"/>
      <c r="AO33" s="191"/>
    </row>
    <row r="34" spans="1:41" ht="12" customHeight="1" outlineLevel="1">
      <c r="A34" s="203"/>
      <c r="B34" s="203" t="s">
        <v>1570</v>
      </c>
      <c r="C34" s="203">
        <v>2</v>
      </c>
      <c r="D34" s="214" t="s">
        <v>1084</v>
      </c>
      <c r="E34" s="204"/>
      <c r="F34" s="204" t="s">
        <v>1583</v>
      </c>
      <c r="G34" s="204"/>
      <c r="H34" s="204"/>
      <c r="I34" s="204"/>
      <c r="J34" s="204"/>
      <c r="K34" s="204"/>
      <c r="L34" s="204"/>
      <c r="M34" s="204"/>
      <c r="N34" s="204"/>
      <c r="O34" s="204" t="s">
        <v>1604</v>
      </c>
      <c r="P34" s="205">
        <v>44532</v>
      </c>
      <c r="Q34" s="205">
        <v>44581</v>
      </c>
      <c r="R34" s="206"/>
      <c r="S34" s="207">
        <v>39</v>
      </c>
      <c r="T34" s="207">
        <v>37</v>
      </c>
      <c r="U34" s="207">
        <v>36</v>
      </c>
      <c r="V34" s="207">
        <v>34</v>
      </c>
      <c r="W34" s="205"/>
      <c r="X34" s="205"/>
      <c r="Y34" s="208">
        <v>0</v>
      </c>
      <c r="Z34" s="209">
        <v>0</v>
      </c>
      <c r="AA34" s="207"/>
      <c r="AB34" s="206"/>
      <c r="AC34" s="210"/>
      <c r="AD34" s="211">
        <v>0.94871794871794868</v>
      </c>
      <c r="AE34" s="251">
        <v>0.8948717948717948</v>
      </c>
      <c r="AF34" s="190"/>
      <c r="AG34" s="191"/>
      <c r="AH34" s="191"/>
      <c r="AI34" s="191"/>
      <c r="AJ34" s="191"/>
      <c r="AK34" s="191"/>
      <c r="AL34" s="191"/>
      <c r="AM34" s="191" t="str">
        <f>"" &amp; TEXT(AE34,"#0.00%") &amp; " " &amp; "기획 관련" &amp; " " &amp; IF(P34="","",TEXT(P34,"M/D-")) &amp; IF(Q34="","",TEXT(Q34,"M/D")) &amp; " "</f>
        <v xml:space="preserve">89.49% 기획 관련 12/2-1/20 </v>
      </c>
      <c r="AN34" s="191"/>
      <c r="AO34" s="191"/>
    </row>
    <row r="35" spans="1:41" ht="12" customHeight="1" outlineLevel="2">
      <c r="A35" s="203"/>
      <c r="B35" s="203" t="s">
        <v>1570</v>
      </c>
      <c r="C35" s="203">
        <v>3</v>
      </c>
      <c r="D35" s="214" t="s">
        <v>1085</v>
      </c>
      <c r="E35" s="204"/>
      <c r="F35" s="204"/>
      <c r="G35" s="204" t="s">
        <v>1705</v>
      </c>
      <c r="H35" s="204"/>
      <c r="I35" s="204"/>
      <c r="J35" s="204"/>
      <c r="K35" s="204"/>
      <c r="L35" s="204"/>
      <c r="M35" s="204"/>
      <c r="N35" s="204"/>
      <c r="O35" s="204"/>
      <c r="P35" s="205">
        <v>44532</v>
      </c>
      <c r="Q35" s="205">
        <v>44581</v>
      </c>
      <c r="R35" s="206"/>
      <c r="S35" s="207">
        <v>39</v>
      </c>
      <c r="T35" s="207">
        <v>37</v>
      </c>
      <c r="U35" s="207">
        <v>36</v>
      </c>
      <c r="V35" s="207">
        <v>34</v>
      </c>
      <c r="W35" s="205"/>
      <c r="X35" s="205"/>
      <c r="Y35" s="208">
        <v>0</v>
      </c>
      <c r="Z35" s="209">
        <v>0</v>
      </c>
      <c r="AA35" s="207"/>
      <c r="AB35" s="206"/>
      <c r="AC35" s="210"/>
      <c r="AD35" s="211">
        <v>0.94871794871794868</v>
      </c>
      <c r="AE35" s="251">
        <v>0.8948717948717948</v>
      </c>
      <c r="AF35" s="190"/>
      <c r="AG35" s="191"/>
      <c r="AH35" s="191"/>
      <c r="AI35" s="191"/>
      <c r="AJ35" s="191"/>
      <c r="AK35" s="191"/>
      <c r="AL35" s="191"/>
      <c r="AM35" s="191" t="str">
        <f>"" &amp; TEXT(AE35,"#0.00%") &amp; " " &amp; "인게임 관련 기획" &amp; " " &amp; IF(P35="","",TEXT(P35,"M/D-")) &amp; IF(Q35="","",TEXT(Q35,"M/D")) &amp; " "</f>
        <v xml:space="preserve">89.49% 인게임 관련 기획 12/2-1/20 </v>
      </c>
      <c r="AN35" s="191"/>
      <c r="AO35" s="191"/>
    </row>
    <row r="36" spans="1:41" ht="12" customHeight="1" outlineLevel="3">
      <c r="A36" s="203"/>
      <c r="B36" s="203" t="s">
        <v>1570</v>
      </c>
      <c r="C36" s="203">
        <v>4</v>
      </c>
      <c r="D36" s="214" t="s">
        <v>1596</v>
      </c>
      <c r="E36" s="204"/>
      <c r="F36" s="204"/>
      <c r="G36" s="204"/>
      <c r="H36" s="204" t="s">
        <v>1590</v>
      </c>
      <c r="I36" s="204"/>
      <c r="J36" s="204"/>
      <c r="K36" s="204"/>
      <c r="L36" s="204"/>
      <c r="M36" s="204"/>
      <c r="N36" s="204"/>
      <c r="O36" s="204"/>
      <c r="P36" s="205">
        <v>44532</v>
      </c>
      <c r="Q36" s="205">
        <v>44581</v>
      </c>
      <c r="R36" s="206"/>
      <c r="S36" s="207">
        <v>37</v>
      </c>
      <c r="T36" s="207">
        <v>35</v>
      </c>
      <c r="U36" s="207">
        <v>36</v>
      </c>
      <c r="V36" s="207">
        <v>34</v>
      </c>
      <c r="W36" s="205"/>
      <c r="X36" s="205"/>
      <c r="Y36" s="208">
        <v>0</v>
      </c>
      <c r="Z36" s="209">
        <v>0</v>
      </c>
      <c r="AA36" s="207"/>
      <c r="AB36" s="206"/>
      <c r="AC36" s="210"/>
      <c r="AD36" s="211">
        <v>0.94594594594594594</v>
      </c>
      <c r="AE36" s="251">
        <v>0.89189189189189189</v>
      </c>
      <c r="AF36" s="190"/>
      <c r="AG36" s="191"/>
      <c r="AH36" s="191"/>
      <c r="AI36" s="191"/>
      <c r="AJ36" s="191"/>
      <c r="AK36" s="191"/>
      <c r="AL36" s="191"/>
      <c r="AM36" s="191" t="str">
        <f>"" &amp; TEXT(AE36,"#0.00%") &amp; " " &amp; "스토리 관련" &amp; " " &amp; IF(P36="","",TEXT(P36,"M/D-")) &amp; IF(Q36="","",TEXT(Q36,"M/D")) &amp; " "</f>
        <v xml:space="preserve">89.19% 스토리 관련 12/2-1/20 </v>
      </c>
      <c r="AN36" s="191"/>
      <c r="AO36" s="191"/>
    </row>
    <row r="37" spans="1:41" ht="12" customHeight="1" outlineLevel="4">
      <c r="A37" s="203"/>
      <c r="B37" s="203" t="s">
        <v>1570</v>
      </c>
      <c r="C37" s="203">
        <v>5</v>
      </c>
      <c r="D37" s="214" t="s">
        <v>1597</v>
      </c>
      <c r="E37" s="204"/>
      <c r="F37" s="204"/>
      <c r="G37" s="204"/>
      <c r="H37" s="204"/>
      <c r="I37" s="204" t="s">
        <v>1587</v>
      </c>
      <c r="J37" s="204"/>
      <c r="K37" s="204"/>
      <c r="L37" s="204"/>
      <c r="M37" s="204"/>
      <c r="N37" s="204"/>
      <c r="O37" s="204"/>
      <c r="P37" s="205">
        <v>44532</v>
      </c>
      <c r="Q37" s="205">
        <v>44532</v>
      </c>
      <c r="R37" s="206"/>
      <c r="S37" s="207">
        <v>3</v>
      </c>
      <c r="T37" s="207">
        <v>3</v>
      </c>
      <c r="U37" s="207">
        <v>1</v>
      </c>
      <c r="V37" s="207">
        <v>1</v>
      </c>
      <c r="W37" s="205"/>
      <c r="X37" s="205"/>
      <c r="Y37" s="208">
        <v>0</v>
      </c>
      <c r="Z37" s="209">
        <v>0</v>
      </c>
      <c r="AA37" s="207"/>
      <c r="AB37" s="206"/>
      <c r="AC37" s="210"/>
      <c r="AD37" s="211">
        <v>1</v>
      </c>
      <c r="AE37" s="247">
        <v>1</v>
      </c>
      <c r="AF37" s="190" t="str">
        <f>"     " &amp; TEXT(AE37,"#0.00%") &amp; " " &amp; "주변 세계관" &amp; " " &amp; IF(P37="","",TEXT(P37,"M/D-")) &amp; IF(Q37="","",TEXT(Q37,"M/D")) &amp; " "</f>
        <v xml:space="preserve">     100.00% 주변 세계관 12/2-12/2 </v>
      </c>
      <c r="AG37" s="191"/>
      <c r="AH37" s="191"/>
      <c r="AI37" s="191"/>
      <c r="AJ37" s="191"/>
      <c r="AK37" s="191"/>
      <c r="AL37" s="191"/>
      <c r="AM37" s="191"/>
      <c r="AN37" s="191"/>
      <c r="AO37" s="191"/>
    </row>
    <row r="38" spans="1:41" ht="12" customHeight="1" outlineLevel="5">
      <c r="A38" s="203"/>
      <c r="B38" s="203"/>
      <c r="C38" s="203">
        <v>6</v>
      </c>
      <c r="D38" s="214" t="s">
        <v>1706</v>
      </c>
      <c r="E38" s="204"/>
      <c r="F38" s="204"/>
      <c r="G38" s="204"/>
      <c r="H38" s="204"/>
      <c r="I38" s="204"/>
      <c r="J38" s="204" t="s">
        <v>1601</v>
      </c>
      <c r="K38" s="204"/>
      <c r="L38" s="204"/>
      <c r="M38" s="204"/>
      <c r="N38" s="204"/>
      <c r="O38" s="204"/>
      <c r="P38" s="205">
        <v>44532</v>
      </c>
      <c r="Q38" s="205">
        <v>44532</v>
      </c>
      <c r="R38" s="206"/>
      <c r="S38" s="207">
        <v>1</v>
      </c>
      <c r="T38" s="207">
        <v>1</v>
      </c>
      <c r="U38" s="207">
        <v>1</v>
      </c>
      <c r="V38" s="207">
        <v>1</v>
      </c>
      <c r="W38" s="205"/>
      <c r="X38" s="205"/>
      <c r="Y38" s="208"/>
      <c r="Z38" s="209">
        <v>0</v>
      </c>
      <c r="AA38" s="207"/>
      <c r="AB38" s="206"/>
      <c r="AC38" s="210"/>
      <c r="AD38" s="211">
        <v>1</v>
      </c>
      <c r="AE38" s="213">
        <v>1</v>
      </c>
      <c r="AF38" s="190" t="str">
        <f>"     " &amp; TEXT(AE38,"#0.00%") &amp; " " &amp; "시대상 or 기술수준 확립" &amp; " " &amp; IF(P38="","",TEXT(P38,"M/D-")) &amp; IF(Q38="","",TEXT(Q38,"M/D")) &amp; " "</f>
        <v xml:space="preserve">     100.00% 시대상 or 기술수준 확립 12/2-12/2 </v>
      </c>
      <c r="AG38" s="191"/>
      <c r="AH38" s="191"/>
      <c r="AI38" s="191"/>
      <c r="AJ38" s="191"/>
      <c r="AK38" s="191"/>
      <c r="AL38" s="191"/>
      <c r="AM38" s="191"/>
      <c r="AN38" s="191"/>
      <c r="AO38" s="191"/>
    </row>
    <row r="39" spans="1:41" ht="12" customHeight="1" outlineLevel="5">
      <c r="A39" s="203">
        <v>0</v>
      </c>
      <c r="B39" s="203"/>
      <c r="C39" s="203">
        <v>6</v>
      </c>
      <c r="D39" s="214" t="s">
        <v>1707</v>
      </c>
      <c r="E39" s="204"/>
      <c r="F39" s="204"/>
      <c r="G39" s="204"/>
      <c r="H39" s="204"/>
      <c r="I39" s="204"/>
      <c r="J39" s="204" t="s">
        <v>1588</v>
      </c>
      <c r="K39" s="204"/>
      <c r="L39" s="204"/>
      <c r="M39" s="204"/>
      <c r="N39" s="204"/>
      <c r="O39" s="204"/>
      <c r="P39" s="205">
        <v>44532</v>
      </c>
      <c r="Q39" s="205">
        <v>44532</v>
      </c>
      <c r="R39" s="206"/>
      <c r="S39" s="207">
        <v>1</v>
      </c>
      <c r="T39" s="207">
        <v>1</v>
      </c>
      <c r="U39" s="207">
        <v>1</v>
      </c>
      <c r="V39" s="207">
        <v>1</v>
      </c>
      <c r="W39" s="205"/>
      <c r="X39" s="205"/>
      <c r="Y39" s="208"/>
      <c r="Z39" s="209">
        <v>0</v>
      </c>
      <c r="AA39" s="207"/>
      <c r="AB39" s="206"/>
      <c r="AC39" s="210"/>
      <c r="AD39" s="211">
        <v>1</v>
      </c>
      <c r="AE39" s="213">
        <v>1</v>
      </c>
      <c r="AF39" s="190" t="str">
        <f>"     " &amp; TEXT(AE39,"#0.00%") &amp; " " &amp; "주인공 소속사 확립" &amp; " " &amp; IF(P39="","",TEXT(P39,"M/D-")) &amp; IF(Q39="","",TEXT(Q39,"M/D")) &amp; " "</f>
        <v xml:space="preserve">     100.00% 주인공 소속사 확립 12/2-12/2 </v>
      </c>
      <c r="AG39" s="191"/>
      <c r="AH39" s="191"/>
      <c r="AI39" s="191"/>
      <c r="AJ39" s="191"/>
      <c r="AK39" s="191"/>
      <c r="AL39" s="191"/>
      <c r="AM39" s="191"/>
      <c r="AN39" s="191"/>
      <c r="AO39" s="191"/>
    </row>
    <row r="40" spans="1:41" ht="12" customHeight="1" outlineLevel="5">
      <c r="A40" s="203"/>
      <c r="B40" s="203"/>
      <c r="C40" s="203">
        <v>6</v>
      </c>
      <c r="D40" s="214" t="s">
        <v>1708</v>
      </c>
      <c r="E40" s="204"/>
      <c r="F40" s="204"/>
      <c r="G40" s="204"/>
      <c r="H40" s="204"/>
      <c r="I40" s="204"/>
      <c r="J40" s="204" t="s">
        <v>1589</v>
      </c>
      <c r="K40" s="204"/>
      <c r="L40" s="204"/>
      <c r="M40" s="204"/>
      <c r="N40" s="204"/>
      <c r="O40" s="204"/>
      <c r="P40" s="205">
        <v>44532</v>
      </c>
      <c r="Q40" s="205">
        <v>44532</v>
      </c>
      <c r="R40" s="206"/>
      <c r="S40" s="207">
        <v>1</v>
      </c>
      <c r="T40" s="207">
        <v>1</v>
      </c>
      <c r="U40" s="207">
        <v>1</v>
      </c>
      <c r="V40" s="207">
        <v>1</v>
      </c>
      <c r="W40" s="205"/>
      <c r="X40" s="205"/>
      <c r="Y40" s="208"/>
      <c r="Z40" s="209">
        <v>0</v>
      </c>
      <c r="AA40" s="207"/>
      <c r="AB40" s="206"/>
      <c r="AC40" s="210"/>
      <c r="AD40" s="211">
        <v>1</v>
      </c>
      <c r="AE40" s="213">
        <v>1</v>
      </c>
      <c r="AF40" s="190" t="str">
        <f>"     " &amp; TEXT(AE40,"#0.00%") &amp; " " &amp; "주인공 역할 확립" &amp; " " &amp; IF(P40="","",TEXT(P40,"M/D-")) &amp; IF(Q40="","",TEXT(Q40,"M/D")) &amp; " "</f>
        <v xml:space="preserve">     100.00% 주인공 역할 확립 12/2-12/2 </v>
      </c>
      <c r="AG40" s="191"/>
      <c r="AH40" s="191"/>
      <c r="AI40" s="191"/>
      <c r="AJ40" s="191"/>
      <c r="AK40" s="191"/>
      <c r="AL40" s="191"/>
      <c r="AM40" s="191"/>
      <c r="AN40" s="191"/>
      <c r="AO40" s="191"/>
    </row>
    <row r="41" spans="1:41" ht="12" customHeight="1" outlineLevel="4">
      <c r="A41" s="203"/>
      <c r="B41" s="203" t="s">
        <v>1570</v>
      </c>
      <c r="C41" s="203">
        <v>5</v>
      </c>
      <c r="D41" s="214" t="s">
        <v>1598</v>
      </c>
      <c r="E41" s="204"/>
      <c r="F41" s="204"/>
      <c r="G41" s="204"/>
      <c r="H41" s="204"/>
      <c r="I41" s="204" t="s">
        <v>1643</v>
      </c>
      <c r="J41" s="204"/>
      <c r="K41" s="204"/>
      <c r="L41" s="204"/>
      <c r="M41" s="204"/>
      <c r="N41" s="204"/>
      <c r="O41" s="204"/>
      <c r="P41" s="205"/>
      <c r="Q41" s="205"/>
      <c r="R41" s="206"/>
      <c r="S41" s="207">
        <v>0</v>
      </c>
      <c r="T41" s="207">
        <v>0</v>
      </c>
      <c r="U41" s="207">
        <v>0</v>
      </c>
      <c r="V41" s="207">
        <v>0</v>
      </c>
      <c r="W41" s="205"/>
      <c r="X41" s="205"/>
      <c r="Y41" s="208">
        <v>0</v>
      </c>
      <c r="Z41" s="209">
        <v>0</v>
      </c>
      <c r="AA41" s="207"/>
      <c r="AB41" s="206"/>
      <c r="AC41" s="210"/>
      <c r="AD41" s="211">
        <v>0</v>
      </c>
      <c r="AE41" s="216">
        <v>0</v>
      </c>
      <c r="AF41" s="190"/>
      <c r="AG41" s="191"/>
      <c r="AH41" s="191"/>
      <c r="AI41" s="191"/>
      <c r="AJ41" s="191"/>
      <c r="AK41" s="191"/>
      <c r="AL41" s="191"/>
      <c r="AM41" s="191"/>
      <c r="AN41" s="191"/>
      <c r="AO41" s="191"/>
    </row>
    <row r="42" spans="1:41" ht="12" customHeight="1" outlineLevel="5">
      <c r="A42" s="203"/>
      <c r="B42" s="203" t="s">
        <v>1570</v>
      </c>
      <c r="C42" s="203">
        <v>6</v>
      </c>
      <c r="D42" s="214" t="s">
        <v>1709</v>
      </c>
      <c r="E42" s="204"/>
      <c r="F42" s="204"/>
      <c r="G42" s="204"/>
      <c r="H42" s="204"/>
      <c r="I42" s="204"/>
      <c r="J42" s="204" t="s">
        <v>1642</v>
      </c>
      <c r="K42" s="204"/>
      <c r="L42" s="204"/>
      <c r="M42" s="204"/>
      <c r="N42" s="204"/>
      <c r="O42" s="204"/>
      <c r="P42" s="205"/>
      <c r="Q42" s="205"/>
      <c r="R42" s="206"/>
      <c r="S42" s="207">
        <v>0</v>
      </c>
      <c r="T42" s="207">
        <v>0</v>
      </c>
      <c r="U42" s="207">
        <v>0</v>
      </c>
      <c r="V42" s="207">
        <v>0</v>
      </c>
      <c r="W42" s="205"/>
      <c r="X42" s="205"/>
      <c r="Y42" s="208">
        <v>0</v>
      </c>
      <c r="Z42" s="209">
        <v>0</v>
      </c>
      <c r="AA42" s="207"/>
      <c r="AB42" s="206"/>
      <c r="AC42" s="210"/>
      <c r="AD42" s="211">
        <v>0</v>
      </c>
      <c r="AE42" s="216">
        <v>0</v>
      </c>
      <c r="AF42" s="190"/>
      <c r="AG42" s="191"/>
      <c r="AH42" s="191"/>
      <c r="AI42" s="191"/>
      <c r="AJ42" s="191"/>
      <c r="AK42" s="191"/>
      <c r="AL42" s="191"/>
      <c r="AM42" s="191"/>
      <c r="AN42" s="191"/>
      <c r="AO42" s="191"/>
    </row>
    <row r="43" spans="1:41" ht="12" customHeight="1" outlineLevel="6">
      <c r="A43" s="203"/>
      <c r="B43" s="203"/>
      <c r="C43" s="203">
        <v>7</v>
      </c>
      <c r="D43" s="214" t="s">
        <v>1710</v>
      </c>
      <c r="E43" s="204"/>
      <c r="F43" s="204"/>
      <c r="G43" s="204"/>
      <c r="H43" s="204"/>
      <c r="I43" s="204"/>
      <c r="J43" s="204"/>
      <c r="K43" s="204" t="s">
        <v>1584</v>
      </c>
      <c r="L43" s="204"/>
      <c r="M43" s="204"/>
      <c r="N43" s="204"/>
      <c r="O43" s="204" t="s">
        <v>1638</v>
      </c>
      <c r="P43" s="205"/>
      <c r="Q43" s="205"/>
      <c r="R43" s="206"/>
      <c r="S43" s="207">
        <v>0</v>
      </c>
      <c r="T43" s="207">
        <v>0</v>
      </c>
      <c r="U43" s="207">
        <v>0</v>
      </c>
      <c r="V43" s="207">
        <v>0</v>
      </c>
      <c r="W43" s="205"/>
      <c r="X43" s="205"/>
      <c r="Y43" s="208">
        <v>0</v>
      </c>
      <c r="Z43" s="209">
        <v>0</v>
      </c>
      <c r="AA43" s="207">
        <v>1</v>
      </c>
      <c r="AB43" s="206" t="s">
        <v>1630</v>
      </c>
      <c r="AC43" s="210"/>
      <c r="AD43" s="211">
        <v>0</v>
      </c>
      <c r="AE43" s="216">
        <v>0</v>
      </c>
      <c r="AF43" s="190"/>
      <c r="AG43" s="191"/>
      <c r="AH43" s="191"/>
      <c r="AI43" s="191"/>
      <c r="AJ43" s="191"/>
      <c r="AK43" s="191"/>
      <c r="AL43" s="191"/>
      <c r="AM43" s="191"/>
      <c r="AN43" s="191"/>
      <c r="AO43" s="191"/>
    </row>
    <row r="44" spans="1:41" ht="12" customHeight="1" outlineLevel="6">
      <c r="A44" s="203"/>
      <c r="B44" s="203"/>
      <c r="C44" s="203">
        <v>7</v>
      </c>
      <c r="D44" s="214" t="s">
        <v>1711</v>
      </c>
      <c r="E44" s="204"/>
      <c r="F44" s="204"/>
      <c r="G44" s="204"/>
      <c r="H44" s="204"/>
      <c r="I44" s="204"/>
      <c r="J44" s="204"/>
      <c r="K44" s="204" t="s">
        <v>1585</v>
      </c>
      <c r="L44" s="204"/>
      <c r="M44" s="204"/>
      <c r="N44" s="204"/>
      <c r="O44" s="204"/>
      <c r="P44" s="205"/>
      <c r="Q44" s="205"/>
      <c r="R44" s="206"/>
      <c r="S44" s="207">
        <v>0</v>
      </c>
      <c r="T44" s="207">
        <v>0</v>
      </c>
      <c r="U44" s="207">
        <v>0</v>
      </c>
      <c r="V44" s="207">
        <v>0</v>
      </c>
      <c r="W44" s="205"/>
      <c r="X44" s="205"/>
      <c r="Y44" s="208">
        <v>0</v>
      </c>
      <c r="Z44" s="209">
        <v>0</v>
      </c>
      <c r="AA44" s="207"/>
      <c r="AB44" s="206" t="s">
        <v>1630</v>
      </c>
      <c r="AC44" s="210"/>
      <c r="AD44" s="211">
        <v>0</v>
      </c>
      <c r="AE44" s="216">
        <v>0</v>
      </c>
      <c r="AF44" s="190"/>
      <c r="AG44" s="191"/>
      <c r="AH44" s="191"/>
      <c r="AI44" s="191"/>
      <c r="AJ44" s="191"/>
      <c r="AK44" s="191"/>
      <c r="AL44" s="191"/>
      <c r="AM44" s="191"/>
      <c r="AN44" s="191"/>
      <c r="AO44" s="191"/>
    </row>
    <row r="45" spans="1:41" ht="12" customHeight="1" outlineLevel="4">
      <c r="A45" s="203">
        <v>1</v>
      </c>
      <c r="B45" s="203" t="s">
        <v>1570</v>
      </c>
      <c r="C45" s="203">
        <v>5</v>
      </c>
      <c r="D45" s="214" t="s">
        <v>1602</v>
      </c>
      <c r="E45" s="204"/>
      <c r="F45" s="204"/>
      <c r="G45" s="204"/>
      <c r="H45" s="204"/>
      <c r="I45" s="204" t="s">
        <v>1591</v>
      </c>
      <c r="J45" s="204"/>
      <c r="K45" s="204"/>
      <c r="L45" s="204"/>
      <c r="M45" s="204"/>
      <c r="N45" s="204"/>
      <c r="O45" s="204"/>
      <c r="P45" s="205">
        <v>44571</v>
      </c>
      <c r="Q45" s="205">
        <v>44581</v>
      </c>
      <c r="R45" s="206"/>
      <c r="S45" s="207">
        <v>20</v>
      </c>
      <c r="T45" s="207">
        <v>18</v>
      </c>
      <c r="U45" s="207">
        <v>9</v>
      </c>
      <c r="V45" s="207">
        <v>7</v>
      </c>
      <c r="W45" s="205"/>
      <c r="X45" s="205"/>
      <c r="Y45" s="208">
        <v>0</v>
      </c>
      <c r="Z45" s="209">
        <v>0</v>
      </c>
      <c r="AA45" s="207"/>
      <c r="AB45" s="206"/>
      <c r="AC45" s="210"/>
      <c r="AD45" s="211">
        <v>0.9</v>
      </c>
      <c r="AE45" s="251">
        <v>0.8</v>
      </c>
      <c r="AF45" s="190"/>
      <c r="AG45" s="191"/>
      <c r="AH45" s="191"/>
      <c r="AI45" s="191"/>
      <c r="AJ45" s="191"/>
      <c r="AK45" s="191"/>
      <c r="AL45" s="191" t="str">
        <f>"     " &amp; TEXT(AE45,"#0.00%") &amp; " " &amp; "레벨 디자인" &amp; " " &amp; IF(P45="","",TEXT(P45,"M/D-")) &amp; IF(Q45="","",TEXT(Q45,"M/D")) &amp; " "</f>
        <v xml:space="preserve">     80.00% 레벨 디자인 1/10-1/20 </v>
      </c>
      <c r="AM45" s="191"/>
      <c r="AN45" s="191"/>
      <c r="AO45" s="191"/>
    </row>
    <row r="46" spans="1:41" ht="12" customHeight="1" outlineLevel="5">
      <c r="A46" s="203"/>
      <c r="B46" s="203" t="s">
        <v>1570</v>
      </c>
      <c r="C46" s="203">
        <v>6</v>
      </c>
      <c r="D46" s="214" t="s">
        <v>1712</v>
      </c>
      <c r="E46" s="204"/>
      <c r="F46" s="204"/>
      <c r="G46" s="204"/>
      <c r="H46" s="204"/>
      <c r="I46" s="204"/>
      <c r="J46" s="204" t="s">
        <v>1669</v>
      </c>
      <c r="K46" s="204"/>
      <c r="L46" s="204"/>
      <c r="M46" s="204"/>
      <c r="N46" s="204"/>
      <c r="O46" s="204"/>
      <c r="P46" s="205">
        <v>44571</v>
      </c>
      <c r="Q46" s="205">
        <v>44581</v>
      </c>
      <c r="R46" s="206"/>
      <c r="S46" s="207">
        <v>20</v>
      </c>
      <c r="T46" s="207">
        <v>18</v>
      </c>
      <c r="U46" s="207">
        <v>9</v>
      </c>
      <c r="V46" s="207">
        <v>7</v>
      </c>
      <c r="W46" s="205"/>
      <c r="X46" s="205"/>
      <c r="Y46" s="208">
        <v>0</v>
      </c>
      <c r="Z46" s="209">
        <v>0</v>
      </c>
      <c r="AA46" s="207"/>
      <c r="AB46" s="206"/>
      <c r="AC46" s="210"/>
      <c r="AD46" s="211">
        <v>0.9</v>
      </c>
      <c r="AE46" s="251">
        <v>0.8</v>
      </c>
      <c r="AF46" s="190"/>
      <c r="AG46" s="191"/>
      <c r="AH46" s="191"/>
      <c r="AI46" s="191"/>
      <c r="AJ46" s="191"/>
      <c r="AK46" s="191"/>
      <c r="AL46" s="191"/>
      <c r="AM46" s="191" t="str">
        <f>"   " &amp; TEXT(AE46,"#0.00%") &amp; " " &amp; "튜토리얼" &amp; " " &amp; IF(P46="","",TEXT(P46,"M/D-")) &amp; IF(Q46="","",TEXT(Q46,"M/D")) &amp; " "</f>
        <v xml:space="preserve">   80.00% 튜토리얼 1/10-1/20 </v>
      </c>
      <c r="AN46" s="191"/>
      <c r="AO46" s="191"/>
    </row>
    <row r="47" spans="1:41" ht="12" customHeight="1" outlineLevel="6">
      <c r="A47" s="203"/>
      <c r="B47" s="203"/>
      <c r="C47" s="203">
        <v>7</v>
      </c>
      <c r="D47" s="214" t="s">
        <v>1713</v>
      </c>
      <c r="E47" s="204"/>
      <c r="F47" s="204"/>
      <c r="G47" s="204"/>
      <c r="H47" s="204"/>
      <c r="I47" s="204"/>
      <c r="J47" s="204"/>
      <c r="K47" s="204" t="s">
        <v>1670</v>
      </c>
      <c r="L47" s="204"/>
      <c r="M47" s="204"/>
      <c r="N47" s="204"/>
      <c r="O47" s="204"/>
      <c r="P47" s="205">
        <v>44571</v>
      </c>
      <c r="Q47" s="205">
        <v>44576</v>
      </c>
      <c r="R47" s="206"/>
      <c r="S47" s="207">
        <v>5</v>
      </c>
      <c r="T47" s="207">
        <v>5</v>
      </c>
      <c r="U47" s="207">
        <v>5</v>
      </c>
      <c r="V47" s="207">
        <v>5</v>
      </c>
      <c r="W47" s="205"/>
      <c r="X47" s="205"/>
      <c r="Y47" s="208"/>
      <c r="Z47" s="209">
        <v>0</v>
      </c>
      <c r="AA47" s="207"/>
      <c r="AB47" s="206" t="s">
        <v>1603</v>
      </c>
      <c r="AC47" s="210"/>
      <c r="AD47" s="211">
        <v>1</v>
      </c>
      <c r="AE47" s="213">
        <v>1</v>
      </c>
      <c r="AF47" s="190"/>
      <c r="AG47" s="191"/>
      <c r="AH47" s="191"/>
      <c r="AI47" s="191"/>
      <c r="AJ47" s="191"/>
      <c r="AK47" s="191"/>
      <c r="AL47" s="191"/>
      <c r="AM47" s="191" t="str">
        <f>"" &amp; TEXT(AE47,"#0.00%") &amp; " " &amp; "튜토리얼 레벨 디자인" &amp; "(황민재)" &amp; " " &amp; IF(P47="","",TEXT(P47,"M/D-")) &amp; IF(Q47="","",TEXT(Q47,"M/D")) &amp; " "</f>
        <v xml:space="preserve">100.00% 튜토리얼 레벨 디자인(황민재) 1/10-1/15 </v>
      </c>
      <c r="AN47" s="191"/>
      <c r="AO47" s="191"/>
    </row>
    <row r="48" spans="1:41" ht="12" customHeight="1" outlineLevel="6">
      <c r="A48" s="203"/>
      <c r="B48" s="203"/>
      <c r="C48" s="203">
        <v>7</v>
      </c>
      <c r="D48" s="214" t="s">
        <v>1714</v>
      </c>
      <c r="E48" s="204"/>
      <c r="F48" s="204"/>
      <c r="G48" s="204"/>
      <c r="H48" s="204"/>
      <c r="I48" s="204"/>
      <c r="J48" s="204"/>
      <c r="K48" s="204" t="s">
        <v>1671</v>
      </c>
      <c r="L48" s="204"/>
      <c r="M48" s="204"/>
      <c r="N48" s="204"/>
      <c r="O48" s="204"/>
      <c r="P48" s="205">
        <v>44571</v>
      </c>
      <c r="Q48" s="205">
        <v>44577</v>
      </c>
      <c r="R48" s="206"/>
      <c r="S48" s="207">
        <v>5</v>
      </c>
      <c r="T48" s="207">
        <v>5</v>
      </c>
      <c r="U48" s="207">
        <v>5</v>
      </c>
      <c r="V48" s="207">
        <v>5</v>
      </c>
      <c r="W48" s="205"/>
      <c r="X48" s="205"/>
      <c r="Y48" s="208"/>
      <c r="Z48" s="209">
        <v>0</v>
      </c>
      <c r="AA48" s="207"/>
      <c r="AB48" s="206" t="s">
        <v>1603</v>
      </c>
      <c r="AC48" s="210"/>
      <c r="AD48" s="211">
        <v>1</v>
      </c>
      <c r="AE48" s="213">
        <v>1</v>
      </c>
      <c r="AF48" s="190"/>
      <c r="AG48" s="191"/>
      <c r="AH48" s="191"/>
      <c r="AI48" s="191"/>
      <c r="AJ48" s="191"/>
      <c r="AK48" s="191"/>
      <c r="AL48" s="191"/>
      <c r="AM48" s="191" t="str">
        <f>" " &amp; TEXT(AE48,"#0.00%") &amp; " " &amp; "튜토리얼 사물 배치" &amp; "(황민재)" &amp; " " &amp; IF(P48="","",TEXT(P48,"M/D-")) &amp; IF(Q48="","",TEXT(Q48,"M/D")) &amp; " "</f>
        <v xml:space="preserve"> 100.00% 튜토리얼 사물 배치(황민재) 1/10-1/16 </v>
      </c>
      <c r="AN48" s="191"/>
      <c r="AO48" s="191"/>
    </row>
    <row r="49" spans="1:41" ht="12" customHeight="1" outlineLevel="6">
      <c r="A49" s="203"/>
      <c r="B49" s="203"/>
      <c r="C49" s="203">
        <v>7</v>
      </c>
      <c r="D49" s="214" t="s">
        <v>1715</v>
      </c>
      <c r="E49" s="204"/>
      <c r="F49" s="204"/>
      <c r="G49" s="204"/>
      <c r="H49" s="204"/>
      <c r="I49" s="204"/>
      <c r="J49" s="204"/>
      <c r="K49" s="204" t="s">
        <v>1672</v>
      </c>
      <c r="L49" s="204"/>
      <c r="M49" s="204"/>
      <c r="N49" s="204"/>
      <c r="O49" s="204"/>
      <c r="P49" s="205">
        <v>44571</v>
      </c>
      <c r="Q49" s="205">
        <v>44578</v>
      </c>
      <c r="R49" s="206"/>
      <c r="S49" s="207">
        <v>6</v>
      </c>
      <c r="T49" s="207">
        <v>6</v>
      </c>
      <c r="U49" s="207">
        <v>6</v>
      </c>
      <c r="V49" s="207">
        <v>6</v>
      </c>
      <c r="W49" s="205"/>
      <c r="X49" s="205"/>
      <c r="Y49" s="208"/>
      <c r="Z49" s="209">
        <v>0</v>
      </c>
      <c r="AA49" s="207"/>
      <c r="AB49" s="206" t="s">
        <v>1603</v>
      </c>
      <c r="AC49" s="210"/>
      <c r="AD49" s="211">
        <v>1</v>
      </c>
      <c r="AE49" s="213">
        <v>1</v>
      </c>
      <c r="AF49" s="190"/>
      <c r="AG49" s="191"/>
      <c r="AH49" s="191"/>
      <c r="AI49" s="191"/>
      <c r="AJ49" s="191"/>
      <c r="AK49" s="191"/>
      <c r="AL49" s="191"/>
      <c r="AM49" s="191" t="str">
        <f>"  " &amp; TEXT(AE49,"#0.00%") &amp; " " &amp; "튜토리얼 퍼즐 배치" &amp; "(황민재)" &amp; " " &amp; IF(P49="","",TEXT(P49,"M/D-")) &amp; IF(Q49="","",TEXT(Q49,"M/D")) &amp; " "</f>
        <v xml:space="preserve">  100.00% 튜토리얼 퍼즐 배치(황민재) 1/10-1/17 </v>
      </c>
      <c r="AN49" s="191"/>
      <c r="AO49" s="191"/>
    </row>
    <row r="50" spans="1:41" ht="12" customHeight="1" outlineLevel="6">
      <c r="A50" s="203"/>
      <c r="B50" s="203"/>
      <c r="C50" s="203">
        <v>7</v>
      </c>
      <c r="D50" s="214" t="s">
        <v>1716</v>
      </c>
      <c r="E50" s="204"/>
      <c r="F50" s="204"/>
      <c r="G50" s="204"/>
      <c r="H50" s="204"/>
      <c r="I50" s="204"/>
      <c r="J50" s="204"/>
      <c r="K50" s="204" t="s">
        <v>1673</v>
      </c>
      <c r="L50" s="204"/>
      <c r="M50" s="204"/>
      <c r="N50" s="204"/>
      <c r="O50" s="204"/>
      <c r="P50" s="205">
        <v>44578</v>
      </c>
      <c r="Q50" s="205">
        <v>44581</v>
      </c>
      <c r="R50" s="206"/>
      <c r="S50" s="207">
        <v>4</v>
      </c>
      <c r="T50" s="207">
        <v>2</v>
      </c>
      <c r="U50" s="207">
        <v>4</v>
      </c>
      <c r="V50" s="207">
        <v>2</v>
      </c>
      <c r="W50" s="205"/>
      <c r="X50" s="205"/>
      <c r="Y50" s="208"/>
      <c r="Z50" s="209">
        <v>0</v>
      </c>
      <c r="AA50" s="207"/>
      <c r="AB50" s="206" t="s">
        <v>1603</v>
      </c>
      <c r="AC50" s="210"/>
      <c r="AD50" s="211">
        <v>0.5</v>
      </c>
      <c r="AE50" s="250">
        <v>0</v>
      </c>
      <c r="AF50" s="190"/>
      <c r="AG50" s="191"/>
      <c r="AH50" s="191"/>
      <c r="AI50" s="191"/>
      <c r="AJ50" s="191"/>
      <c r="AK50" s="191"/>
      <c r="AL50" s="191"/>
      <c r="AM50" s="191" t="str">
        <f>" " &amp; TEXT(AE50,"#0.00%") &amp; " " &amp; "튜토리얼 수집물 배치" &amp; "(황민재)" &amp; " " &amp; IF(P50="","",TEXT(P50,"M/D-")) &amp; IF(Q50="","",TEXT(Q50,"M/D")) &amp; " "</f>
        <v xml:space="preserve"> 0.00% 튜토리얼 수집물 배치(황민재) 1/17-1/20 </v>
      </c>
      <c r="AN50" s="191"/>
      <c r="AO50" s="191"/>
    </row>
    <row r="51" spans="1:41" ht="12" customHeight="1" outlineLevel="5">
      <c r="A51" s="203" t="s">
        <v>1641</v>
      </c>
      <c r="B51" s="203" t="s">
        <v>1570</v>
      </c>
      <c r="C51" s="203">
        <v>6</v>
      </c>
      <c r="D51" s="214" t="s">
        <v>1717</v>
      </c>
      <c r="E51" s="204"/>
      <c r="F51" s="204"/>
      <c r="G51" s="204"/>
      <c r="H51" s="204"/>
      <c r="I51" s="204"/>
      <c r="J51" s="204" t="s">
        <v>1642</v>
      </c>
      <c r="K51" s="204"/>
      <c r="L51" s="204"/>
      <c r="M51" s="204"/>
      <c r="N51" s="204"/>
      <c r="O51" s="204"/>
      <c r="P51" s="205"/>
      <c r="Q51" s="205"/>
      <c r="R51" s="206"/>
      <c r="S51" s="207">
        <v>0</v>
      </c>
      <c r="T51" s="207">
        <v>0</v>
      </c>
      <c r="U51" s="207">
        <v>0</v>
      </c>
      <c r="V51" s="207">
        <v>0</v>
      </c>
      <c r="W51" s="205"/>
      <c r="X51" s="205"/>
      <c r="Y51" s="208">
        <v>0</v>
      </c>
      <c r="Z51" s="209">
        <v>0</v>
      </c>
      <c r="AA51" s="207"/>
      <c r="AB51" s="206"/>
      <c r="AC51" s="210"/>
      <c r="AD51" s="211">
        <v>0</v>
      </c>
      <c r="AE51" s="216">
        <v>0</v>
      </c>
      <c r="AF51" s="190"/>
      <c r="AG51" s="191"/>
      <c r="AH51" s="191"/>
      <c r="AI51" s="191"/>
      <c r="AJ51" s="191"/>
      <c r="AK51" s="191"/>
      <c r="AL51" s="191"/>
      <c r="AM51" s="191"/>
      <c r="AN51" s="191"/>
      <c r="AO51" s="191"/>
    </row>
    <row r="52" spans="1:41" ht="12" customHeight="1" outlineLevel="6">
      <c r="A52" s="203"/>
      <c r="B52" s="203"/>
      <c r="C52" s="203">
        <v>7</v>
      </c>
      <c r="D52" s="214" t="s">
        <v>1718</v>
      </c>
      <c r="E52" s="204"/>
      <c r="F52" s="204"/>
      <c r="G52" s="204"/>
      <c r="H52" s="204"/>
      <c r="I52" s="204"/>
      <c r="J52" s="204"/>
      <c r="K52" s="204" t="s">
        <v>1593</v>
      </c>
      <c r="L52" s="204"/>
      <c r="M52" s="204"/>
      <c r="N52" s="204"/>
      <c r="O52" s="204"/>
      <c r="P52" s="205"/>
      <c r="Q52" s="205"/>
      <c r="R52" s="206"/>
      <c r="S52" s="207">
        <v>0</v>
      </c>
      <c r="T52" s="207">
        <v>0</v>
      </c>
      <c r="U52" s="207">
        <v>0</v>
      </c>
      <c r="V52" s="207">
        <v>0</v>
      </c>
      <c r="W52" s="205"/>
      <c r="X52" s="205"/>
      <c r="Y52" s="208">
        <v>0</v>
      </c>
      <c r="Z52" s="209">
        <v>0</v>
      </c>
      <c r="AA52" s="207"/>
      <c r="AB52" s="206" t="s">
        <v>1603</v>
      </c>
      <c r="AC52" s="210"/>
      <c r="AD52" s="211">
        <v>0</v>
      </c>
      <c r="AE52" s="216">
        <v>0</v>
      </c>
      <c r="AF52" s="190"/>
      <c r="AG52" s="191"/>
      <c r="AH52" s="191"/>
      <c r="AI52" s="191"/>
      <c r="AJ52" s="191"/>
      <c r="AK52" s="191"/>
      <c r="AL52" s="191"/>
      <c r="AM52" s="191"/>
      <c r="AN52" s="191"/>
      <c r="AO52" s="191"/>
    </row>
    <row r="53" spans="1:41" ht="12" customHeight="1" outlineLevel="6">
      <c r="A53" s="203"/>
      <c r="B53" s="203"/>
      <c r="C53" s="203">
        <v>7</v>
      </c>
      <c r="D53" s="214" t="s">
        <v>1719</v>
      </c>
      <c r="E53" s="204"/>
      <c r="F53" s="204"/>
      <c r="G53" s="204"/>
      <c r="H53" s="204"/>
      <c r="I53" s="204"/>
      <c r="J53" s="204"/>
      <c r="K53" s="204" t="s">
        <v>1592</v>
      </c>
      <c r="L53" s="204"/>
      <c r="M53" s="204"/>
      <c r="N53" s="204"/>
      <c r="O53" s="204"/>
      <c r="P53" s="205"/>
      <c r="Q53" s="205"/>
      <c r="R53" s="206"/>
      <c r="S53" s="207">
        <v>0</v>
      </c>
      <c r="T53" s="207">
        <v>0</v>
      </c>
      <c r="U53" s="207">
        <v>0</v>
      </c>
      <c r="V53" s="207">
        <v>0</v>
      </c>
      <c r="W53" s="205"/>
      <c r="X53" s="205"/>
      <c r="Y53" s="208">
        <v>0</v>
      </c>
      <c r="Z53" s="209">
        <v>0</v>
      </c>
      <c r="AA53" s="207"/>
      <c r="AB53" s="206" t="s">
        <v>1603</v>
      </c>
      <c r="AC53" s="210"/>
      <c r="AD53" s="211">
        <v>0</v>
      </c>
      <c r="AE53" s="216">
        <v>0</v>
      </c>
      <c r="AF53" s="190"/>
      <c r="AG53" s="191"/>
      <c r="AH53" s="191"/>
      <c r="AI53" s="191"/>
      <c r="AJ53" s="191"/>
      <c r="AK53" s="191"/>
      <c r="AL53" s="191"/>
      <c r="AM53" s="191"/>
      <c r="AN53" s="191"/>
      <c r="AO53" s="191"/>
    </row>
    <row r="54" spans="1:41" ht="12" customHeight="1" outlineLevel="6">
      <c r="A54" s="203"/>
      <c r="B54" s="203"/>
      <c r="C54" s="203">
        <v>7</v>
      </c>
      <c r="D54" s="214" t="s">
        <v>1720</v>
      </c>
      <c r="E54" s="204"/>
      <c r="F54" s="204"/>
      <c r="G54" s="204"/>
      <c r="H54" s="204"/>
      <c r="I54" s="204"/>
      <c r="J54" s="204"/>
      <c r="K54" s="204" t="s">
        <v>1594</v>
      </c>
      <c r="L54" s="204"/>
      <c r="M54" s="204"/>
      <c r="N54" s="204"/>
      <c r="O54" s="204"/>
      <c r="P54" s="205"/>
      <c r="Q54" s="205"/>
      <c r="R54" s="206"/>
      <c r="S54" s="207">
        <v>0</v>
      </c>
      <c r="T54" s="207">
        <v>0</v>
      </c>
      <c r="U54" s="207">
        <v>0</v>
      </c>
      <c r="V54" s="207">
        <v>0</v>
      </c>
      <c r="W54" s="205"/>
      <c r="X54" s="205"/>
      <c r="Y54" s="208">
        <v>0</v>
      </c>
      <c r="Z54" s="209">
        <v>0</v>
      </c>
      <c r="AA54" s="207"/>
      <c r="AB54" s="206" t="s">
        <v>1603</v>
      </c>
      <c r="AC54" s="210"/>
      <c r="AD54" s="211">
        <v>0</v>
      </c>
      <c r="AE54" s="216">
        <v>0</v>
      </c>
      <c r="AF54" s="190"/>
      <c r="AG54" s="191"/>
      <c r="AH54" s="191"/>
      <c r="AI54" s="191"/>
      <c r="AJ54" s="191"/>
      <c r="AK54" s="191"/>
      <c r="AL54" s="191"/>
      <c r="AM54" s="191"/>
      <c r="AN54" s="191"/>
      <c r="AO54" s="191"/>
    </row>
    <row r="55" spans="1:41" ht="12" customHeight="1" outlineLevel="6">
      <c r="A55" s="203"/>
      <c r="B55" s="203"/>
      <c r="C55" s="203">
        <v>7</v>
      </c>
      <c r="D55" s="214" t="s">
        <v>1721</v>
      </c>
      <c r="E55" s="204"/>
      <c r="F55" s="204"/>
      <c r="G55" s="204"/>
      <c r="H55" s="204"/>
      <c r="I55" s="204"/>
      <c r="J55" s="204"/>
      <c r="K55" s="204" t="s">
        <v>1595</v>
      </c>
      <c r="L55" s="204"/>
      <c r="M55" s="204"/>
      <c r="N55" s="204"/>
      <c r="O55" s="204"/>
      <c r="P55" s="205"/>
      <c r="Q55" s="205"/>
      <c r="R55" s="206"/>
      <c r="S55" s="207">
        <v>0</v>
      </c>
      <c r="T55" s="207">
        <v>0</v>
      </c>
      <c r="U55" s="207">
        <v>0</v>
      </c>
      <c r="V55" s="207">
        <v>0</v>
      </c>
      <c r="W55" s="205">
        <v>44190</v>
      </c>
      <c r="X55" s="205">
        <v>44208</v>
      </c>
      <c r="Y55" s="208">
        <v>0</v>
      </c>
      <c r="Z55" s="209">
        <v>11</v>
      </c>
      <c r="AA55" s="207">
        <v>1</v>
      </c>
      <c r="AB55" s="206" t="s">
        <v>1603</v>
      </c>
      <c r="AC55" s="210"/>
      <c r="AD55" s="211">
        <v>0</v>
      </c>
      <c r="AE55" s="216">
        <v>0</v>
      </c>
      <c r="AF55" s="190"/>
      <c r="AG55" s="191"/>
      <c r="AH55" s="191"/>
      <c r="AI55" s="191"/>
      <c r="AJ55" s="191"/>
      <c r="AK55" s="191"/>
      <c r="AL55" s="191"/>
      <c r="AM55" s="191"/>
      <c r="AN55" s="191"/>
      <c r="AO55" s="191"/>
    </row>
    <row r="56" spans="1:41" ht="12" customHeight="1" outlineLevel="4">
      <c r="A56" s="203"/>
      <c r="B56" s="203" t="s">
        <v>1570</v>
      </c>
      <c r="C56" s="203">
        <v>5</v>
      </c>
      <c r="D56" s="214" t="s">
        <v>1722</v>
      </c>
      <c r="E56" s="204"/>
      <c r="F56" s="204"/>
      <c r="G56" s="204"/>
      <c r="H56" s="204"/>
      <c r="I56" s="204" t="s">
        <v>1629</v>
      </c>
      <c r="J56" s="204"/>
      <c r="K56" s="204"/>
      <c r="L56" s="204"/>
      <c r="M56" s="204"/>
      <c r="N56" s="204"/>
      <c r="O56" s="204"/>
      <c r="P56" s="205">
        <v>44552</v>
      </c>
      <c r="Q56" s="205">
        <v>44571</v>
      </c>
      <c r="R56" s="206"/>
      <c r="S56" s="207">
        <v>14</v>
      </c>
      <c r="T56" s="207">
        <v>14</v>
      </c>
      <c r="U56" s="207">
        <v>14</v>
      </c>
      <c r="V56" s="207">
        <v>14</v>
      </c>
      <c r="W56" s="205"/>
      <c r="X56" s="205"/>
      <c r="Y56" s="208">
        <v>0</v>
      </c>
      <c r="Z56" s="209">
        <v>0</v>
      </c>
      <c r="AA56" s="207"/>
      <c r="AB56" s="206"/>
      <c r="AC56" s="210"/>
      <c r="AD56" s="211">
        <v>1</v>
      </c>
      <c r="AE56" s="247">
        <v>1</v>
      </c>
      <c r="AF56" s="190"/>
      <c r="AG56" s="191"/>
      <c r="AH56" s="191"/>
      <c r="AI56" s="191"/>
      <c r="AJ56" s="191"/>
      <c r="AK56" s="191"/>
      <c r="AL56" s="191" t="str">
        <f>"  " &amp; TEXT(AE56,"#0.00%") &amp; " " &amp; "게임 콘텐츠 기획" &amp; " " &amp; IF(P56="","",TEXT(P56,"M/D-")) &amp; IF(Q56="","",TEXT(Q56,"M/D")) &amp; " "</f>
        <v xml:space="preserve">  100.00% 게임 콘텐츠 기획 12/22-1/10 </v>
      </c>
      <c r="AM56" s="191"/>
      <c r="AN56" s="191"/>
      <c r="AO56" s="191"/>
    </row>
    <row r="57" spans="1:41" ht="12" customHeight="1" outlineLevel="5">
      <c r="A57" s="203"/>
      <c r="B57" s="203"/>
      <c r="C57" s="203">
        <v>6</v>
      </c>
      <c r="D57" s="214" t="s">
        <v>1723</v>
      </c>
      <c r="E57" s="204"/>
      <c r="F57" s="204"/>
      <c r="G57" s="204"/>
      <c r="H57" s="204"/>
      <c r="I57" s="204"/>
      <c r="J57" s="204" t="s">
        <v>1640</v>
      </c>
      <c r="K57" s="204"/>
      <c r="L57" s="204"/>
      <c r="M57" s="204"/>
      <c r="N57" s="204"/>
      <c r="O57" s="204"/>
      <c r="P57" s="205">
        <v>44552</v>
      </c>
      <c r="Q57" s="205">
        <v>44571</v>
      </c>
      <c r="R57" s="206"/>
      <c r="S57" s="207">
        <v>14</v>
      </c>
      <c r="T57" s="207">
        <v>14</v>
      </c>
      <c r="U57" s="207">
        <v>14</v>
      </c>
      <c r="V57" s="207">
        <v>14</v>
      </c>
      <c r="W57" s="205"/>
      <c r="X57" s="205"/>
      <c r="Y57" s="208"/>
      <c r="Z57" s="209">
        <v>0</v>
      </c>
      <c r="AA57" s="207"/>
      <c r="AB57" s="206" t="s">
        <v>1630</v>
      </c>
      <c r="AC57" s="210"/>
      <c r="AD57" s="211">
        <v>1</v>
      </c>
      <c r="AE57" s="213">
        <v>1</v>
      </c>
      <c r="AF57" s="190"/>
      <c r="AG57" s="191"/>
      <c r="AH57" s="191"/>
      <c r="AI57" s="191"/>
      <c r="AJ57" s="191"/>
      <c r="AK57" s="191"/>
      <c r="AL57" s="191" t="str">
        <f>"  " &amp; TEXT(AE57,"#0.00%") &amp; " " &amp; "챕터별 퍼즐 형태 기획" &amp; "(회의)" &amp; " " &amp; IF(P57="","",TEXT(P57,"M/D-")) &amp; IF(Q57="","",TEXT(Q57,"M/D")) &amp; " "</f>
        <v xml:space="preserve">  100.00% 챕터별 퍼즐 형태 기획(회의) 12/22-1/10 </v>
      </c>
      <c r="AM57" s="191"/>
      <c r="AN57" s="191"/>
      <c r="AO57" s="191"/>
    </row>
    <row r="58" spans="1:41" ht="12" customHeight="1" outlineLevel="3">
      <c r="A58" s="203"/>
      <c r="B58" s="203" t="s">
        <v>1570</v>
      </c>
      <c r="C58" s="203">
        <v>4</v>
      </c>
      <c r="D58" s="214" t="s">
        <v>1599</v>
      </c>
      <c r="E58" s="204"/>
      <c r="F58" s="204"/>
      <c r="G58" s="204"/>
      <c r="H58" s="204" t="s">
        <v>1724</v>
      </c>
      <c r="I58" s="204"/>
      <c r="J58" s="204"/>
      <c r="K58" s="204"/>
      <c r="L58" s="204"/>
      <c r="M58" s="204"/>
      <c r="N58" s="204"/>
      <c r="O58" s="204"/>
      <c r="P58" s="205">
        <v>44568</v>
      </c>
      <c r="Q58" s="205">
        <v>44571</v>
      </c>
      <c r="R58" s="206"/>
      <c r="S58" s="207">
        <v>2</v>
      </c>
      <c r="T58" s="207">
        <v>2</v>
      </c>
      <c r="U58" s="207">
        <v>2</v>
      </c>
      <c r="V58" s="207">
        <v>2</v>
      </c>
      <c r="W58" s="205"/>
      <c r="X58" s="205"/>
      <c r="Y58" s="208">
        <v>0</v>
      </c>
      <c r="Z58" s="209">
        <v>0</v>
      </c>
      <c r="AA58" s="207"/>
      <c r="AB58" s="206"/>
      <c r="AC58" s="210"/>
      <c r="AD58" s="211">
        <v>1</v>
      </c>
      <c r="AE58" s="251">
        <v>0.95</v>
      </c>
      <c r="AF58" s="190"/>
      <c r="AG58" s="191"/>
      <c r="AH58" s="191"/>
      <c r="AI58" s="191"/>
      <c r="AJ58" s="191"/>
      <c r="AK58" s="191"/>
      <c r="AL58" s="191" t="str">
        <f>"  " &amp; TEXT(AE58,"#0.00%") &amp; " " &amp; "기획서 작성" &amp; " " &amp; IF(P58="","",TEXT(P58,"M/D-")) &amp; IF(Q58="","",TEXT(Q58,"M/D")) &amp; " "</f>
        <v xml:space="preserve">  95.00% 기획서 작성 1/7-1/10 </v>
      </c>
      <c r="AM58" s="191"/>
      <c r="AN58" s="191"/>
      <c r="AO58" s="191"/>
    </row>
    <row r="59" spans="1:41" ht="12" customHeight="1" outlineLevel="4">
      <c r="A59" s="203"/>
      <c r="B59" s="203"/>
      <c r="C59" s="203">
        <v>5</v>
      </c>
      <c r="D59" s="214" t="s">
        <v>1600</v>
      </c>
      <c r="E59" s="204"/>
      <c r="F59" s="204"/>
      <c r="G59" s="204"/>
      <c r="H59" s="204"/>
      <c r="I59" s="204" t="s">
        <v>1725</v>
      </c>
      <c r="J59" s="204"/>
      <c r="K59" s="204"/>
      <c r="L59" s="204"/>
      <c r="M59" s="204"/>
      <c r="N59" s="204"/>
      <c r="O59" s="204"/>
      <c r="P59" s="205">
        <v>44568</v>
      </c>
      <c r="Q59" s="205">
        <v>44571</v>
      </c>
      <c r="R59" s="206"/>
      <c r="S59" s="207">
        <v>2</v>
      </c>
      <c r="T59" s="207">
        <v>2</v>
      </c>
      <c r="U59" s="207">
        <v>2</v>
      </c>
      <c r="V59" s="207">
        <v>2</v>
      </c>
      <c r="W59" s="205"/>
      <c r="X59" s="205"/>
      <c r="Y59" s="208"/>
      <c r="Z59" s="209">
        <v>0</v>
      </c>
      <c r="AA59" s="207"/>
      <c r="AB59" s="206" t="s">
        <v>1579</v>
      </c>
      <c r="AC59" s="210"/>
      <c r="AD59" s="211">
        <v>1</v>
      </c>
      <c r="AE59" s="250">
        <v>0.95</v>
      </c>
      <c r="AF59" s="190"/>
      <c r="AG59" s="191"/>
      <c r="AH59" s="191"/>
      <c r="AI59" s="191"/>
      <c r="AJ59" s="191"/>
      <c r="AK59" s="191"/>
      <c r="AL59" s="191" t="str">
        <f>"  " &amp; TEXT(AE59,"#0.00%") &amp; " " &amp; "전체 게임의 기획서 작성" &amp; "(권성빈)" &amp; " " &amp; IF(P59="","",TEXT(P59,"M/D-")) &amp; IF(Q59="","",TEXT(Q59,"M/D")) &amp; " "</f>
        <v xml:space="preserve">  95.00% 전체 게임의 기획서 작성(권성빈) 1/7-1/10 </v>
      </c>
      <c r="AM59" s="191"/>
      <c r="AN59" s="191"/>
      <c r="AO59" s="191"/>
    </row>
    <row r="60" spans="1:41" ht="12" customHeight="1" outlineLevel="1">
      <c r="A60" s="203"/>
      <c r="B60" s="203" t="s">
        <v>1570</v>
      </c>
      <c r="C60" s="203">
        <v>2</v>
      </c>
      <c r="D60" s="214" t="s">
        <v>1086</v>
      </c>
      <c r="E60" s="204"/>
      <c r="F60" s="204" t="s">
        <v>1605</v>
      </c>
      <c r="G60" s="204"/>
      <c r="H60" s="204"/>
      <c r="I60" s="204"/>
      <c r="J60" s="204"/>
      <c r="K60" s="204"/>
      <c r="L60" s="204"/>
      <c r="M60" s="204"/>
      <c r="N60" s="204"/>
      <c r="O60" s="204"/>
      <c r="P60" s="205">
        <v>44558</v>
      </c>
      <c r="Q60" s="205">
        <v>44586</v>
      </c>
      <c r="R60" s="206"/>
      <c r="S60" s="207">
        <v>72</v>
      </c>
      <c r="T60" s="207">
        <v>58</v>
      </c>
      <c r="U60" s="207">
        <v>21</v>
      </c>
      <c r="V60" s="207">
        <v>16</v>
      </c>
      <c r="W60" s="205"/>
      <c r="X60" s="205"/>
      <c r="Y60" s="208">
        <v>0</v>
      </c>
      <c r="Z60" s="209">
        <v>0</v>
      </c>
      <c r="AA60" s="207"/>
      <c r="AB60" s="206"/>
      <c r="AC60" s="210"/>
      <c r="AD60" s="211">
        <v>0.80555555555555558</v>
      </c>
      <c r="AE60" s="251">
        <v>0.38361111111111107</v>
      </c>
      <c r="AF60" s="190"/>
      <c r="AG60" s="191"/>
      <c r="AH60" s="191"/>
      <c r="AI60" s="191"/>
      <c r="AJ60" s="191"/>
      <c r="AK60" s="191" t="str">
        <f>"      " &amp; TEXT(AE60,"#0.00%") &amp; " " &amp; "아트 관련" &amp; " " &amp; IF(P60="","",TEXT(P60,"M/D-")) &amp; IF(Q60="","",TEXT(Q60,"M/D")) &amp; " "</f>
        <v xml:space="preserve">      38.36% 아트 관련 12/28-1/25 </v>
      </c>
      <c r="AL60" s="191"/>
      <c r="AM60" s="191"/>
      <c r="AN60" s="191"/>
      <c r="AO60" s="191"/>
    </row>
    <row r="61" spans="1:41" ht="12" customHeight="1" outlineLevel="2">
      <c r="A61" s="203"/>
      <c r="B61" s="203" t="s">
        <v>1570</v>
      </c>
      <c r="C61" s="203">
        <v>3</v>
      </c>
      <c r="D61" s="214" t="s">
        <v>1087</v>
      </c>
      <c r="E61" s="204"/>
      <c r="F61" s="204"/>
      <c r="G61" s="204" t="s">
        <v>1606</v>
      </c>
      <c r="H61" s="204"/>
      <c r="I61" s="204"/>
      <c r="J61" s="204"/>
      <c r="K61" s="204"/>
      <c r="L61" s="204"/>
      <c r="M61" s="204"/>
      <c r="N61" s="204"/>
      <c r="O61" s="204"/>
      <c r="P61" s="205">
        <v>44558</v>
      </c>
      <c r="Q61" s="205">
        <v>44585</v>
      </c>
      <c r="R61" s="206"/>
      <c r="S61" s="207">
        <v>39</v>
      </c>
      <c r="T61" s="207">
        <v>32</v>
      </c>
      <c r="U61" s="207">
        <v>20</v>
      </c>
      <c r="V61" s="207">
        <v>16</v>
      </c>
      <c r="W61" s="205"/>
      <c r="X61" s="205"/>
      <c r="Y61" s="208">
        <v>0</v>
      </c>
      <c r="Z61" s="209">
        <v>0</v>
      </c>
      <c r="AA61" s="207"/>
      <c r="AB61" s="206"/>
      <c r="AC61" s="210"/>
      <c r="AD61" s="211">
        <v>0.82051282051282048</v>
      </c>
      <c r="AE61" s="251">
        <v>0.16461538461538461</v>
      </c>
      <c r="AF61" s="190"/>
      <c r="AG61" s="191"/>
      <c r="AH61" s="191"/>
      <c r="AI61" s="191"/>
      <c r="AJ61" s="191"/>
      <c r="AK61" s="191" t="str">
        <f>"" &amp; TEXT(AE61,"#0.00%") &amp; " "</f>
        <v xml:space="preserve">16.46% </v>
      </c>
      <c r="AL61" s="191"/>
      <c r="AM61" s="191"/>
      <c r="AN61" s="191" t="str">
        <f>"  " &amp; "3D 모델 작업" &amp; " " &amp; IF(P61="","",TEXT(P61,"M/D-")) &amp; IF(Q61="","",TEXT(Q61,"M/D")) &amp; " "</f>
        <v xml:space="preserve">  3D 모델 작업 12/28-1/24 </v>
      </c>
      <c r="AO61" s="191"/>
    </row>
    <row r="62" spans="1:41" ht="12" customHeight="1" outlineLevel="3">
      <c r="A62" s="203"/>
      <c r="B62" s="203" t="s">
        <v>1570</v>
      </c>
      <c r="C62" s="203">
        <v>4</v>
      </c>
      <c r="D62" s="214" t="s">
        <v>1609</v>
      </c>
      <c r="E62" s="204"/>
      <c r="F62" s="204"/>
      <c r="G62" s="204"/>
      <c r="H62" s="204" t="s">
        <v>1608</v>
      </c>
      <c r="I62" s="204"/>
      <c r="J62" s="204"/>
      <c r="K62" s="204"/>
      <c r="L62" s="204"/>
      <c r="M62" s="204"/>
      <c r="N62" s="204"/>
      <c r="O62" s="204"/>
      <c r="P62" s="205">
        <v>44558</v>
      </c>
      <c r="Q62" s="205">
        <v>44585</v>
      </c>
      <c r="R62" s="206"/>
      <c r="S62" s="207">
        <v>39</v>
      </c>
      <c r="T62" s="207">
        <v>32</v>
      </c>
      <c r="U62" s="207">
        <v>20</v>
      </c>
      <c r="V62" s="207">
        <v>16</v>
      </c>
      <c r="W62" s="205"/>
      <c r="X62" s="205"/>
      <c r="Y62" s="208">
        <v>0</v>
      </c>
      <c r="Z62" s="209">
        <v>0</v>
      </c>
      <c r="AA62" s="207"/>
      <c r="AB62" s="206"/>
      <c r="AC62" s="210"/>
      <c r="AD62" s="211">
        <v>0.82051282051282048</v>
      </c>
      <c r="AE62" s="251">
        <v>0.16461538461538461</v>
      </c>
      <c r="AF62" s="190"/>
      <c r="AG62" s="191"/>
      <c r="AH62" s="191"/>
      <c r="AI62" s="191"/>
      <c r="AJ62" s="191"/>
      <c r="AK62" s="191" t="str">
        <f>"" &amp; TEXT(AE62,"#0.00%") &amp; " "</f>
        <v xml:space="preserve">16.46% </v>
      </c>
      <c r="AL62" s="191"/>
      <c r="AM62" s="191"/>
      <c r="AN62" s="191" t="str">
        <f>"  " &amp; "각종 사물들 작업" &amp; " " &amp; IF(P62="","",TEXT(P62,"M/D-")) &amp; IF(Q62="","",TEXT(Q62,"M/D")) &amp; " "</f>
        <v xml:space="preserve">  각종 사물들 작업 12/28-1/24 </v>
      </c>
      <c r="AO62" s="191"/>
    </row>
    <row r="63" spans="1:41" ht="12" customHeight="1" outlineLevel="4">
      <c r="A63" s="203"/>
      <c r="B63" s="203" t="s">
        <v>1570</v>
      </c>
      <c r="C63" s="203">
        <v>5</v>
      </c>
      <c r="D63" s="214" t="s">
        <v>1618</v>
      </c>
      <c r="E63" s="204"/>
      <c r="F63" s="204"/>
      <c r="G63" s="204"/>
      <c r="H63" s="204"/>
      <c r="I63" s="204" t="s">
        <v>1625</v>
      </c>
      <c r="J63" s="204"/>
      <c r="K63" s="204"/>
      <c r="L63" s="204"/>
      <c r="M63" s="204"/>
      <c r="N63" s="204"/>
      <c r="O63" s="204"/>
      <c r="P63" s="205">
        <v>44558</v>
      </c>
      <c r="Q63" s="205">
        <v>44585</v>
      </c>
      <c r="R63" s="206"/>
      <c r="S63" s="207">
        <v>39</v>
      </c>
      <c r="T63" s="207">
        <v>32</v>
      </c>
      <c r="U63" s="207">
        <v>20</v>
      </c>
      <c r="V63" s="207">
        <v>16</v>
      </c>
      <c r="W63" s="205"/>
      <c r="X63" s="205"/>
      <c r="Y63" s="208">
        <v>0</v>
      </c>
      <c r="Z63" s="209">
        <v>0</v>
      </c>
      <c r="AA63" s="207"/>
      <c r="AB63" s="206"/>
      <c r="AC63" s="210"/>
      <c r="AD63" s="211">
        <v>0.82051282051282048</v>
      </c>
      <c r="AE63" s="251">
        <v>0.16461538461538461</v>
      </c>
      <c r="AF63" s="190"/>
      <c r="AG63" s="191"/>
      <c r="AH63" s="191"/>
      <c r="AI63" s="191"/>
      <c r="AJ63" s="191"/>
      <c r="AK63" s="191" t="str">
        <f>"" &amp; TEXT(AE63,"#0.00%") &amp; " "</f>
        <v xml:space="preserve">16.46% </v>
      </c>
      <c r="AL63" s="191"/>
      <c r="AM63" s="191"/>
      <c r="AN63" s="191" t="str">
        <f>"  " &amp; "01. 튜토리얼" &amp; " " &amp; IF(P63="","",TEXT(P63,"M/D-")) &amp; IF(Q63="","",TEXT(Q63,"M/D")) &amp; " "</f>
        <v xml:space="preserve">  01. 튜토리얼 12/28-1/24 </v>
      </c>
      <c r="AO63" s="191"/>
    </row>
    <row r="64" spans="1:41" ht="12" customHeight="1" outlineLevel="5">
      <c r="A64" s="203"/>
      <c r="B64" s="203" t="s">
        <v>1570</v>
      </c>
      <c r="C64" s="203">
        <v>6</v>
      </c>
      <c r="D64" s="214" t="s">
        <v>1622</v>
      </c>
      <c r="E64" s="204"/>
      <c r="F64" s="204"/>
      <c r="G64" s="204"/>
      <c r="H64" s="204"/>
      <c r="I64" s="204"/>
      <c r="J64" s="204" t="s">
        <v>1617</v>
      </c>
      <c r="K64" s="204"/>
      <c r="L64" s="204"/>
      <c r="M64" s="204"/>
      <c r="N64" s="204"/>
      <c r="O64" s="204"/>
      <c r="P64" s="205">
        <v>44558</v>
      </c>
      <c r="Q64" s="205">
        <v>44581</v>
      </c>
      <c r="R64" s="206"/>
      <c r="S64" s="207">
        <v>32</v>
      </c>
      <c r="T64" s="207">
        <v>30</v>
      </c>
      <c r="U64" s="207">
        <v>18</v>
      </c>
      <c r="V64" s="207">
        <v>16</v>
      </c>
      <c r="W64" s="205"/>
      <c r="X64" s="205"/>
      <c r="Y64" s="208">
        <v>0</v>
      </c>
      <c r="Z64" s="209">
        <v>0</v>
      </c>
      <c r="AA64" s="207"/>
      <c r="AB64" s="206"/>
      <c r="AC64" s="210"/>
      <c r="AD64" s="211">
        <v>0.9375</v>
      </c>
      <c r="AE64" s="251">
        <v>0.200625</v>
      </c>
      <c r="AF64" s="190"/>
      <c r="AG64" s="191"/>
      <c r="AH64" s="191"/>
      <c r="AI64" s="191"/>
      <c r="AJ64" s="191"/>
      <c r="AK64" s="191" t="str">
        <f>"" &amp; TEXT(AE64,"#0.00%") &amp; " " &amp; "튜토리얼 관련 프롭 제작" &amp; " " &amp; IF(P64="","",TEXT(P64,"M/D-")) &amp; IF(Q64="","",TEXT(Q64,"M/D")) &amp; " "</f>
        <v xml:space="preserve">20.06% 튜토리얼 관련 프롭 제작 12/28-1/20 </v>
      </c>
      <c r="AL64" s="191"/>
      <c r="AM64" s="191"/>
      <c r="AN64" s="191"/>
      <c r="AO64" s="191"/>
    </row>
    <row r="65" spans="1:41" ht="12" customHeight="1" outlineLevel="6">
      <c r="A65" s="203"/>
      <c r="B65" s="203"/>
      <c r="C65" s="203">
        <v>7</v>
      </c>
      <c r="D65" s="214" t="s">
        <v>1644</v>
      </c>
      <c r="E65" s="204"/>
      <c r="F65" s="204"/>
      <c r="G65" s="204"/>
      <c r="H65" s="204"/>
      <c r="I65" s="204"/>
      <c r="J65" s="204"/>
      <c r="K65" s="204" t="s">
        <v>1639</v>
      </c>
      <c r="L65" s="204"/>
      <c r="M65" s="204"/>
      <c r="N65" s="204"/>
      <c r="O65" s="204"/>
      <c r="P65" s="205">
        <v>44558</v>
      </c>
      <c r="Q65" s="205">
        <v>44577</v>
      </c>
      <c r="R65" s="206"/>
      <c r="S65" s="207">
        <v>14</v>
      </c>
      <c r="T65" s="207">
        <v>14</v>
      </c>
      <c r="U65" s="207">
        <v>14</v>
      </c>
      <c r="V65" s="207">
        <v>14</v>
      </c>
      <c r="W65" s="205"/>
      <c r="X65" s="205"/>
      <c r="Y65" s="208"/>
      <c r="Z65" s="209">
        <v>0</v>
      </c>
      <c r="AA65" s="207"/>
      <c r="AB65" s="206" t="s">
        <v>1603</v>
      </c>
      <c r="AC65" s="210"/>
      <c r="AD65" s="211">
        <v>1</v>
      </c>
      <c r="AE65" s="250">
        <v>0.33</v>
      </c>
      <c r="AF65" s="190"/>
      <c r="AG65" s="191"/>
      <c r="AH65" s="191"/>
      <c r="AI65" s="191"/>
      <c r="AJ65" s="191"/>
      <c r="AK65" s="191" t="str">
        <f>"  " &amp; TEXT(AE65,"#0.00%") &amp; " " &amp; "러시아워 퍼즐 프롭 제작" &amp; "(황민재)" &amp; " " &amp; IF(P65="","",TEXT(P65,"M/D-")) &amp; IF(Q65="","",TEXT(Q65,"M/D")) &amp; " "</f>
        <v xml:space="preserve">  33.00% 러시아워 퍼즐 프롭 제작(황민재) 12/28-1/16 </v>
      </c>
      <c r="AL65" s="191"/>
      <c r="AM65" s="191"/>
      <c r="AN65" s="191"/>
      <c r="AO65" s="191"/>
    </row>
    <row r="66" spans="1:41" ht="12" customHeight="1" outlineLevel="6">
      <c r="A66" s="203"/>
      <c r="B66" s="203"/>
      <c r="C66" s="203">
        <v>7</v>
      </c>
      <c r="D66" s="214" t="s">
        <v>1646</v>
      </c>
      <c r="E66" s="204"/>
      <c r="F66" s="204"/>
      <c r="G66" s="204"/>
      <c r="H66" s="204"/>
      <c r="I66" s="204"/>
      <c r="J66" s="204"/>
      <c r="K66" s="204" t="s">
        <v>1645</v>
      </c>
      <c r="L66" s="204"/>
      <c r="M66" s="204"/>
      <c r="N66" s="204"/>
      <c r="O66" s="204"/>
      <c r="P66" s="205">
        <v>44558</v>
      </c>
      <c r="Q66" s="205">
        <v>44581</v>
      </c>
      <c r="R66" s="206"/>
      <c r="S66" s="207">
        <v>18</v>
      </c>
      <c r="T66" s="207">
        <v>16</v>
      </c>
      <c r="U66" s="207">
        <v>18</v>
      </c>
      <c r="V66" s="207">
        <v>16</v>
      </c>
      <c r="W66" s="205"/>
      <c r="X66" s="205"/>
      <c r="Y66" s="208"/>
      <c r="Z66" s="209">
        <v>0</v>
      </c>
      <c r="AA66" s="207"/>
      <c r="AB66" s="206" t="s">
        <v>1603</v>
      </c>
      <c r="AC66" s="210"/>
      <c r="AD66" s="211">
        <v>0.88888888888888884</v>
      </c>
      <c r="AE66" s="250">
        <v>0.1</v>
      </c>
      <c r="AF66" s="190"/>
      <c r="AG66" s="191"/>
      <c r="AH66" s="191"/>
      <c r="AI66" s="191"/>
      <c r="AJ66" s="191" t="str">
        <f>"    " &amp; TEXT(AE66,"#0.00%") &amp; " " &amp; "튜토리얼 맵 프롭" &amp; "(황민재)" &amp; " " &amp; IF(P66="","",TEXT(P66,"M/D-")) &amp; IF(Q66="","",TEXT(Q66,"M/D")) &amp; " "</f>
        <v xml:space="preserve">    10.00% 튜토리얼 맵 프롭(황민재) 12/28-1/20 </v>
      </c>
      <c r="AK66" s="191"/>
      <c r="AL66" s="191"/>
      <c r="AM66" s="191"/>
      <c r="AN66" s="191"/>
      <c r="AO66" s="191"/>
    </row>
    <row r="67" spans="1:41" ht="12" customHeight="1" outlineLevel="5">
      <c r="A67" s="204" t="s">
        <v>1639</v>
      </c>
      <c r="B67" s="203"/>
      <c r="C67" s="203">
        <v>6</v>
      </c>
      <c r="D67" s="214" t="s">
        <v>1623</v>
      </c>
      <c r="E67" s="204"/>
      <c r="F67" s="204"/>
      <c r="G67" s="204"/>
      <c r="H67" s="204"/>
      <c r="I67" s="204"/>
      <c r="J67" s="204" t="s">
        <v>1619</v>
      </c>
      <c r="K67" s="204"/>
      <c r="L67" s="204"/>
      <c r="M67" s="204"/>
      <c r="N67" s="204"/>
      <c r="O67" s="204"/>
      <c r="P67" s="205">
        <v>44578</v>
      </c>
      <c r="Q67" s="205">
        <v>44581</v>
      </c>
      <c r="R67" s="206"/>
      <c r="S67" s="207">
        <v>4</v>
      </c>
      <c r="T67" s="207">
        <v>2</v>
      </c>
      <c r="U67" s="207">
        <v>4</v>
      </c>
      <c r="V67" s="207">
        <v>2</v>
      </c>
      <c r="W67" s="205"/>
      <c r="X67" s="205"/>
      <c r="Y67" s="208"/>
      <c r="Z67" s="209">
        <v>0</v>
      </c>
      <c r="AA67" s="207"/>
      <c r="AB67" s="206" t="s">
        <v>1603</v>
      </c>
      <c r="AC67" s="210"/>
      <c r="AD67" s="211">
        <v>0.5</v>
      </c>
      <c r="AE67" s="250">
        <v>0</v>
      </c>
      <c r="AF67" s="190"/>
      <c r="AG67" s="191"/>
      <c r="AH67" s="191"/>
      <c r="AI67" s="191"/>
      <c r="AJ67" s="191"/>
      <c r="AK67" s="191"/>
      <c r="AL67" s="191"/>
      <c r="AM67" s="191" t="str">
        <f>" " &amp; TEXT(AE67,"#0.00%") &amp; " " &amp; "튜토리얼 관련 맵 제작" &amp; "(황민재)" &amp; " " &amp; IF(P67="","",TEXT(P67,"M/D-")) &amp; IF(Q67="","",TEXT(Q67,"M/D")) &amp; " "</f>
        <v xml:space="preserve"> 0.00% 튜토리얼 관련 맵 제작(황민재) 1/17-1/20 </v>
      </c>
      <c r="AN67" s="191"/>
      <c r="AO67" s="191"/>
    </row>
    <row r="68" spans="1:41" ht="12" customHeight="1" outlineLevel="5">
      <c r="A68" s="203"/>
      <c r="B68" s="203"/>
      <c r="C68" s="203">
        <v>6</v>
      </c>
      <c r="D68" s="214" t="s">
        <v>1624</v>
      </c>
      <c r="E68" s="204"/>
      <c r="F68" s="204"/>
      <c r="G68" s="204"/>
      <c r="H68" s="204"/>
      <c r="I68" s="204"/>
      <c r="J68" s="204" t="s">
        <v>1620</v>
      </c>
      <c r="K68" s="204"/>
      <c r="L68" s="204"/>
      <c r="M68" s="204"/>
      <c r="N68" s="204"/>
      <c r="O68" s="204"/>
      <c r="P68" s="205">
        <v>44581</v>
      </c>
      <c r="Q68" s="205">
        <v>44585</v>
      </c>
      <c r="R68" s="206"/>
      <c r="S68" s="207">
        <v>3</v>
      </c>
      <c r="T68" s="207">
        <v>0</v>
      </c>
      <c r="U68" s="207">
        <v>3</v>
      </c>
      <c r="V68" s="207">
        <v>0</v>
      </c>
      <c r="W68" s="205"/>
      <c r="X68" s="205"/>
      <c r="Y68" s="208"/>
      <c r="Z68" s="209">
        <v>0</v>
      </c>
      <c r="AA68" s="207"/>
      <c r="AB68" s="206" t="s">
        <v>1603</v>
      </c>
      <c r="AC68" s="210"/>
      <c r="AD68" s="211">
        <v>0</v>
      </c>
      <c r="AE68" s="213">
        <v>0</v>
      </c>
      <c r="AF68" s="190"/>
      <c r="AG68" s="191"/>
      <c r="AH68" s="191"/>
      <c r="AI68" s="191"/>
      <c r="AJ68" s="191"/>
      <c r="AK68" s="191"/>
      <c r="AL68" s="191"/>
      <c r="AM68" s="191" t="str">
        <f>"    " &amp; TEXT(AE68,"#0.00%") &amp; " " &amp; "튜토리얼 맵에 사물 배치 ( 기획 적용 )" &amp; "(황민재)" &amp; " " &amp; IF(P68="","",TEXT(P68,"M/D-")) &amp; IF(Q68="","",TEXT(Q68,"M/D")) &amp; " "</f>
        <v xml:space="preserve">    0.00% 튜토리얼 맵에 사물 배치 ( 기획 적용 )(황민재) 1/20-1/24 </v>
      </c>
      <c r="AN68" s="191"/>
      <c r="AO68" s="191"/>
    </row>
    <row r="69" spans="1:41" ht="12" customHeight="1" outlineLevel="2">
      <c r="A69" s="203"/>
      <c r="B69" s="203" t="s">
        <v>1570</v>
      </c>
      <c r="C69" s="203">
        <v>3</v>
      </c>
      <c r="D69" s="214" t="s">
        <v>1107</v>
      </c>
      <c r="E69" s="204"/>
      <c r="F69" s="204"/>
      <c r="G69" s="204" t="s">
        <v>1607</v>
      </c>
      <c r="H69" s="204"/>
      <c r="I69" s="204"/>
      <c r="J69" s="204"/>
      <c r="K69" s="204"/>
      <c r="L69" s="204"/>
      <c r="M69" s="204"/>
      <c r="N69" s="204"/>
      <c r="O69" s="204"/>
      <c r="P69" s="205">
        <v>44562</v>
      </c>
      <c r="Q69" s="205">
        <v>44586</v>
      </c>
      <c r="R69" s="206"/>
      <c r="S69" s="207">
        <v>33</v>
      </c>
      <c r="T69" s="207">
        <v>26</v>
      </c>
      <c r="U69" s="207">
        <v>17</v>
      </c>
      <c r="V69" s="207">
        <v>12</v>
      </c>
      <c r="W69" s="205"/>
      <c r="X69" s="205"/>
      <c r="Y69" s="208">
        <v>0</v>
      </c>
      <c r="Z69" s="209">
        <v>0</v>
      </c>
      <c r="AA69" s="207"/>
      <c r="AB69" s="206"/>
      <c r="AC69" s="210"/>
      <c r="AD69" s="211">
        <v>0.78787878787878785</v>
      </c>
      <c r="AE69" s="251">
        <v>0.64242424242424245</v>
      </c>
      <c r="AF69" s="190"/>
      <c r="AG69" s="191"/>
      <c r="AH69" s="191"/>
      <c r="AI69" s="191"/>
      <c r="AJ69" s="191"/>
      <c r="AK69" s="191"/>
      <c r="AL69" s="191"/>
      <c r="AM69" s="191" t="str">
        <f>" " &amp; TEXT(AE69,"#0.00%") &amp; " " &amp; "2D 이미지 작업" &amp; " " &amp; IF(P69="","",TEXT(P69,"M/D-")) &amp; IF(Q69="","",TEXT(Q69,"M/D")) &amp; " "</f>
        <v xml:space="preserve"> 64.24% 2D 이미지 작업 1/1-1/25 </v>
      </c>
      <c r="AN69" s="191"/>
      <c r="AO69" s="191"/>
    </row>
    <row r="70" spans="1:41" ht="12" customHeight="1" outlineLevel="3">
      <c r="A70" s="203"/>
      <c r="B70" s="203" t="s">
        <v>1570</v>
      </c>
      <c r="C70" s="203">
        <v>4</v>
      </c>
      <c r="D70" s="214" t="s">
        <v>1610</v>
      </c>
      <c r="E70" s="204"/>
      <c r="F70" s="204"/>
      <c r="G70" s="204"/>
      <c r="H70" s="204" t="s">
        <v>1621</v>
      </c>
      <c r="I70" s="204"/>
      <c r="J70" s="204"/>
      <c r="K70" s="204"/>
      <c r="L70" s="204"/>
      <c r="M70" s="204"/>
      <c r="N70" s="204"/>
      <c r="O70" s="204"/>
      <c r="P70" s="205">
        <v>44562</v>
      </c>
      <c r="Q70" s="205">
        <v>44586</v>
      </c>
      <c r="R70" s="206"/>
      <c r="S70" s="207">
        <v>33</v>
      </c>
      <c r="T70" s="207">
        <v>26</v>
      </c>
      <c r="U70" s="207">
        <v>17</v>
      </c>
      <c r="V70" s="207">
        <v>12</v>
      </c>
      <c r="W70" s="205"/>
      <c r="X70" s="205"/>
      <c r="Y70" s="208">
        <v>0</v>
      </c>
      <c r="Z70" s="209">
        <v>0</v>
      </c>
      <c r="AA70" s="207"/>
      <c r="AB70" s="206"/>
      <c r="AC70" s="210"/>
      <c r="AD70" s="211">
        <v>0.78787878787878785</v>
      </c>
      <c r="AE70" s="251">
        <v>0.64242424242424245</v>
      </c>
      <c r="AF70" s="190"/>
      <c r="AG70" s="191"/>
      <c r="AH70" s="191"/>
      <c r="AI70" s="191"/>
      <c r="AJ70" s="191"/>
      <c r="AK70" s="191"/>
      <c r="AL70" s="191"/>
      <c r="AM70" s="191" t="str">
        <f>" " &amp; TEXT(AE70,"#0.00%") &amp; " " &amp; "UI 디자인 및 기획" &amp; " " &amp; IF(P70="","",TEXT(P70,"M/D-")) &amp; IF(Q70="","",TEXT(Q70,"M/D")) &amp; " "</f>
        <v xml:space="preserve"> 64.24% UI 디자인 및 기획 1/1-1/25 </v>
      </c>
      <c r="AN70" s="191"/>
      <c r="AO70" s="191"/>
    </row>
    <row r="71" spans="1:41" ht="12" customHeight="1" outlineLevel="4">
      <c r="A71" s="203"/>
      <c r="B71" s="203"/>
      <c r="C71" s="203">
        <v>5</v>
      </c>
      <c r="D71" s="214" t="s">
        <v>1627</v>
      </c>
      <c r="E71" s="204"/>
      <c r="F71" s="204"/>
      <c r="G71" s="204"/>
      <c r="H71" s="204"/>
      <c r="I71" s="204" t="s">
        <v>1626</v>
      </c>
      <c r="J71" s="204"/>
      <c r="K71" s="204"/>
      <c r="L71" s="204"/>
      <c r="M71" s="204"/>
      <c r="N71" s="204"/>
      <c r="O71" s="204"/>
      <c r="P71" s="205">
        <v>44571</v>
      </c>
      <c r="Q71" s="205">
        <v>44586</v>
      </c>
      <c r="R71" s="206"/>
      <c r="S71" s="207">
        <v>12</v>
      </c>
      <c r="T71" s="207">
        <v>7</v>
      </c>
      <c r="U71" s="207">
        <v>12</v>
      </c>
      <c r="V71" s="207">
        <v>7</v>
      </c>
      <c r="W71" s="205"/>
      <c r="X71" s="205"/>
      <c r="Y71" s="208"/>
      <c r="Z71" s="209">
        <v>0</v>
      </c>
      <c r="AA71" s="207">
        <v>1</v>
      </c>
      <c r="AB71" s="206" t="s">
        <v>1704</v>
      </c>
      <c r="AC71" s="210"/>
      <c r="AD71" s="211">
        <v>0.58333333333333337</v>
      </c>
      <c r="AE71" s="248">
        <v>0.6</v>
      </c>
      <c r="AF71" s="190"/>
      <c r="AG71" s="191"/>
      <c r="AH71" s="191"/>
      <c r="AI71" s="191"/>
      <c r="AJ71" s="191"/>
      <c r="AK71" s="191"/>
      <c r="AL71" s="191"/>
      <c r="AM71" s="191" t="str">
        <f>"    " &amp; TEXT(AE71,"#0.00%") &amp; " " &amp; "타이틀 화면 UI 디자인" &amp; "(이재유 및 팀원)" &amp; " " &amp; IF(P71="","",TEXT(P71,"M/D-")) &amp; IF(Q71="","",TEXT(Q71,"M/D")) &amp; " "</f>
        <v xml:space="preserve">    60.00% 타이틀 화면 UI 디자인(이재유 및 팀원) 1/10-1/25 </v>
      </c>
      <c r="AN71" s="191"/>
      <c r="AO71" s="191"/>
    </row>
    <row r="72" spans="1:41" ht="12" customHeight="1" outlineLevel="4">
      <c r="A72" s="203"/>
      <c r="B72" s="203"/>
      <c r="C72" s="203">
        <v>5</v>
      </c>
      <c r="D72" s="214" t="s">
        <v>1628</v>
      </c>
      <c r="E72" s="204"/>
      <c r="F72" s="204"/>
      <c r="G72" s="204"/>
      <c r="H72" s="204"/>
      <c r="I72" s="204" t="s">
        <v>1661</v>
      </c>
      <c r="J72" s="204"/>
      <c r="K72" s="204"/>
      <c r="L72" s="204"/>
      <c r="M72" s="204"/>
      <c r="N72" s="204"/>
      <c r="O72" s="204"/>
      <c r="P72" s="205">
        <v>44562</v>
      </c>
      <c r="Q72" s="205">
        <v>44574</v>
      </c>
      <c r="R72" s="206"/>
      <c r="S72" s="207">
        <v>9</v>
      </c>
      <c r="T72" s="207">
        <v>9</v>
      </c>
      <c r="U72" s="207">
        <v>9</v>
      </c>
      <c r="V72" s="207">
        <v>9</v>
      </c>
      <c r="W72" s="205"/>
      <c r="X72" s="205"/>
      <c r="Y72" s="208"/>
      <c r="Z72" s="209">
        <v>0</v>
      </c>
      <c r="AA72" s="207">
        <v>1</v>
      </c>
      <c r="AB72" s="206" t="s">
        <v>1703</v>
      </c>
      <c r="AC72" s="210"/>
      <c r="AD72" s="211">
        <v>1</v>
      </c>
      <c r="AE72" s="213">
        <v>1</v>
      </c>
      <c r="AF72" s="190"/>
      <c r="AG72" s="191"/>
      <c r="AH72" s="191"/>
      <c r="AI72" s="191"/>
      <c r="AJ72" s="191"/>
      <c r="AK72" s="191"/>
      <c r="AL72" s="191" t="str">
        <f>"     " &amp; TEXT(AE72,"#0.00%") &amp; " " &amp; "인벤토리 기획" &amp; "(이재유 / 권성빈)" &amp; " " &amp; IF(P72="","",TEXT(P72,"M/D-")) &amp; IF(Q72="","",TEXT(Q72,"M/D")) &amp; " "</f>
        <v xml:space="preserve">     100.00% 인벤토리 기획(이재유 / 권성빈) 1/1-1/13 </v>
      </c>
      <c r="AM72" s="191"/>
      <c r="AN72" s="191"/>
      <c r="AO72" s="191"/>
    </row>
    <row r="73" spans="1:41" ht="12" customHeight="1" outlineLevel="4">
      <c r="A73" s="203"/>
      <c r="B73" s="203"/>
      <c r="C73" s="203">
        <v>5</v>
      </c>
      <c r="D73" s="214" t="s">
        <v>1663</v>
      </c>
      <c r="E73" s="204"/>
      <c r="F73" s="204"/>
      <c r="G73" s="204"/>
      <c r="H73" s="204"/>
      <c r="I73" s="204" t="s">
        <v>1662</v>
      </c>
      <c r="J73" s="204"/>
      <c r="K73" s="204"/>
      <c r="L73" s="204"/>
      <c r="M73" s="204"/>
      <c r="N73" s="204"/>
      <c r="O73" s="204"/>
      <c r="P73" s="205">
        <v>44573</v>
      </c>
      <c r="Q73" s="205">
        <v>44581</v>
      </c>
      <c r="R73" s="206"/>
      <c r="S73" s="207">
        <v>7</v>
      </c>
      <c r="T73" s="207">
        <v>5</v>
      </c>
      <c r="U73" s="207">
        <v>7</v>
      </c>
      <c r="V73" s="207">
        <v>5</v>
      </c>
      <c r="W73" s="205"/>
      <c r="X73" s="205"/>
      <c r="Y73" s="208"/>
      <c r="Z73" s="209">
        <v>0</v>
      </c>
      <c r="AA73" s="207">
        <v>1</v>
      </c>
      <c r="AB73" s="206" t="s">
        <v>1703</v>
      </c>
      <c r="AC73" s="210"/>
      <c r="AD73" s="211">
        <v>0.7142857142857143</v>
      </c>
      <c r="AE73" s="250">
        <v>0</v>
      </c>
      <c r="AF73" s="190"/>
      <c r="AG73" s="191"/>
      <c r="AH73" s="191"/>
      <c r="AI73" s="191"/>
      <c r="AJ73" s="191"/>
      <c r="AK73" s="191"/>
      <c r="AL73" s="191" t="str">
        <f>"   " &amp; TEXT(AE73,"#0.00%") &amp; " " &amp; "진단서 UI 기획" &amp; "(이재유 / 권성빈)" &amp; " " &amp; IF(P73="","",TEXT(P73,"M/D-")) &amp; IF(Q73="","",TEXT(Q73,"M/D")) &amp; " "</f>
        <v xml:space="preserve">   0.00% 진단서 UI 기획(이재유 / 권성빈) 1/12-1/20 </v>
      </c>
      <c r="AM73" s="191"/>
      <c r="AN73" s="191"/>
      <c r="AO73" s="191"/>
    </row>
    <row r="74" spans="1:41" ht="12" customHeight="1" outlineLevel="4">
      <c r="A74" s="203"/>
      <c r="B74" s="203"/>
      <c r="C74" s="203">
        <v>5</v>
      </c>
      <c r="D74" s="214" t="s">
        <v>1665</v>
      </c>
      <c r="E74" s="204"/>
      <c r="F74" s="204"/>
      <c r="G74" s="204"/>
      <c r="H74" s="204"/>
      <c r="I74" s="204" t="s">
        <v>1664</v>
      </c>
      <c r="J74" s="204"/>
      <c r="K74" s="204"/>
      <c r="L74" s="204"/>
      <c r="M74" s="204"/>
      <c r="N74" s="204"/>
      <c r="O74" s="204"/>
      <c r="P74" s="205">
        <v>44564</v>
      </c>
      <c r="Q74" s="205">
        <v>44568</v>
      </c>
      <c r="R74" s="206"/>
      <c r="S74" s="207">
        <v>5</v>
      </c>
      <c r="T74" s="207">
        <v>5</v>
      </c>
      <c r="U74" s="207">
        <v>5</v>
      </c>
      <c r="V74" s="207">
        <v>5</v>
      </c>
      <c r="W74" s="205"/>
      <c r="X74" s="205"/>
      <c r="Y74" s="208"/>
      <c r="Z74" s="209">
        <v>0</v>
      </c>
      <c r="AA74" s="207">
        <v>1</v>
      </c>
      <c r="AB74" s="206" t="s">
        <v>1703</v>
      </c>
      <c r="AC74" s="210"/>
      <c r="AD74" s="211">
        <v>1</v>
      </c>
      <c r="AE74" s="213">
        <v>1</v>
      </c>
      <c r="AF74" s="190"/>
      <c r="AG74" s="191"/>
      <c r="AH74" s="191"/>
      <c r="AI74" s="191"/>
      <c r="AJ74" s="191"/>
      <c r="AK74" s="191" t="str">
        <f>"      " &amp; TEXT(AE74,"#0.00%") &amp; " " &amp; "인게임 일시정지 메뉴 기획" &amp; "(이재유 / 권성빈)" &amp; " " &amp; IF(P74="","",TEXT(P74,"M/D-")) &amp; IF(Q74="","",TEXT(Q74,"M/D")) &amp; " "</f>
        <v xml:space="preserve">      100.00% 인게임 일시정지 메뉴 기획(이재유 / 권성빈) 1/3-1/7 </v>
      </c>
      <c r="AL74" s="191"/>
      <c r="AM74" s="191"/>
      <c r="AN74" s="191"/>
      <c r="AO74" s="191"/>
    </row>
    <row r="75" spans="1:41" ht="12" customHeight="1">
      <c r="A75" s="236"/>
      <c r="B75" s="236"/>
      <c r="C75" s="236">
        <v>0</v>
      </c>
      <c r="D75" s="237"/>
      <c r="E75" s="238"/>
      <c r="F75" s="238"/>
      <c r="G75" s="238"/>
      <c r="H75" s="238"/>
      <c r="I75" s="238"/>
      <c r="J75" s="238"/>
      <c r="K75" s="238"/>
      <c r="L75" s="238"/>
      <c r="M75" s="238"/>
      <c r="N75" s="238"/>
      <c r="O75" s="238"/>
      <c r="P75" s="239"/>
      <c r="Q75" s="239"/>
      <c r="R75" s="240"/>
      <c r="S75" s="241"/>
      <c r="T75" s="241"/>
      <c r="U75" s="241"/>
      <c r="V75" s="241"/>
      <c r="W75" s="239"/>
      <c r="X75" s="239"/>
      <c r="Y75" s="242"/>
      <c r="Z75" s="243">
        <v>0</v>
      </c>
      <c r="AA75" s="241"/>
      <c r="AB75" s="240"/>
      <c r="AC75" s="244"/>
      <c r="AD75" s="245"/>
      <c r="AE75" s="246"/>
      <c r="AF75" s="189"/>
      <c r="AG75" s="189"/>
      <c r="AH75" s="189"/>
      <c r="AI75" s="189"/>
      <c r="AJ75" s="189"/>
      <c r="AK75" s="189"/>
      <c r="AL75" s="189"/>
      <c r="AM75" s="189"/>
      <c r="AN75" s="189"/>
      <c r="AO75" s="189"/>
    </row>
    <row r="76" spans="1:41" ht="12" customHeight="1">
      <c r="A76" s="203"/>
      <c r="B76" s="203"/>
      <c r="C76" s="203">
        <v>0</v>
      </c>
      <c r="D76" s="214"/>
      <c r="E76" s="204"/>
      <c r="F76" s="204"/>
      <c r="G76" s="204"/>
      <c r="H76" s="204"/>
      <c r="I76" s="204"/>
      <c r="J76" s="204"/>
      <c r="K76" s="204"/>
      <c r="L76" s="204"/>
      <c r="M76" s="204"/>
      <c r="N76" s="204"/>
      <c r="O76" s="204"/>
      <c r="P76" s="205"/>
      <c r="Q76" s="205"/>
      <c r="R76" s="206"/>
      <c r="S76" s="207"/>
      <c r="T76" s="207"/>
      <c r="U76" s="207"/>
      <c r="V76" s="207"/>
      <c r="W76" s="205"/>
      <c r="X76" s="205"/>
      <c r="Y76" s="208"/>
      <c r="Z76" s="209">
        <v>0</v>
      </c>
      <c r="AA76" s="207"/>
      <c r="AB76" s="206"/>
      <c r="AC76" s="210"/>
      <c r="AD76" s="211"/>
      <c r="AE76" s="216"/>
    </row>
    <row r="77" spans="1:41" ht="12" customHeight="1">
      <c r="A77" s="203"/>
      <c r="B77" s="203"/>
      <c r="C77" s="203">
        <v>0</v>
      </c>
      <c r="D77" s="214"/>
      <c r="E77" s="204"/>
      <c r="F77" s="204"/>
      <c r="G77" s="204"/>
      <c r="H77" s="204"/>
      <c r="I77" s="204"/>
      <c r="J77" s="204"/>
      <c r="K77" s="204"/>
      <c r="L77" s="204"/>
      <c r="M77" s="204"/>
      <c r="N77" s="204"/>
      <c r="O77" s="204"/>
      <c r="P77" s="205"/>
      <c r="Q77" s="205"/>
      <c r="R77" s="206"/>
      <c r="S77" s="207"/>
      <c r="T77" s="207"/>
      <c r="U77" s="207"/>
      <c r="V77" s="207"/>
      <c r="W77" s="205"/>
      <c r="X77" s="205"/>
      <c r="Y77" s="208"/>
      <c r="Z77" s="209">
        <v>0</v>
      </c>
      <c r="AA77" s="207">
        <v>1</v>
      </c>
      <c r="AB77" s="206"/>
      <c r="AC77" s="210"/>
      <c r="AD77" s="211"/>
      <c r="AE77" s="216"/>
    </row>
    <row r="78" spans="1:41" ht="12" customHeight="1">
      <c r="A78" s="203"/>
      <c r="B78" s="203"/>
      <c r="C78" s="203">
        <v>0</v>
      </c>
      <c r="D78" s="214"/>
      <c r="E78" s="204"/>
      <c r="F78" s="204"/>
      <c r="G78" s="204"/>
      <c r="H78" s="204"/>
      <c r="I78" s="204"/>
      <c r="J78" s="204"/>
      <c r="K78" s="204"/>
      <c r="L78" s="204"/>
      <c r="M78" s="204"/>
      <c r="N78" s="204"/>
      <c r="O78" s="204"/>
      <c r="P78" s="205"/>
      <c r="Q78" s="205"/>
      <c r="R78" s="206"/>
      <c r="S78" s="207"/>
      <c r="T78" s="207"/>
      <c r="U78" s="207"/>
      <c r="V78" s="207"/>
      <c r="W78" s="205"/>
      <c r="X78" s="205"/>
      <c r="Y78" s="208"/>
      <c r="Z78" s="209">
        <v>0</v>
      </c>
      <c r="AA78" s="207"/>
      <c r="AB78" s="206"/>
      <c r="AC78" s="210"/>
      <c r="AD78" s="211"/>
      <c r="AE78" s="216"/>
    </row>
    <row r="79" spans="1:41" ht="12" customHeight="1">
      <c r="A79" s="203"/>
      <c r="B79" s="203"/>
      <c r="C79" s="203">
        <v>0</v>
      </c>
      <c r="D79" s="214"/>
      <c r="E79" s="204"/>
      <c r="F79" s="204"/>
      <c r="G79" s="204"/>
      <c r="H79" s="204"/>
      <c r="I79" s="204"/>
      <c r="J79" s="204"/>
      <c r="K79" s="204"/>
      <c r="L79" s="204"/>
      <c r="M79" s="204"/>
      <c r="N79" s="204"/>
      <c r="O79" s="204"/>
      <c r="P79" s="205"/>
      <c r="Q79" s="205"/>
      <c r="R79" s="206"/>
      <c r="S79" s="207"/>
      <c r="T79" s="207"/>
      <c r="U79" s="207"/>
      <c r="V79" s="207"/>
      <c r="W79" s="205"/>
      <c r="X79" s="205"/>
      <c r="Y79" s="208"/>
      <c r="Z79" s="209">
        <v>0</v>
      </c>
      <c r="AA79" s="207"/>
      <c r="AB79" s="206"/>
      <c r="AC79" s="210"/>
      <c r="AD79" s="211"/>
      <c r="AE79" s="216"/>
    </row>
    <row r="80" spans="1:41" ht="12" customHeight="1">
      <c r="A80" s="203"/>
      <c r="B80" s="203"/>
      <c r="C80" s="203">
        <v>0</v>
      </c>
      <c r="D80" s="214"/>
      <c r="E80" s="204"/>
      <c r="F80" s="204"/>
      <c r="G80" s="204"/>
      <c r="H80" s="204"/>
      <c r="I80" s="204"/>
      <c r="J80" s="204"/>
      <c r="K80" s="204"/>
      <c r="L80" s="204"/>
      <c r="M80" s="204"/>
      <c r="N80" s="204"/>
      <c r="O80" s="204"/>
      <c r="P80" s="205"/>
      <c r="Q80" s="205"/>
      <c r="R80" s="206"/>
      <c r="S80" s="207"/>
      <c r="T80" s="207"/>
      <c r="U80" s="207"/>
      <c r="V80" s="207"/>
      <c r="W80" s="205"/>
      <c r="X80" s="205"/>
      <c r="Y80" s="208"/>
      <c r="Z80" s="209">
        <v>0</v>
      </c>
      <c r="AA80" s="207">
        <v>1</v>
      </c>
      <c r="AB80" s="206"/>
      <c r="AC80" s="210"/>
      <c r="AD80" s="211"/>
      <c r="AE80" s="216"/>
    </row>
    <row r="81" spans="1:31" ht="12" customHeight="1">
      <c r="A81" s="203"/>
      <c r="B81" s="203"/>
      <c r="C81" s="203">
        <v>0</v>
      </c>
      <c r="D81" s="214"/>
      <c r="E81" s="204"/>
      <c r="F81" s="204"/>
      <c r="G81" s="204"/>
      <c r="H81" s="204"/>
      <c r="I81" s="204"/>
      <c r="J81" s="204"/>
      <c r="K81" s="204"/>
      <c r="L81" s="204"/>
      <c r="M81" s="204"/>
      <c r="N81" s="204"/>
      <c r="O81" s="204"/>
      <c r="P81" s="205"/>
      <c r="Q81" s="205"/>
      <c r="R81" s="206"/>
      <c r="S81" s="207"/>
      <c r="T81" s="207"/>
      <c r="U81" s="207"/>
      <c r="V81" s="207"/>
      <c r="W81" s="205"/>
      <c r="X81" s="205"/>
      <c r="Y81" s="208"/>
      <c r="Z81" s="209">
        <v>0</v>
      </c>
      <c r="AA81" s="207">
        <v>1</v>
      </c>
      <c r="AB81" s="206"/>
      <c r="AC81" s="210"/>
      <c r="AD81" s="211"/>
      <c r="AE81" s="216"/>
    </row>
    <row r="82" spans="1:31" ht="12" customHeight="1">
      <c r="A82" s="203"/>
      <c r="B82" s="203"/>
      <c r="C82" s="203">
        <v>0</v>
      </c>
      <c r="D82" s="214"/>
      <c r="E82" s="204"/>
      <c r="F82" s="204"/>
      <c r="G82" s="204"/>
      <c r="H82" s="204"/>
      <c r="I82" s="204"/>
      <c r="J82" s="204"/>
      <c r="K82" s="204"/>
      <c r="L82" s="204"/>
      <c r="M82" s="204"/>
      <c r="N82" s="204"/>
      <c r="O82" s="204"/>
      <c r="P82" s="205"/>
      <c r="Q82" s="205"/>
      <c r="R82" s="206"/>
      <c r="S82" s="207"/>
      <c r="T82" s="207"/>
      <c r="U82" s="207"/>
      <c r="V82" s="207"/>
      <c r="W82" s="205"/>
      <c r="X82" s="205"/>
      <c r="Y82" s="208"/>
      <c r="Z82" s="209">
        <v>0</v>
      </c>
      <c r="AA82" s="207">
        <v>1</v>
      </c>
      <c r="AB82" s="206"/>
      <c r="AC82" s="210"/>
      <c r="AD82" s="211"/>
      <c r="AE82" s="216"/>
    </row>
    <row r="83" spans="1:31" ht="12" customHeight="1">
      <c r="A83" s="203"/>
      <c r="B83" s="203"/>
      <c r="C83" s="203">
        <v>0</v>
      </c>
      <c r="D83" s="214"/>
      <c r="E83" s="204"/>
      <c r="F83" s="204"/>
      <c r="G83" s="204"/>
      <c r="H83" s="204"/>
      <c r="I83" s="204"/>
      <c r="J83" s="204"/>
      <c r="K83" s="204"/>
      <c r="L83" s="204"/>
      <c r="M83" s="204"/>
      <c r="N83" s="204"/>
      <c r="O83" s="204"/>
      <c r="P83" s="205"/>
      <c r="Q83" s="205"/>
      <c r="R83" s="206"/>
      <c r="S83" s="207"/>
      <c r="T83" s="207"/>
      <c r="U83" s="207"/>
      <c r="V83" s="207"/>
      <c r="W83" s="205"/>
      <c r="X83" s="205"/>
      <c r="Y83" s="208"/>
      <c r="Z83" s="209">
        <v>0</v>
      </c>
      <c r="AA83" s="207">
        <v>1</v>
      </c>
      <c r="AB83" s="206"/>
      <c r="AC83" s="210"/>
      <c r="AD83" s="211"/>
      <c r="AE83" s="216"/>
    </row>
    <row r="84" spans="1:31" ht="12" customHeight="1">
      <c r="A84" s="203"/>
      <c r="B84" s="203"/>
      <c r="C84" s="203">
        <v>0</v>
      </c>
      <c r="D84" s="214"/>
      <c r="E84" s="204"/>
      <c r="F84" s="204"/>
      <c r="G84" s="204"/>
      <c r="H84" s="204"/>
      <c r="I84" s="204"/>
      <c r="J84" s="204"/>
      <c r="K84" s="204"/>
      <c r="L84" s="204"/>
      <c r="M84" s="204"/>
      <c r="N84" s="204"/>
      <c r="O84" s="204"/>
      <c r="P84" s="205"/>
      <c r="Q84" s="205"/>
      <c r="R84" s="206"/>
      <c r="S84" s="207"/>
      <c r="T84" s="207"/>
      <c r="U84" s="207"/>
      <c r="V84" s="207"/>
      <c r="W84" s="205"/>
      <c r="X84" s="205"/>
      <c r="Y84" s="208"/>
      <c r="Z84" s="209">
        <v>0</v>
      </c>
      <c r="AA84" s="207">
        <v>1</v>
      </c>
      <c r="AB84" s="206"/>
      <c r="AC84" s="210"/>
      <c r="AD84" s="211"/>
      <c r="AE84" s="216"/>
    </row>
    <row r="85" spans="1:31" ht="12" customHeight="1">
      <c r="A85" s="203"/>
      <c r="B85" s="203"/>
      <c r="C85" s="203">
        <v>0</v>
      </c>
      <c r="D85" s="214"/>
      <c r="E85" s="204"/>
      <c r="F85" s="204"/>
      <c r="G85" s="204"/>
      <c r="H85" s="204"/>
      <c r="I85" s="235"/>
      <c r="J85" s="204"/>
      <c r="K85" s="204"/>
      <c r="L85" s="204"/>
      <c r="M85" s="204"/>
      <c r="N85" s="204"/>
      <c r="O85" s="204"/>
      <c r="P85" s="205"/>
      <c r="Q85" s="205"/>
      <c r="R85" s="206"/>
      <c r="S85" s="207"/>
      <c r="T85" s="207"/>
      <c r="U85" s="207"/>
      <c r="V85" s="207"/>
      <c r="W85" s="205"/>
      <c r="X85" s="205"/>
      <c r="Y85" s="208"/>
      <c r="Z85" s="209">
        <v>0</v>
      </c>
      <c r="AA85" s="207">
        <v>1</v>
      </c>
      <c r="AB85" s="206"/>
      <c r="AC85" s="210"/>
      <c r="AD85" s="211"/>
      <c r="AE85" s="216"/>
    </row>
    <row r="86" spans="1:31" ht="12" customHeight="1">
      <c r="A86" s="203"/>
      <c r="B86" s="203"/>
      <c r="C86" s="203">
        <v>0</v>
      </c>
      <c r="D86" s="214"/>
      <c r="E86" s="204"/>
      <c r="F86" s="204"/>
      <c r="G86" s="204"/>
      <c r="H86" s="204"/>
      <c r="I86" s="204"/>
      <c r="J86" s="204"/>
      <c r="K86" s="204"/>
      <c r="L86" s="204"/>
      <c r="M86" s="204"/>
      <c r="N86" s="204"/>
      <c r="O86" s="204"/>
      <c r="P86" s="205"/>
      <c r="Q86" s="205"/>
      <c r="R86" s="206"/>
      <c r="S86" s="207"/>
      <c r="T86" s="207"/>
      <c r="U86" s="207"/>
      <c r="V86" s="207"/>
      <c r="W86" s="205"/>
      <c r="X86" s="205"/>
      <c r="Y86" s="208"/>
      <c r="Z86" s="209">
        <v>0</v>
      </c>
      <c r="AA86" s="207"/>
      <c r="AB86" s="206"/>
      <c r="AC86" s="210"/>
      <c r="AD86" s="211"/>
      <c r="AE86" s="216"/>
    </row>
    <row r="87" spans="1:31" ht="12" customHeight="1">
      <c r="A87" s="203"/>
      <c r="B87" s="203"/>
      <c r="C87" s="203">
        <v>0</v>
      </c>
      <c r="D87" s="214"/>
      <c r="E87" s="204"/>
      <c r="F87" s="204"/>
      <c r="G87" s="204"/>
      <c r="H87" s="204"/>
      <c r="I87" s="204"/>
      <c r="J87" s="204"/>
      <c r="K87" s="204"/>
      <c r="L87" s="204"/>
      <c r="M87" s="204"/>
      <c r="N87" s="204"/>
      <c r="O87" s="204"/>
      <c r="P87" s="205"/>
      <c r="Q87" s="205"/>
      <c r="R87" s="206"/>
      <c r="S87" s="207"/>
      <c r="T87" s="207"/>
      <c r="U87" s="207"/>
      <c r="V87" s="207"/>
      <c r="W87" s="205"/>
      <c r="X87" s="205"/>
      <c r="Y87" s="208"/>
      <c r="Z87" s="209">
        <v>0</v>
      </c>
      <c r="AA87" s="207">
        <v>1</v>
      </c>
      <c r="AB87" s="206"/>
      <c r="AC87" s="210"/>
      <c r="AD87" s="211"/>
      <c r="AE87" s="216"/>
    </row>
    <row r="88" spans="1:31" ht="12" customHeight="1">
      <c r="A88" s="203"/>
      <c r="B88" s="203"/>
      <c r="C88" s="203">
        <v>0</v>
      </c>
      <c r="D88" s="214"/>
      <c r="E88" s="204"/>
      <c r="F88" s="204"/>
      <c r="G88" s="204"/>
      <c r="H88" s="204"/>
      <c r="I88" s="204"/>
      <c r="J88" s="204"/>
      <c r="K88" s="204"/>
      <c r="L88" s="204"/>
      <c r="M88" s="204"/>
      <c r="N88" s="204"/>
      <c r="O88" s="204"/>
      <c r="P88" s="205"/>
      <c r="Q88" s="205"/>
      <c r="R88" s="206"/>
      <c r="S88" s="207"/>
      <c r="T88" s="207"/>
      <c r="U88" s="207"/>
      <c r="V88" s="207"/>
      <c r="W88" s="205"/>
      <c r="X88" s="205"/>
      <c r="Y88" s="208"/>
      <c r="Z88" s="209">
        <v>0</v>
      </c>
      <c r="AA88" s="207">
        <v>1</v>
      </c>
      <c r="AB88" s="206"/>
      <c r="AC88" s="210"/>
      <c r="AD88" s="211"/>
      <c r="AE88" s="216"/>
    </row>
    <row r="89" spans="1:31" ht="12" customHeight="1">
      <c r="A89" s="203"/>
      <c r="B89" s="203"/>
      <c r="C89" s="203">
        <v>0</v>
      </c>
      <c r="D89" s="214"/>
      <c r="E89" s="204"/>
      <c r="F89" s="204"/>
      <c r="G89" s="204"/>
      <c r="H89" s="204"/>
      <c r="I89" s="204"/>
      <c r="J89" s="204"/>
      <c r="K89" s="204"/>
      <c r="L89" s="204"/>
      <c r="M89" s="204"/>
      <c r="N89" s="204"/>
      <c r="O89" s="204"/>
      <c r="P89" s="205"/>
      <c r="Q89" s="205"/>
      <c r="R89" s="206"/>
      <c r="S89" s="207"/>
      <c r="T89" s="207"/>
      <c r="U89" s="207"/>
      <c r="V89" s="207"/>
      <c r="W89" s="205"/>
      <c r="X89" s="205"/>
      <c r="Y89" s="208"/>
      <c r="Z89" s="209">
        <v>0</v>
      </c>
      <c r="AA89" s="207"/>
      <c r="AB89" s="206"/>
      <c r="AC89" s="210"/>
      <c r="AD89" s="211"/>
      <c r="AE89" s="216"/>
    </row>
    <row r="90" spans="1:31" ht="12" customHeight="1">
      <c r="A90" s="203"/>
      <c r="B90" s="203"/>
      <c r="C90" s="203">
        <v>0</v>
      </c>
      <c r="D90" s="214"/>
      <c r="E90" s="204"/>
      <c r="F90" s="204"/>
      <c r="G90" s="204"/>
      <c r="H90" s="204"/>
      <c r="I90" s="204"/>
      <c r="J90" s="204"/>
      <c r="K90" s="204"/>
      <c r="L90" s="204"/>
      <c r="M90" s="204"/>
      <c r="N90" s="204"/>
      <c r="O90" s="204"/>
      <c r="P90" s="205"/>
      <c r="Q90" s="205"/>
      <c r="R90" s="206"/>
      <c r="S90" s="207"/>
      <c r="T90" s="207"/>
      <c r="U90" s="207"/>
      <c r="V90" s="207"/>
      <c r="W90" s="205"/>
      <c r="X90" s="205"/>
      <c r="Y90" s="208"/>
      <c r="Z90" s="209">
        <v>0</v>
      </c>
      <c r="AA90" s="207"/>
      <c r="AB90" s="206"/>
      <c r="AC90" s="210"/>
      <c r="AD90" s="211"/>
      <c r="AE90" s="216"/>
    </row>
    <row r="91" spans="1:31" ht="12" customHeight="1">
      <c r="A91" s="203"/>
      <c r="B91" s="203"/>
      <c r="C91" s="203">
        <v>0</v>
      </c>
      <c r="D91" s="214"/>
      <c r="E91" s="204"/>
      <c r="F91" s="204"/>
      <c r="G91" s="204"/>
      <c r="H91" s="204"/>
      <c r="I91" s="204"/>
      <c r="J91" s="204"/>
      <c r="K91" s="204"/>
      <c r="L91" s="204"/>
      <c r="M91" s="204"/>
      <c r="N91" s="204"/>
      <c r="O91" s="204"/>
      <c r="P91" s="205"/>
      <c r="Q91" s="205"/>
      <c r="R91" s="206"/>
      <c r="S91" s="207"/>
      <c r="T91" s="207"/>
      <c r="U91" s="207"/>
      <c r="V91" s="207"/>
      <c r="W91" s="205"/>
      <c r="X91" s="205"/>
      <c r="Y91" s="208"/>
      <c r="Z91" s="209">
        <v>0</v>
      </c>
      <c r="AA91" s="207">
        <v>1</v>
      </c>
      <c r="AB91" s="206"/>
      <c r="AC91" s="210"/>
      <c r="AD91" s="211"/>
      <c r="AE91" s="216"/>
    </row>
    <row r="92" spans="1:31" ht="12" customHeight="1">
      <c r="A92" s="203"/>
      <c r="B92" s="203"/>
      <c r="C92" s="203">
        <v>0</v>
      </c>
      <c r="D92" s="214"/>
      <c r="E92" s="204"/>
      <c r="F92" s="204"/>
      <c r="G92" s="204"/>
      <c r="H92" s="204"/>
      <c r="I92" s="204"/>
      <c r="J92" s="204"/>
      <c r="K92" s="204"/>
      <c r="L92" s="204"/>
      <c r="M92" s="204"/>
      <c r="N92" s="204"/>
      <c r="O92" s="204"/>
      <c r="P92" s="205"/>
      <c r="Q92" s="205"/>
      <c r="R92" s="206"/>
      <c r="S92" s="207"/>
      <c r="T92" s="207"/>
      <c r="U92" s="207"/>
      <c r="V92" s="207"/>
      <c r="W92" s="205"/>
      <c r="X92" s="205"/>
      <c r="Y92" s="208"/>
      <c r="Z92" s="209">
        <v>0</v>
      </c>
      <c r="AA92" s="207"/>
      <c r="AB92" s="206"/>
      <c r="AC92" s="210"/>
      <c r="AD92" s="211"/>
      <c r="AE92" s="216"/>
    </row>
    <row r="93" spans="1:31" ht="12" customHeight="1">
      <c r="A93" s="203"/>
      <c r="B93" s="203"/>
      <c r="C93" s="203">
        <v>0</v>
      </c>
      <c r="D93" s="214"/>
      <c r="E93" s="204"/>
      <c r="F93" s="204"/>
      <c r="G93" s="204"/>
      <c r="H93" s="204"/>
      <c r="I93" s="204"/>
      <c r="J93" s="204"/>
      <c r="K93" s="204"/>
      <c r="L93" s="204"/>
      <c r="M93" s="204"/>
      <c r="N93" s="204"/>
      <c r="O93" s="204"/>
      <c r="P93" s="205"/>
      <c r="Q93" s="205"/>
      <c r="R93" s="206"/>
      <c r="S93" s="207"/>
      <c r="T93" s="207"/>
      <c r="U93" s="207"/>
      <c r="V93" s="207"/>
      <c r="W93" s="205"/>
      <c r="X93" s="205"/>
      <c r="Y93" s="208"/>
      <c r="Z93" s="209">
        <v>0</v>
      </c>
      <c r="AA93" s="207">
        <v>1</v>
      </c>
      <c r="AB93" s="206"/>
      <c r="AC93" s="210"/>
      <c r="AD93" s="211"/>
      <c r="AE93" s="216"/>
    </row>
    <row r="94" spans="1:31" ht="12" customHeight="1">
      <c r="A94" s="203"/>
      <c r="B94" s="203"/>
      <c r="C94" s="203">
        <v>0</v>
      </c>
      <c r="D94" s="214"/>
      <c r="E94" s="204"/>
      <c r="F94" s="204"/>
      <c r="G94" s="204"/>
      <c r="H94" s="204"/>
      <c r="I94" s="204"/>
      <c r="J94" s="204"/>
      <c r="K94" s="204"/>
      <c r="L94" s="204"/>
      <c r="M94" s="204"/>
      <c r="N94" s="204"/>
      <c r="O94" s="204"/>
      <c r="P94" s="205"/>
      <c r="Q94" s="205"/>
      <c r="R94" s="206"/>
      <c r="S94" s="207"/>
      <c r="T94" s="207"/>
      <c r="U94" s="207"/>
      <c r="V94" s="207"/>
      <c r="W94" s="205"/>
      <c r="X94" s="205"/>
      <c r="Y94" s="208"/>
      <c r="Z94" s="209">
        <v>0</v>
      </c>
      <c r="AA94" s="207">
        <v>1</v>
      </c>
      <c r="AB94" s="206"/>
      <c r="AC94" s="210"/>
      <c r="AD94" s="211"/>
      <c r="AE94" s="216"/>
    </row>
    <row r="95" spans="1:31" ht="12" customHeight="1">
      <c r="A95" s="203"/>
      <c r="B95" s="203"/>
      <c r="C95" s="203">
        <v>0</v>
      </c>
      <c r="D95" s="214"/>
      <c r="E95" s="204"/>
      <c r="F95" s="204"/>
      <c r="G95" s="204"/>
      <c r="H95" s="204"/>
      <c r="I95" s="204"/>
      <c r="J95" s="204"/>
      <c r="K95" s="204"/>
      <c r="L95" s="204"/>
      <c r="M95" s="204"/>
      <c r="N95" s="204"/>
      <c r="O95" s="204"/>
      <c r="P95" s="205"/>
      <c r="Q95" s="205"/>
      <c r="R95" s="206"/>
      <c r="S95" s="207"/>
      <c r="T95" s="207"/>
      <c r="U95" s="207"/>
      <c r="V95" s="207"/>
      <c r="W95" s="205"/>
      <c r="X95" s="205"/>
      <c r="Y95" s="208"/>
      <c r="Z95" s="209">
        <v>0</v>
      </c>
      <c r="AA95" s="207">
        <v>1</v>
      </c>
      <c r="AB95" s="206"/>
      <c r="AC95" s="210"/>
      <c r="AD95" s="211"/>
      <c r="AE95" s="216"/>
    </row>
    <row r="96" spans="1:31" ht="12" customHeight="1">
      <c r="A96" s="203"/>
      <c r="B96" s="203"/>
      <c r="C96" s="203">
        <v>0</v>
      </c>
      <c r="D96" s="214"/>
      <c r="E96" s="204"/>
      <c r="F96" s="204"/>
      <c r="G96" s="204"/>
      <c r="H96" s="204"/>
      <c r="I96" s="204"/>
      <c r="J96" s="204"/>
      <c r="K96" s="204"/>
      <c r="L96" s="204"/>
      <c r="M96" s="204"/>
      <c r="N96" s="204"/>
      <c r="O96" s="204"/>
      <c r="P96" s="205"/>
      <c r="Q96" s="205"/>
      <c r="R96" s="206"/>
      <c r="S96" s="207"/>
      <c r="T96" s="207"/>
      <c r="U96" s="207"/>
      <c r="V96" s="207"/>
      <c r="W96" s="205"/>
      <c r="X96" s="205"/>
      <c r="Y96" s="208"/>
      <c r="Z96" s="209">
        <v>0</v>
      </c>
      <c r="AA96" s="207">
        <v>1</v>
      </c>
      <c r="AB96" s="206"/>
      <c r="AC96" s="210"/>
      <c r="AD96" s="211"/>
      <c r="AE96" s="216"/>
    </row>
    <row r="97" spans="1:31" ht="12" customHeight="1">
      <c r="A97" s="203">
        <v>1</v>
      </c>
      <c r="B97" s="192"/>
      <c r="C97" s="192"/>
      <c r="D97" s="193"/>
      <c r="E97" s="194"/>
      <c r="F97" s="194"/>
      <c r="G97" s="194"/>
      <c r="H97" s="194"/>
      <c r="I97" s="194"/>
      <c r="J97" s="194"/>
      <c r="K97" s="194"/>
      <c r="L97" s="194"/>
      <c r="M97" s="194"/>
      <c r="N97" s="194"/>
      <c r="O97" s="194"/>
      <c r="P97" s="195"/>
      <c r="Q97" s="195"/>
      <c r="R97" s="196"/>
      <c r="S97" s="197"/>
      <c r="T97" s="197"/>
      <c r="U97" s="197"/>
      <c r="V97" s="197"/>
      <c r="W97" s="195"/>
      <c r="X97" s="195"/>
      <c r="Y97" s="198"/>
      <c r="Z97" s="199"/>
      <c r="AA97" s="197"/>
      <c r="AB97" s="196"/>
      <c r="AC97" s="200"/>
      <c r="AD97" s="201"/>
      <c r="AE97" s="202"/>
    </row>
    <row r="98" spans="1:31" ht="12" customHeight="1">
      <c r="A98" s="192"/>
    </row>
  </sheetData>
  <sheetProtection formatCells="0" formatColumns="0" formatRows="0" insertColumns="0" insertRows="0" insertHyperlinks="0" deleteColumns="0" deleteRows="0" sort="0" autoFilter="0" pivotTables="0"/>
  <dataConsolidate/>
  <mergeCells count="29">
    <mergeCell ref="AF3:AI3"/>
    <mergeCell ref="AF2:AI2"/>
    <mergeCell ref="AJ3:AM3"/>
    <mergeCell ref="AJ2:AM2"/>
    <mergeCell ref="AN3:AQ3"/>
    <mergeCell ref="AN2:AQ2"/>
    <mergeCell ref="AE3:AE4"/>
    <mergeCell ref="X3:X4"/>
    <mergeCell ref="Z3:Z4"/>
    <mergeCell ref="A3:A4"/>
    <mergeCell ref="B3:B4"/>
    <mergeCell ref="C3:C4"/>
    <mergeCell ref="D3:D4"/>
    <mergeCell ref="E3:N4"/>
    <mergeCell ref="Y3:Y4"/>
    <mergeCell ref="AD3:AD4"/>
    <mergeCell ref="AB3:AB4"/>
    <mergeCell ref="AA3:AA4"/>
    <mergeCell ref="AC3:AC4"/>
    <mergeCell ref="D2:F2"/>
    <mergeCell ref="O3:O4"/>
    <mergeCell ref="V3:V4"/>
    <mergeCell ref="W3:W4"/>
    <mergeCell ref="U3:U4"/>
    <mergeCell ref="P3:P4"/>
    <mergeCell ref="Q3:Q4"/>
    <mergeCell ref="S3:S4"/>
    <mergeCell ref="R3:R4"/>
    <mergeCell ref="T3:T4"/>
  </mergeCells>
  <phoneticPr fontId="4" type="noConversion"/>
  <conditionalFormatting sqref="D5:AD74">
    <cfRule type="expression" dxfId="1" priority="2">
      <formula>($B5="G")</formula>
    </cfRule>
    <cfRule type="expression" dxfId="0" priority="1">
      <formula>($AE5=1)</formula>
    </cfRule>
  </conditionalFormatting>
  <hyperlinks>
    <hyperlink ref="AF1:BJ1" r:id="rId1" display="https://xlworks.net/xlgantt-project-scheduler/" xr:uid="{F1E0A193-445F-4BA1-9ADB-6BCAE9A968FF}"/>
  </hyperlinks>
  <pageMargins left="0.19685039370078741" right="0.23622047244094491" top="0.43307086614173229" bottom="0.23622047244094491" header="0.23622047244094491" footer="0.19685039370078741"/>
  <pageSetup paperSize="9" scale="59"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1697</v>
      </c>
      <c r="B1" s="2"/>
      <c r="C1" s="2"/>
      <c r="D1" s="2"/>
      <c r="E1" s="2"/>
      <c r="F1" s="2"/>
      <c r="G1" s="2"/>
      <c r="H1" s="2"/>
      <c r="I1" s="2"/>
      <c r="J1" s="2"/>
      <c r="K1" s="2"/>
      <c r="L1" s="306"/>
      <c r="M1" s="307"/>
      <c r="N1" s="307"/>
      <c r="O1" s="3"/>
      <c r="P1" s="3"/>
      <c r="Q1" s="3"/>
    </row>
    <row r="2" spans="1:17" s="7" customFormat="1" ht="12.75">
      <c r="A2" s="5" t="s">
        <v>1427</v>
      </c>
      <c r="B2" s="6"/>
    </row>
    <row r="3" spans="1:17" s="7" customFormat="1" ht="12.75">
      <c r="A3" s="5" t="s">
        <v>1428</v>
      </c>
      <c r="B3" s="6"/>
    </row>
    <row r="4" spans="1:17" s="7" customFormat="1" ht="12.75">
      <c r="A4" s="308"/>
      <c r="B4" s="308"/>
      <c r="C4" s="8"/>
      <c r="D4" s="9"/>
      <c r="E4" s="9"/>
      <c r="F4" s="9"/>
    </row>
    <row r="5" spans="1:17" s="15" customFormat="1" ht="12.75">
      <c r="A5" s="10"/>
      <c r="B5" s="11"/>
      <c r="C5" s="12"/>
      <c r="D5" s="13"/>
      <c r="E5" s="14"/>
      <c r="F5" s="14"/>
      <c r="G5" s="14"/>
    </row>
    <row r="6" spans="1:17" s="15" customFormat="1" ht="12.75">
      <c r="A6" s="16" t="s">
        <v>1429</v>
      </c>
      <c r="B6" s="17">
        <v>188</v>
      </c>
      <c r="C6" s="15" t="s">
        <v>0</v>
      </c>
      <c r="D6" s="305" t="s">
        <v>1430</v>
      </c>
      <c r="E6" s="305"/>
      <c r="F6" s="305"/>
      <c r="G6" s="305"/>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1431</v>
      </c>
      <c r="B9" s="17">
        <v>163</v>
      </c>
      <c r="C9" s="15" t="s">
        <v>0</v>
      </c>
      <c r="D9" s="304" t="s">
        <v>1432</v>
      </c>
      <c r="E9" s="304"/>
      <c r="F9" s="304"/>
      <c r="G9" s="304"/>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1698</v>
      </c>
      <c r="B12" s="17">
        <v>130.12</v>
      </c>
      <c r="C12" s="15" t="s">
        <v>0</v>
      </c>
      <c r="D12" s="309" t="s">
        <v>1699</v>
      </c>
      <c r="E12" s="304"/>
      <c r="F12" s="304"/>
      <c r="G12" s="304"/>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1433</v>
      </c>
      <c r="B15" s="17"/>
      <c r="C15" s="15" t="s">
        <v>0</v>
      </c>
      <c r="D15" s="304" t="s">
        <v>1434</v>
      </c>
      <c r="E15" s="304"/>
      <c r="F15" s="304"/>
      <c r="G15" s="304"/>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1435</v>
      </c>
      <c r="B18" s="39">
        <v>0.86702127659574468</v>
      </c>
      <c r="D18" s="304" t="s">
        <v>1436</v>
      </c>
      <c r="E18" s="304"/>
      <c r="F18" s="304"/>
      <c r="G18" s="304"/>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1437</v>
      </c>
      <c r="B21" s="39">
        <v>0.69212765957446809</v>
      </c>
      <c r="D21" s="304" t="s">
        <v>1438</v>
      </c>
      <c r="E21" s="304"/>
      <c r="F21" s="304"/>
      <c r="G21" s="304"/>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1439</v>
      </c>
      <c r="B24" s="49">
        <f>ACTUAL_RATE-PLANNED_RATE</f>
        <v>-0.17489361702127659</v>
      </c>
      <c r="D24" s="305" t="s">
        <v>1440</v>
      </c>
      <c r="E24" s="305"/>
      <c r="F24" s="305"/>
      <c r="G24" s="305"/>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18"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1529</v>
      </c>
    </row>
    <row r="2" spans="1:12">
      <c r="A2" s="136" t="s">
        <v>595</v>
      </c>
    </row>
    <row r="3" spans="1:12">
      <c r="A3" s="136" t="s">
        <v>598</v>
      </c>
    </row>
    <row r="6" spans="1:12" ht="45">
      <c r="A6" s="63" t="s">
        <v>1267</v>
      </c>
      <c r="B6" s="91" t="s">
        <v>341</v>
      </c>
      <c r="C6" s="91" t="s">
        <v>1268</v>
      </c>
      <c r="D6" s="91" t="s">
        <v>547</v>
      </c>
      <c r="E6" s="91" t="s">
        <v>548</v>
      </c>
      <c r="F6" s="219" t="s">
        <v>1530</v>
      </c>
      <c r="G6" s="220" t="s">
        <v>1531</v>
      </c>
      <c r="H6" s="220" t="s">
        <v>1532</v>
      </c>
      <c r="I6" s="220" t="s">
        <v>1533</v>
      </c>
      <c r="J6" s="220" t="s">
        <v>761</v>
      </c>
      <c r="K6" s="220" t="s">
        <v>591</v>
      </c>
      <c r="L6" s="221" t="s">
        <v>905</v>
      </c>
    </row>
    <row r="7" spans="1:12" outlineLevel="2">
      <c r="A7" s="222" t="s">
        <v>1441</v>
      </c>
      <c r="B7" s="223" t="s">
        <v>1459</v>
      </c>
      <c r="C7" s="222" t="s">
        <v>1460</v>
      </c>
      <c r="D7" s="224">
        <v>44358</v>
      </c>
      <c r="E7" s="224">
        <v>44358</v>
      </c>
      <c r="F7" s="218">
        <v>1</v>
      </c>
      <c r="G7" s="92">
        <v>1</v>
      </c>
      <c r="H7" s="92">
        <v>0</v>
      </c>
      <c r="I7" s="92">
        <v>0</v>
      </c>
      <c r="J7" s="218">
        <v>0</v>
      </c>
      <c r="K7" s="218">
        <v>0</v>
      </c>
      <c r="L7" s="218">
        <f t="shared" ref="L7:L51" si="0">K7-J7</f>
        <v>0</v>
      </c>
    </row>
    <row r="8" spans="1:12" outlineLevel="2">
      <c r="A8" s="222" t="s">
        <v>1441</v>
      </c>
      <c r="B8" s="223" t="s">
        <v>1465</v>
      </c>
      <c r="C8" s="222" t="s">
        <v>1466</v>
      </c>
      <c r="D8" s="224">
        <v>44487</v>
      </c>
      <c r="E8" s="224">
        <v>44487</v>
      </c>
      <c r="F8" s="218">
        <v>0</v>
      </c>
      <c r="G8" s="92">
        <v>0</v>
      </c>
      <c r="H8" s="92">
        <v>0</v>
      </c>
      <c r="I8" s="92">
        <v>0</v>
      </c>
      <c r="J8" s="218">
        <v>0</v>
      </c>
      <c r="K8" s="218">
        <v>0</v>
      </c>
      <c r="L8" s="218">
        <f t="shared" si="0"/>
        <v>0</v>
      </c>
    </row>
    <row r="9" spans="1:12" outlineLevel="2">
      <c r="A9" s="222" t="s">
        <v>1441</v>
      </c>
      <c r="B9" s="223" t="s">
        <v>1467</v>
      </c>
      <c r="C9" s="222" t="s">
        <v>1468</v>
      </c>
      <c r="D9" s="224">
        <v>44340</v>
      </c>
      <c r="E9" s="224">
        <v>44358</v>
      </c>
      <c r="F9" s="218">
        <v>1</v>
      </c>
      <c r="G9" s="92">
        <v>15</v>
      </c>
      <c r="H9" s="92">
        <v>7</v>
      </c>
      <c r="I9" s="92">
        <v>15</v>
      </c>
      <c r="J9" s="218">
        <v>0.46666666666666667</v>
      </c>
      <c r="K9" s="218">
        <v>1</v>
      </c>
      <c r="L9" s="218">
        <f t="shared" si="0"/>
        <v>0.53333333333333333</v>
      </c>
    </row>
    <row r="10" spans="1:12" outlineLevel="2">
      <c r="A10" s="222" t="s">
        <v>1441</v>
      </c>
      <c r="B10" s="223" t="s">
        <v>1470</v>
      </c>
      <c r="C10" s="222" t="s">
        <v>1471</v>
      </c>
      <c r="D10" s="224">
        <v>44346</v>
      </c>
      <c r="E10" s="224">
        <v>44357</v>
      </c>
      <c r="F10" s="218">
        <v>1</v>
      </c>
      <c r="G10" s="92">
        <v>9</v>
      </c>
      <c r="H10" s="92">
        <v>2</v>
      </c>
      <c r="I10" s="92">
        <v>1.8</v>
      </c>
      <c r="J10" s="218">
        <v>0.22222222222222221</v>
      </c>
      <c r="K10" s="218">
        <v>0.2</v>
      </c>
      <c r="L10" s="233">
        <f t="shared" si="0"/>
        <v>-2.2222222222222199E-2</v>
      </c>
    </row>
    <row r="11" spans="1:12" outlineLevel="2">
      <c r="A11" s="222" t="s">
        <v>1441</v>
      </c>
      <c r="B11" s="223" t="s">
        <v>1474</v>
      </c>
      <c r="C11" s="222" t="s">
        <v>1475</v>
      </c>
      <c r="D11" s="224">
        <v>44360</v>
      </c>
      <c r="E11" s="224">
        <v>44378</v>
      </c>
      <c r="F11" s="218">
        <v>1</v>
      </c>
      <c r="G11" s="92">
        <v>14</v>
      </c>
      <c r="H11" s="92">
        <v>0</v>
      </c>
      <c r="I11" s="92">
        <v>0</v>
      </c>
      <c r="J11" s="218">
        <v>0</v>
      </c>
      <c r="K11" s="218">
        <v>0</v>
      </c>
      <c r="L11" s="218">
        <f t="shared" si="0"/>
        <v>0</v>
      </c>
    </row>
    <row r="12" spans="1:12" outlineLevel="2">
      <c r="A12" s="222" t="s">
        <v>1441</v>
      </c>
      <c r="B12" s="223" t="s">
        <v>1477</v>
      </c>
      <c r="C12" s="222" t="s">
        <v>1478</v>
      </c>
      <c r="D12" s="224">
        <v>44367</v>
      </c>
      <c r="E12" s="224">
        <v>44378</v>
      </c>
      <c r="F12" s="218">
        <v>1</v>
      </c>
      <c r="G12" s="92">
        <v>9</v>
      </c>
      <c r="H12" s="92">
        <v>0</v>
      </c>
      <c r="I12" s="92">
        <v>0</v>
      </c>
      <c r="J12" s="218">
        <v>0</v>
      </c>
      <c r="K12" s="218">
        <v>0</v>
      </c>
      <c r="L12" s="218">
        <f t="shared" si="0"/>
        <v>0</v>
      </c>
    </row>
    <row r="13" spans="1:12" outlineLevel="2">
      <c r="A13" s="222" t="s">
        <v>1441</v>
      </c>
      <c r="B13" s="223" t="s">
        <v>1479</v>
      </c>
      <c r="C13" s="222" t="s">
        <v>1480</v>
      </c>
      <c r="D13" s="224">
        <v>44374</v>
      </c>
      <c r="E13" s="224">
        <v>44385</v>
      </c>
      <c r="F13" s="218">
        <v>1</v>
      </c>
      <c r="G13" s="92">
        <v>9</v>
      </c>
      <c r="H13" s="92">
        <v>0</v>
      </c>
      <c r="I13" s="92">
        <v>0</v>
      </c>
      <c r="J13" s="218">
        <v>0</v>
      </c>
      <c r="K13" s="218">
        <v>0</v>
      </c>
      <c r="L13" s="218">
        <f t="shared" si="0"/>
        <v>0</v>
      </c>
    </row>
    <row r="14" spans="1:12" outlineLevel="2">
      <c r="A14" s="222" t="s">
        <v>1441</v>
      </c>
      <c r="B14" s="223" t="s">
        <v>1481</v>
      </c>
      <c r="C14" s="222" t="s">
        <v>1482</v>
      </c>
      <c r="D14" s="224">
        <v>44374</v>
      </c>
      <c r="E14" s="224">
        <v>44392</v>
      </c>
      <c r="F14" s="218">
        <v>1</v>
      </c>
      <c r="G14" s="92">
        <v>14</v>
      </c>
      <c r="H14" s="92">
        <v>0</v>
      </c>
      <c r="I14" s="92">
        <v>0</v>
      </c>
      <c r="J14" s="218">
        <v>0</v>
      </c>
      <c r="K14" s="218">
        <v>0</v>
      </c>
      <c r="L14" s="218">
        <f t="shared" si="0"/>
        <v>0</v>
      </c>
    </row>
    <row r="15" spans="1:12" outlineLevel="2">
      <c r="A15" s="222" t="s">
        <v>1441</v>
      </c>
      <c r="B15" s="223" t="s">
        <v>1483</v>
      </c>
      <c r="C15" s="222" t="s">
        <v>1484</v>
      </c>
      <c r="D15" s="224">
        <v>44395</v>
      </c>
      <c r="E15" s="224">
        <v>44399</v>
      </c>
      <c r="F15" s="218">
        <v>1</v>
      </c>
      <c r="G15" s="92">
        <v>4</v>
      </c>
      <c r="H15" s="92">
        <v>0</v>
      </c>
      <c r="I15" s="92">
        <v>0</v>
      </c>
      <c r="J15" s="218">
        <v>0</v>
      </c>
      <c r="K15" s="218">
        <v>0</v>
      </c>
      <c r="L15" s="218">
        <f t="shared" si="0"/>
        <v>0</v>
      </c>
    </row>
    <row r="16" spans="1:12" outlineLevel="2">
      <c r="A16" s="222" t="s">
        <v>1441</v>
      </c>
      <c r="B16" s="223" t="s">
        <v>1486</v>
      </c>
      <c r="C16" s="222" t="s">
        <v>1487</v>
      </c>
      <c r="D16" s="224">
        <v>44395</v>
      </c>
      <c r="E16" s="224">
        <v>44399</v>
      </c>
      <c r="F16" s="218">
        <v>1</v>
      </c>
      <c r="G16" s="92">
        <v>4</v>
      </c>
      <c r="H16" s="92">
        <v>0</v>
      </c>
      <c r="I16" s="92">
        <v>0</v>
      </c>
      <c r="J16" s="218">
        <v>0</v>
      </c>
      <c r="K16" s="218">
        <v>0</v>
      </c>
      <c r="L16" s="218">
        <f t="shared" si="0"/>
        <v>0</v>
      </c>
    </row>
    <row r="17" spans="1:12" outlineLevel="2">
      <c r="A17" s="222" t="s">
        <v>1441</v>
      </c>
      <c r="B17" s="223" t="s">
        <v>1490</v>
      </c>
      <c r="C17" s="222" t="s">
        <v>1491</v>
      </c>
      <c r="D17" s="224">
        <v>44395</v>
      </c>
      <c r="E17" s="224">
        <v>44399</v>
      </c>
      <c r="F17" s="218">
        <v>1</v>
      </c>
      <c r="G17" s="92">
        <v>4</v>
      </c>
      <c r="H17" s="92">
        <v>0</v>
      </c>
      <c r="I17" s="92">
        <v>0</v>
      </c>
      <c r="J17" s="218">
        <v>0</v>
      </c>
      <c r="K17" s="218">
        <v>0</v>
      </c>
      <c r="L17" s="218">
        <f t="shared" si="0"/>
        <v>0</v>
      </c>
    </row>
    <row r="18" spans="1:12" outlineLevel="2">
      <c r="A18" s="222" t="s">
        <v>1441</v>
      </c>
      <c r="B18" s="223" t="s">
        <v>1492</v>
      </c>
      <c r="C18" s="222" t="s">
        <v>1493</v>
      </c>
      <c r="D18" s="224">
        <v>44402</v>
      </c>
      <c r="E18" s="224">
        <v>44406</v>
      </c>
      <c r="F18" s="218">
        <v>1</v>
      </c>
      <c r="G18" s="92">
        <v>4</v>
      </c>
      <c r="H18" s="92">
        <v>0</v>
      </c>
      <c r="I18" s="92">
        <v>0</v>
      </c>
      <c r="J18" s="218">
        <v>0</v>
      </c>
      <c r="K18" s="218">
        <v>0</v>
      </c>
      <c r="L18" s="218">
        <f t="shared" si="0"/>
        <v>0</v>
      </c>
    </row>
    <row r="19" spans="1:12" outlineLevel="2">
      <c r="A19" s="222" t="s">
        <v>1441</v>
      </c>
      <c r="B19" s="223" t="s">
        <v>1494</v>
      </c>
      <c r="C19" s="222" t="s">
        <v>1495</v>
      </c>
      <c r="D19" s="224">
        <v>44402</v>
      </c>
      <c r="E19" s="224">
        <v>44413</v>
      </c>
      <c r="F19" s="218">
        <v>1</v>
      </c>
      <c r="G19" s="92">
        <v>9</v>
      </c>
      <c r="H19" s="92">
        <v>0</v>
      </c>
      <c r="I19" s="92">
        <v>0</v>
      </c>
      <c r="J19" s="218">
        <v>0</v>
      </c>
      <c r="K19" s="218">
        <v>0</v>
      </c>
      <c r="L19" s="218">
        <f t="shared" si="0"/>
        <v>0</v>
      </c>
    </row>
    <row r="20" spans="1:12" outlineLevel="2">
      <c r="A20" s="222" t="s">
        <v>1441</v>
      </c>
      <c r="B20" s="223" t="s">
        <v>1496</v>
      </c>
      <c r="C20" s="222" t="s">
        <v>1497</v>
      </c>
      <c r="D20" s="224">
        <v>44395</v>
      </c>
      <c r="E20" s="224">
        <v>44454</v>
      </c>
      <c r="F20" s="218">
        <v>1</v>
      </c>
      <c r="G20" s="92">
        <v>43</v>
      </c>
      <c r="H20" s="92">
        <v>0</v>
      </c>
      <c r="I20" s="92">
        <v>0</v>
      </c>
      <c r="J20" s="218">
        <v>0</v>
      </c>
      <c r="K20" s="218">
        <v>0</v>
      </c>
      <c r="L20" s="218">
        <f t="shared" si="0"/>
        <v>0</v>
      </c>
    </row>
    <row r="21" spans="1:12" outlineLevel="2">
      <c r="A21" s="222" t="s">
        <v>1441</v>
      </c>
      <c r="B21" s="223" t="s">
        <v>1498</v>
      </c>
      <c r="C21" s="222" t="s">
        <v>1499</v>
      </c>
      <c r="D21" s="224">
        <v>44395</v>
      </c>
      <c r="E21" s="224">
        <v>44454</v>
      </c>
      <c r="F21" s="218">
        <v>1</v>
      </c>
      <c r="G21" s="92">
        <v>43</v>
      </c>
      <c r="H21" s="92">
        <v>0</v>
      </c>
      <c r="I21" s="92">
        <v>0</v>
      </c>
      <c r="J21" s="218">
        <v>0</v>
      </c>
      <c r="K21" s="218">
        <v>0</v>
      </c>
      <c r="L21" s="218">
        <f t="shared" si="0"/>
        <v>0</v>
      </c>
    </row>
    <row r="22" spans="1:12" outlineLevel="2">
      <c r="A22" s="222" t="s">
        <v>1441</v>
      </c>
      <c r="B22" s="223" t="s">
        <v>1500</v>
      </c>
      <c r="C22" s="222" t="s">
        <v>1501</v>
      </c>
      <c r="D22" s="224">
        <v>44409</v>
      </c>
      <c r="E22" s="224">
        <v>44454</v>
      </c>
      <c r="F22" s="218">
        <v>1</v>
      </c>
      <c r="G22" s="92">
        <v>33</v>
      </c>
      <c r="H22" s="92">
        <v>0</v>
      </c>
      <c r="I22" s="92">
        <v>0</v>
      </c>
      <c r="J22" s="218">
        <v>0</v>
      </c>
      <c r="K22" s="218">
        <v>0</v>
      </c>
      <c r="L22" s="218">
        <f t="shared" si="0"/>
        <v>0</v>
      </c>
    </row>
    <row r="23" spans="1:12" outlineLevel="2">
      <c r="A23" s="222" t="s">
        <v>1441</v>
      </c>
      <c r="B23" s="223" t="s">
        <v>1503</v>
      </c>
      <c r="C23" s="222" t="s">
        <v>1504</v>
      </c>
      <c r="D23" s="224">
        <v>44437</v>
      </c>
      <c r="E23" s="224">
        <v>44455</v>
      </c>
      <c r="F23" s="218">
        <v>1</v>
      </c>
      <c r="G23" s="92">
        <v>14</v>
      </c>
      <c r="H23" s="92">
        <v>0</v>
      </c>
      <c r="I23" s="92">
        <v>0</v>
      </c>
      <c r="J23" s="218">
        <v>0</v>
      </c>
      <c r="K23" s="218">
        <v>0</v>
      </c>
      <c r="L23" s="218">
        <f t="shared" si="0"/>
        <v>0</v>
      </c>
    </row>
    <row r="24" spans="1:12" outlineLevel="2">
      <c r="A24" s="222" t="s">
        <v>1441</v>
      </c>
      <c r="B24" s="223" t="s">
        <v>1505</v>
      </c>
      <c r="C24" s="222" t="s">
        <v>1506</v>
      </c>
      <c r="D24" s="224">
        <v>44458</v>
      </c>
      <c r="E24" s="224">
        <v>44462</v>
      </c>
      <c r="F24" s="218">
        <v>1</v>
      </c>
      <c r="G24" s="92">
        <v>1</v>
      </c>
      <c r="H24" s="92">
        <v>0</v>
      </c>
      <c r="I24" s="92">
        <v>0</v>
      </c>
      <c r="J24" s="218">
        <v>0</v>
      </c>
      <c r="K24" s="218">
        <v>0</v>
      </c>
      <c r="L24" s="218">
        <f t="shared" si="0"/>
        <v>0</v>
      </c>
    </row>
    <row r="25" spans="1:12" outlineLevel="2">
      <c r="A25" s="222" t="s">
        <v>1441</v>
      </c>
      <c r="B25" s="223" t="s">
        <v>1508</v>
      </c>
      <c r="C25" s="222" t="s">
        <v>1509</v>
      </c>
      <c r="D25" s="224">
        <v>44458</v>
      </c>
      <c r="E25" s="224">
        <v>44460</v>
      </c>
      <c r="F25" s="218">
        <v>1</v>
      </c>
      <c r="G25" s="92">
        <v>0</v>
      </c>
      <c r="H25" s="92">
        <v>0</v>
      </c>
      <c r="I25" s="92">
        <v>0</v>
      </c>
      <c r="J25" s="218">
        <v>0</v>
      </c>
      <c r="K25" s="218">
        <v>0</v>
      </c>
      <c r="L25" s="218">
        <f t="shared" si="0"/>
        <v>0</v>
      </c>
    </row>
    <row r="26" spans="1:12" outlineLevel="2">
      <c r="A26" s="222" t="s">
        <v>1441</v>
      </c>
      <c r="B26" s="223" t="s">
        <v>1511</v>
      </c>
      <c r="C26" s="222" t="s">
        <v>1512</v>
      </c>
      <c r="D26" s="224">
        <v>44462</v>
      </c>
      <c r="E26" s="224">
        <v>44464</v>
      </c>
      <c r="F26" s="218">
        <v>1</v>
      </c>
      <c r="G26" s="92">
        <v>2</v>
      </c>
      <c r="H26" s="92">
        <v>0</v>
      </c>
      <c r="I26" s="92">
        <v>0</v>
      </c>
      <c r="J26" s="218">
        <v>0</v>
      </c>
      <c r="K26" s="218">
        <v>0</v>
      </c>
      <c r="L26" s="218">
        <f t="shared" si="0"/>
        <v>0</v>
      </c>
    </row>
    <row r="27" spans="1:12" outlineLevel="2">
      <c r="A27" s="222" t="s">
        <v>1441</v>
      </c>
      <c r="B27" s="223" t="s">
        <v>1513</v>
      </c>
      <c r="C27" s="222" t="s">
        <v>1514</v>
      </c>
      <c r="D27" s="224">
        <v>44462</v>
      </c>
      <c r="E27" s="224">
        <v>44464</v>
      </c>
      <c r="F27" s="218">
        <v>1</v>
      </c>
      <c r="G27" s="92">
        <v>2</v>
      </c>
      <c r="H27" s="92">
        <v>0</v>
      </c>
      <c r="I27" s="92">
        <v>0</v>
      </c>
      <c r="J27" s="218">
        <v>0</v>
      </c>
      <c r="K27" s="218">
        <v>0</v>
      </c>
      <c r="L27" s="218">
        <f t="shared" si="0"/>
        <v>0</v>
      </c>
    </row>
    <row r="28" spans="1:12" outlineLevel="2">
      <c r="A28" s="222" t="s">
        <v>1441</v>
      </c>
      <c r="B28" s="223" t="s">
        <v>1515</v>
      </c>
      <c r="C28" s="222" t="s">
        <v>1516</v>
      </c>
      <c r="D28" s="224">
        <v>44462</v>
      </c>
      <c r="E28" s="224">
        <v>44464</v>
      </c>
      <c r="F28" s="218">
        <v>1</v>
      </c>
      <c r="G28" s="92">
        <v>2</v>
      </c>
      <c r="H28" s="92">
        <v>0</v>
      </c>
      <c r="I28" s="92">
        <v>0</v>
      </c>
      <c r="J28" s="218">
        <v>0</v>
      </c>
      <c r="K28" s="218">
        <v>0</v>
      </c>
      <c r="L28" s="218">
        <f t="shared" si="0"/>
        <v>0</v>
      </c>
    </row>
    <row r="29" spans="1:12" outlineLevel="2">
      <c r="A29" s="222" t="s">
        <v>1441</v>
      </c>
      <c r="B29" s="223" t="s">
        <v>1517</v>
      </c>
      <c r="C29" s="222" t="s">
        <v>1518</v>
      </c>
      <c r="D29" s="224">
        <v>44465</v>
      </c>
      <c r="E29" s="224">
        <v>44465</v>
      </c>
      <c r="F29" s="218">
        <v>0</v>
      </c>
      <c r="G29" s="92">
        <v>0</v>
      </c>
      <c r="H29" s="92">
        <v>0</v>
      </c>
      <c r="I29" s="92">
        <v>0</v>
      </c>
      <c r="J29" s="218">
        <v>0</v>
      </c>
      <c r="K29" s="218">
        <v>0</v>
      </c>
      <c r="L29" s="218">
        <f t="shared" si="0"/>
        <v>0</v>
      </c>
    </row>
    <row r="30" spans="1:12" outlineLevel="1">
      <c r="A30" s="225" t="s">
        <v>1534</v>
      </c>
      <c r="B30" s="226"/>
      <c r="C30" s="227"/>
      <c r="D30" s="228"/>
      <c r="E30" s="228"/>
      <c r="F30" s="229"/>
      <c r="G30" s="230">
        <f>SUBTOTAL(9,G7:G29)</f>
        <v>236</v>
      </c>
      <c r="H30" s="230">
        <f>SUBTOTAL(9,H7:H29)</f>
        <v>9</v>
      </c>
      <c r="I30" s="230">
        <f>SUBTOTAL(9,I7:I29)</f>
        <v>16.8</v>
      </c>
      <c r="J30" s="229">
        <f>H30/G30</f>
        <v>3.8135593220338986E-2</v>
      </c>
      <c r="K30" s="229">
        <f>I30/G30</f>
        <v>7.1186440677966104E-2</v>
      </c>
      <c r="L30" s="229">
        <f t="shared" si="0"/>
        <v>3.3050847457627118E-2</v>
      </c>
    </row>
    <row r="31" spans="1:12" outlineLevel="2">
      <c r="A31" s="222" t="s">
        <v>1318</v>
      </c>
      <c r="B31" s="223" t="s">
        <v>1082</v>
      </c>
      <c r="C31" s="222" t="s">
        <v>1450</v>
      </c>
      <c r="D31" s="224">
        <v>44336</v>
      </c>
      <c r="E31" s="224">
        <v>44337</v>
      </c>
      <c r="F31" s="218">
        <v>1</v>
      </c>
      <c r="G31" s="92">
        <v>2</v>
      </c>
      <c r="H31" s="92">
        <v>2</v>
      </c>
      <c r="I31" s="92">
        <v>2</v>
      </c>
      <c r="J31" s="218">
        <v>1</v>
      </c>
      <c r="K31" s="218">
        <v>1</v>
      </c>
      <c r="L31" s="218">
        <f t="shared" si="0"/>
        <v>0</v>
      </c>
    </row>
    <row r="32" spans="1:12" outlineLevel="2">
      <c r="A32" s="222" t="s">
        <v>1318</v>
      </c>
      <c r="B32" s="223" t="s">
        <v>1087</v>
      </c>
      <c r="C32" s="222" t="s">
        <v>1461</v>
      </c>
      <c r="D32" s="224">
        <v>44462</v>
      </c>
      <c r="E32" s="224">
        <v>44466</v>
      </c>
      <c r="F32" s="218">
        <v>1</v>
      </c>
      <c r="G32" s="92">
        <v>3</v>
      </c>
      <c r="H32" s="92">
        <v>0</v>
      </c>
      <c r="I32" s="92">
        <v>0</v>
      </c>
      <c r="J32" s="218">
        <v>0</v>
      </c>
      <c r="K32" s="218">
        <v>0</v>
      </c>
      <c r="L32" s="218">
        <f t="shared" si="0"/>
        <v>0</v>
      </c>
    </row>
    <row r="33" spans="1:12" outlineLevel="1">
      <c r="A33" s="225" t="s">
        <v>1535</v>
      </c>
      <c r="B33" s="226"/>
      <c r="C33" s="227"/>
      <c r="D33" s="228"/>
      <c r="E33" s="228"/>
      <c r="F33" s="229"/>
      <c r="G33" s="230">
        <f>SUBTOTAL(9,G31:G32)</f>
        <v>5</v>
      </c>
      <c r="H33" s="230">
        <f>SUBTOTAL(9,H31:H32)</f>
        <v>2</v>
      </c>
      <c r="I33" s="230">
        <f>SUBTOTAL(9,I31:I32)</f>
        <v>2</v>
      </c>
      <c r="J33" s="229">
        <f>H33/G33</f>
        <v>0.4</v>
      </c>
      <c r="K33" s="229">
        <f>I33/G33</f>
        <v>0.4</v>
      </c>
      <c r="L33" s="229">
        <f t="shared" si="0"/>
        <v>0</v>
      </c>
    </row>
    <row r="34" spans="1:12" outlineLevel="2">
      <c r="A34" s="222" t="s">
        <v>1349</v>
      </c>
      <c r="B34" s="223" t="s">
        <v>1463</v>
      </c>
      <c r="C34" s="222" t="s">
        <v>1464</v>
      </c>
      <c r="D34" s="224">
        <v>44487</v>
      </c>
      <c r="E34" s="224">
        <v>44487</v>
      </c>
      <c r="F34" s="218">
        <v>1</v>
      </c>
      <c r="G34" s="92">
        <v>1</v>
      </c>
      <c r="H34" s="92">
        <v>0</v>
      </c>
      <c r="I34" s="92">
        <v>0</v>
      </c>
      <c r="J34" s="218">
        <v>0</v>
      </c>
      <c r="K34" s="218">
        <v>0</v>
      </c>
      <c r="L34" s="218">
        <f t="shared" si="0"/>
        <v>0</v>
      </c>
    </row>
    <row r="35" spans="1:12" outlineLevel="1">
      <c r="A35" s="225" t="s">
        <v>1536</v>
      </c>
      <c r="B35" s="226"/>
      <c r="C35" s="227"/>
      <c r="D35" s="228"/>
      <c r="E35" s="228"/>
      <c r="F35" s="229"/>
      <c r="G35" s="230">
        <f>SUBTOTAL(9,G34:G34)</f>
        <v>1</v>
      </c>
      <c r="H35" s="230">
        <f>SUBTOTAL(9,H34:H34)</f>
        <v>0</v>
      </c>
      <c r="I35" s="230">
        <f>SUBTOTAL(9,I34:I34)</f>
        <v>0</v>
      </c>
      <c r="J35" s="229">
        <f>H35/G35</f>
        <v>0</v>
      </c>
      <c r="K35" s="229">
        <f>I35/G35</f>
        <v>0</v>
      </c>
      <c r="L35" s="229">
        <f t="shared" si="0"/>
        <v>0</v>
      </c>
    </row>
    <row r="36" spans="1:12" outlineLevel="2">
      <c r="A36" s="222" t="s">
        <v>1319</v>
      </c>
      <c r="B36" s="223" t="s">
        <v>1472</v>
      </c>
      <c r="C36" s="222" t="s">
        <v>1473</v>
      </c>
      <c r="D36" s="224">
        <v>44346</v>
      </c>
      <c r="E36" s="224">
        <v>44357</v>
      </c>
      <c r="F36" s="218">
        <v>1.2</v>
      </c>
      <c r="G36" s="92">
        <v>10.8</v>
      </c>
      <c r="H36" s="92">
        <v>2.4</v>
      </c>
      <c r="I36" s="92">
        <v>1.62</v>
      </c>
      <c r="J36" s="218">
        <v>0.22222222222222221</v>
      </c>
      <c r="K36" s="218">
        <v>0.15</v>
      </c>
      <c r="L36" s="233">
        <f t="shared" si="0"/>
        <v>-7.2222222222222215E-2</v>
      </c>
    </row>
    <row r="37" spans="1:12" outlineLevel="1">
      <c r="A37" s="225" t="s">
        <v>1537</v>
      </c>
      <c r="B37" s="226"/>
      <c r="C37" s="227"/>
      <c r="D37" s="228"/>
      <c r="E37" s="228"/>
      <c r="F37" s="229"/>
      <c r="G37" s="230">
        <f>SUBTOTAL(9,G36:G36)</f>
        <v>10.8</v>
      </c>
      <c r="H37" s="230">
        <f>SUBTOTAL(9,H36:H36)</f>
        <v>2.4</v>
      </c>
      <c r="I37" s="230">
        <f>SUBTOTAL(9,I36:I36)</f>
        <v>1.62</v>
      </c>
      <c r="J37" s="229">
        <f>H37/G37</f>
        <v>0.22222222222222221</v>
      </c>
      <c r="K37" s="229">
        <f>I37/G37</f>
        <v>0.15</v>
      </c>
      <c r="L37" s="234">
        <f t="shared" si="0"/>
        <v>-7.2222222222222215E-2</v>
      </c>
    </row>
    <row r="38" spans="1:12" outlineLevel="2">
      <c r="A38" s="222" t="s">
        <v>1526</v>
      </c>
      <c r="B38" s="223" t="s">
        <v>1085</v>
      </c>
      <c r="C38" s="222" t="s">
        <v>1455</v>
      </c>
      <c r="D38" s="224">
        <v>44361</v>
      </c>
      <c r="E38" s="224">
        <v>44365</v>
      </c>
      <c r="F38" s="218">
        <v>0.2</v>
      </c>
      <c r="G38" s="92">
        <v>1</v>
      </c>
      <c r="H38" s="92">
        <v>0</v>
      </c>
      <c r="I38" s="92">
        <v>0.5</v>
      </c>
      <c r="J38" s="218">
        <v>0</v>
      </c>
      <c r="K38" s="218">
        <v>0.5</v>
      </c>
      <c r="L38" s="218">
        <f t="shared" si="0"/>
        <v>0.5</v>
      </c>
    </row>
    <row r="39" spans="1:12" outlineLevel="2">
      <c r="A39" s="222" t="s">
        <v>1526</v>
      </c>
      <c r="B39" s="223" t="s">
        <v>1106</v>
      </c>
      <c r="C39" s="222" t="s">
        <v>1456</v>
      </c>
      <c r="D39" s="224">
        <v>44393</v>
      </c>
      <c r="E39" s="224">
        <v>44393</v>
      </c>
      <c r="F39" s="218">
        <v>0.2</v>
      </c>
      <c r="G39" s="92">
        <v>0.2</v>
      </c>
      <c r="H39" s="92">
        <v>0</v>
      </c>
      <c r="I39" s="92">
        <v>0</v>
      </c>
      <c r="J39" s="218">
        <v>0</v>
      </c>
      <c r="K39" s="218">
        <v>0</v>
      </c>
      <c r="L39" s="218">
        <f t="shared" si="0"/>
        <v>0</v>
      </c>
    </row>
    <row r="40" spans="1:12" outlineLevel="2">
      <c r="A40" s="222" t="s">
        <v>1526</v>
      </c>
      <c r="B40" s="223" t="s">
        <v>1457</v>
      </c>
      <c r="C40" s="222" t="s">
        <v>1458</v>
      </c>
      <c r="D40" s="224">
        <v>44429</v>
      </c>
      <c r="E40" s="224">
        <v>44454</v>
      </c>
      <c r="F40" s="218">
        <v>0.2</v>
      </c>
      <c r="G40" s="92">
        <v>3.6</v>
      </c>
      <c r="H40" s="92">
        <v>0</v>
      </c>
      <c r="I40" s="92">
        <v>0</v>
      </c>
      <c r="J40" s="218">
        <v>0</v>
      </c>
      <c r="K40" s="218">
        <v>0</v>
      </c>
      <c r="L40" s="218">
        <f t="shared" si="0"/>
        <v>0</v>
      </c>
    </row>
    <row r="41" spans="1:12" outlineLevel="1">
      <c r="A41" s="225" t="s">
        <v>1538</v>
      </c>
      <c r="B41" s="226"/>
      <c r="C41" s="227"/>
      <c r="D41" s="228"/>
      <c r="E41" s="228"/>
      <c r="F41" s="229"/>
      <c r="G41" s="230">
        <f>SUBTOTAL(9,G38:G40)</f>
        <v>4.8</v>
      </c>
      <c r="H41" s="230">
        <f>SUBTOTAL(9,H38:H40)</f>
        <v>0</v>
      </c>
      <c r="I41" s="230">
        <f>SUBTOTAL(9,I38:I40)</f>
        <v>0.5</v>
      </c>
      <c r="J41" s="229">
        <f>H41/G41</f>
        <v>0</v>
      </c>
      <c r="K41" s="229">
        <f>I41/G41</f>
        <v>0.10416666666666667</v>
      </c>
      <c r="L41" s="229">
        <f t="shared" si="0"/>
        <v>0.10416666666666667</v>
      </c>
    </row>
    <row r="42" spans="1:12" outlineLevel="2">
      <c r="A42" s="222" t="s">
        <v>1350</v>
      </c>
      <c r="B42" s="223" t="s">
        <v>1463</v>
      </c>
      <c r="C42" s="222" t="s">
        <v>1464</v>
      </c>
      <c r="D42" s="224">
        <v>44487</v>
      </c>
      <c r="E42" s="224">
        <v>44487</v>
      </c>
      <c r="F42" s="218">
        <v>1</v>
      </c>
      <c r="G42" s="92">
        <v>1</v>
      </c>
      <c r="H42" s="92">
        <v>0</v>
      </c>
      <c r="I42" s="92">
        <v>0</v>
      </c>
      <c r="J42" s="218">
        <v>0</v>
      </c>
      <c r="K42" s="218">
        <v>0</v>
      </c>
      <c r="L42" s="218">
        <f t="shared" si="0"/>
        <v>0</v>
      </c>
    </row>
    <row r="43" spans="1:12" outlineLevel="1">
      <c r="A43" s="225" t="s">
        <v>1539</v>
      </c>
      <c r="B43" s="226"/>
      <c r="C43" s="227"/>
      <c r="D43" s="228"/>
      <c r="E43" s="228"/>
      <c r="F43" s="229"/>
      <c r="G43" s="230">
        <f>SUBTOTAL(9,G42:G42)</f>
        <v>1</v>
      </c>
      <c r="H43" s="230">
        <f>SUBTOTAL(9,H42:H42)</f>
        <v>0</v>
      </c>
      <c r="I43" s="230">
        <f>SUBTOTAL(9,I42:I42)</f>
        <v>0</v>
      </c>
      <c r="J43" s="229">
        <f>H43/G43</f>
        <v>0</v>
      </c>
      <c r="K43" s="229">
        <f>I43/G43</f>
        <v>0</v>
      </c>
      <c r="L43" s="229">
        <f t="shared" si="0"/>
        <v>0</v>
      </c>
    </row>
    <row r="44" spans="1:12" outlineLevel="2">
      <c r="A44" s="222" t="s">
        <v>1317</v>
      </c>
      <c r="B44" s="223" t="s">
        <v>1082</v>
      </c>
      <c r="C44" s="222" t="s">
        <v>1450</v>
      </c>
      <c r="D44" s="224">
        <v>44336</v>
      </c>
      <c r="E44" s="224">
        <v>44337</v>
      </c>
      <c r="F44" s="218">
        <v>1</v>
      </c>
      <c r="G44" s="92">
        <v>2</v>
      </c>
      <c r="H44" s="92">
        <v>2</v>
      </c>
      <c r="I44" s="92">
        <v>2</v>
      </c>
      <c r="J44" s="218">
        <v>1</v>
      </c>
      <c r="K44" s="218">
        <v>1</v>
      </c>
      <c r="L44" s="218">
        <f t="shared" si="0"/>
        <v>0</v>
      </c>
    </row>
    <row r="45" spans="1:12" outlineLevel="2">
      <c r="A45" s="222" t="s">
        <v>1317</v>
      </c>
      <c r="B45" s="223" t="s">
        <v>1451</v>
      </c>
      <c r="C45" s="222" t="s">
        <v>1452</v>
      </c>
      <c r="D45" s="224">
        <v>44340</v>
      </c>
      <c r="E45" s="224">
        <v>44346</v>
      </c>
      <c r="F45" s="218">
        <v>1</v>
      </c>
      <c r="G45" s="92">
        <v>5</v>
      </c>
      <c r="H45" s="92">
        <v>5</v>
      </c>
      <c r="I45" s="92">
        <v>4.5</v>
      </c>
      <c r="J45" s="218">
        <v>1</v>
      </c>
      <c r="K45" s="218">
        <v>0.9</v>
      </c>
      <c r="L45" s="233">
        <f t="shared" si="0"/>
        <v>-9.9999999999999978E-2</v>
      </c>
    </row>
    <row r="46" spans="1:12" outlineLevel="2">
      <c r="A46" s="222" t="s">
        <v>1317</v>
      </c>
      <c r="B46" s="223" t="s">
        <v>1453</v>
      </c>
      <c r="C46" s="222" t="s">
        <v>1454</v>
      </c>
      <c r="D46" s="224">
        <v>44358</v>
      </c>
      <c r="E46" s="224">
        <v>44358</v>
      </c>
      <c r="F46" s="218">
        <v>0</v>
      </c>
      <c r="G46" s="92">
        <v>0</v>
      </c>
      <c r="H46" s="92">
        <v>0</v>
      </c>
      <c r="I46" s="92">
        <v>0</v>
      </c>
      <c r="J46" s="218">
        <v>0</v>
      </c>
      <c r="K46" s="218">
        <v>0</v>
      </c>
      <c r="L46" s="218">
        <f t="shared" si="0"/>
        <v>0</v>
      </c>
    </row>
    <row r="47" spans="1:12" outlineLevel="2">
      <c r="A47" s="222" t="s">
        <v>1317</v>
      </c>
      <c r="B47" s="223" t="s">
        <v>1087</v>
      </c>
      <c r="C47" s="222" t="s">
        <v>1461</v>
      </c>
      <c r="D47" s="224">
        <v>44462</v>
      </c>
      <c r="E47" s="224">
        <v>44466</v>
      </c>
      <c r="F47" s="218">
        <v>1</v>
      </c>
      <c r="G47" s="92">
        <v>3</v>
      </c>
      <c r="H47" s="92">
        <v>0</v>
      </c>
      <c r="I47" s="92">
        <v>0</v>
      </c>
      <c r="J47" s="218">
        <v>0</v>
      </c>
      <c r="K47" s="218">
        <v>0</v>
      </c>
      <c r="L47" s="218">
        <f t="shared" si="0"/>
        <v>0</v>
      </c>
    </row>
    <row r="48" spans="1:12" outlineLevel="2">
      <c r="A48" s="222" t="s">
        <v>1317</v>
      </c>
      <c r="B48" s="223" t="s">
        <v>1472</v>
      </c>
      <c r="C48" s="222" t="s">
        <v>1473</v>
      </c>
      <c r="D48" s="224">
        <v>44346</v>
      </c>
      <c r="E48" s="224">
        <v>44357</v>
      </c>
      <c r="F48" s="218">
        <v>0.5</v>
      </c>
      <c r="G48" s="92">
        <v>4.5</v>
      </c>
      <c r="H48" s="92">
        <v>1</v>
      </c>
      <c r="I48" s="92">
        <v>0.67499999999999993</v>
      </c>
      <c r="J48" s="218">
        <v>0.22222222222222221</v>
      </c>
      <c r="K48" s="218">
        <v>0.15</v>
      </c>
      <c r="L48" s="233">
        <f t="shared" si="0"/>
        <v>-7.2222222222222215E-2</v>
      </c>
    </row>
    <row r="49" spans="1:12" outlineLevel="1">
      <c r="A49" s="225" t="s">
        <v>1540</v>
      </c>
      <c r="B49" s="226"/>
      <c r="C49" s="227"/>
      <c r="D49" s="228"/>
      <c r="E49" s="228"/>
      <c r="F49" s="229"/>
      <c r="G49" s="230">
        <f>SUBTOTAL(9,G44:G48)</f>
        <v>14.5</v>
      </c>
      <c r="H49" s="230">
        <f>SUBTOTAL(9,H44:H48)</f>
        <v>8</v>
      </c>
      <c r="I49" s="230">
        <f>SUBTOTAL(9,I44:I48)</f>
        <v>7.1749999999999998</v>
      </c>
      <c r="J49" s="229">
        <f>H49/G49</f>
        <v>0.55172413793103448</v>
      </c>
      <c r="K49" s="229">
        <f>I49/G49</f>
        <v>0.49482758620689654</v>
      </c>
      <c r="L49" s="234">
        <f t="shared" si="0"/>
        <v>-5.6896551724137934E-2</v>
      </c>
    </row>
    <row r="50" spans="1:12" outlineLevel="2">
      <c r="A50" s="222" t="s">
        <v>729</v>
      </c>
      <c r="B50" s="223" t="s">
        <v>1107</v>
      </c>
      <c r="C50" s="222" t="s">
        <v>1462</v>
      </c>
      <c r="D50" s="224">
        <v>44469</v>
      </c>
      <c r="E50" s="224">
        <v>44487</v>
      </c>
      <c r="F50" s="218">
        <v>1</v>
      </c>
      <c r="G50" s="92">
        <v>13</v>
      </c>
      <c r="H50" s="92">
        <v>0</v>
      </c>
      <c r="I50" s="92">
        <v>0</v>
      </c>
      <c r="J50" s="218">
        <v>0</v>
      </c>
      <c r="K50" s="218">
        <v>0</v>
      </c>
      <c r="L50" s="218">
        <f t="shared" si="0"/>
        <v>0</v>
      </c>
    </row>
    <row r="51" spans="1:12" outlineLevel="1">
      <c r="A51" s="225" t="s">
        <v>1541</v>
      </c>
      <c r="B51" s="226"/>
      <c r="C51" s="227"/>
      <c r="D51" s="228"/>
      <c r="E51" s="228"/>
      <c r="F51" s="229"/>
      <c r="G51" s="230">
        <f>SUBTOTAL(9,G50:G50)</f>
        <v>13</v>
      </c>
      <c r="H51" s="230">
        <f>SUBTOTAL(9,H50:H50)</f>
        <v>0</v>
      </c>
      <c r="I51" s="230">
        <f>SUBTOTAL(9,I50:I50)</f>
        <v>0</v>
      </c>
      <c r="J51" s="229">
        <f>H51/G51</f>
        <v>0</v>
      </c>
      <c r="K51" s="229">
        <f>I51/G51</f>
        <v>0</v>
      </c>
      <c r="L51" s="229">
        <f t="shared" si="0"/>
        <v>0</v>
      </c>
    </row>
    <row r="52" spans="1:12" outlineLevel="1">
      <c r="J52" s="218"/>
      <c r="K52" s="218"/>
      <c r="L52" s="218"/>
    </row>
    <row r="53" spans="1:12" outlineLevel="1">
      <c r="A53" s="231" t="s">
        <v>1542</v>
      </c>
      <c r="B53" s="232"/>
      <c r="C53" s="232"/>
      <c r="D53" s="232"/>
      <c r="E53" s="232"/>
      <c r="F53" s="229"/>
      <c r="G53" s="230">
        <f>SUBTOTAL(9,G7:G52)</f>
        <v>286.10000000000002</v>
      </c>
      <c r="H53" s="230">
        <f>SUBTOTAL(9,H7:H52)</f>
        <v>21.4</v>
      </c>
      <c r="I53" s="230">
        <f>SUBTOTAL(9,I7:I52)</f>
        <v>28.095000000000002</v>
      </c>
      <c r="J53" s="229">
        <f>H53/G53</f>
        <v>7.4799021321216352E-2</v>
      </c>
      <c r="K53" s="229">
        <f>I53/G53</f>
        <v>9.8199930094372598E-2</v>
      </c>
      <c r="L53" s="229">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00000000-0004-0000-0400-000000000000}"/>
    <hyperlink ref="B31" location="Schedule!$D$7" display="1.1.1" xr:uid="{00000000-0004-0000-0400-000001000000}"/>
    <hyperlink ref="B45" location="Schedule!$D$9" display="1.1.2.1" xr:uid="{00000000-0004-0000-0400-000002000000}"/>
    <hyperlink ref="B46" location="Schedule!$D$10" display="1.1.2.2" xr:uid="{00000000-0004-0000-0400-000003000000}"/>
    <hyperlink ref="B38" location="Schedule!$D$12" display="1.2.1" xr:uid="{00000000-0004-0000-0400-000004000000}"/>
    <hyperlink ref="B39" location="Schedule!$D$13" display="1.2.2" xr:uid="{00000000-0004-0000-0400-000005000000}"/>
    <hyperlink ref="B40" location="Schedule!$D$14" display="1.2.3" xr:uid="{00000000-0004-0000-0400-000006000000}"/>
    <hyperlink ref="B7" location="Schedule!$D$15" display="1.2.4" xr:uid="{00000000-0004-0000-0400-000007000000}"/>
    <hyperlink ref="B32" location="Schedule!$D$17" display="1.3.1" xr:uid="{00000000-0004-0000-0400-000008000000}"/>
    <hyperlink ref="B47" location="Schedule!$D$17" display="1.3.1" xr:uid="{00000000-0004-0000-0400-000009000000}"/>
    <hyperlink ref="B50" location="Schedule!$D$18" display="1.3.2" xr:uid="{00000000-0004-0000-0400-00000A000000}"/>
    <hyperlink ref="B34" location="Schedule!$D$19" display="1.3.3" xr:uid="{00000000-0004-0000-0400-00000B000000}"/>
    <hyperlink ref="B42" location="Schedule!$D$19" display="1.3.3" xr:uid="{00000000-0004-0000-0400-00000C000000}"/>
    <hyperlink ref="B8" location="Schedule!$D$20" display="1.3.4" xr:uid="{00000000-0004-0000-0400-00000D000000}"/>
    <hyperlink ref="B9" location="Schedule!$D$24" display="2.1.1" xr:uid="{00000000-0004-0000-0400-00000E000000}"/>
    <hyperlink ref="B10" location="Schedule!$D$26" display="2.1.2.1" xr:uid="{00000000-0004-0000-0400-00000F000000}"/>
    <hyperlink ref="B36" location="Schedule!$D$27" display="2.1.2.2" xr:uid="{00000000-0004-0000-0400-000010000000}"/>
    <hyperlink ref="B48" location="Schedule!$D$27" display="2.1.2.2" xr:uid="{00000000-0004-0000-0400-000011000000}"/>
    <hyperlink ref="B11" location="Schedule!$D$29" display="2.2.1" xr:uid="{00000000-0004-0000-0400-000012000000}"/>
    <hyperlink ref="B12" location="Schedule!$D$31" display="2.2.2.1" xr:uid="{00000000-0004-0000-0400-000013000000}"/>
    <hyperlink ref="B13" location="Schedule!$D$32" display="2.2.2.2" xr:uid="{00000000-0004-0000-0400-000014000000}"/>
    <hyperlink ref="B14" location="Schedule!$D$33" display="2.2.2.3" xr:uid="{00000000-0004-0000-0400-000015000000}"/>
    <hyperlink ref="B15" location="Schedule!$D$34" display="2.2.3" xr:uid="{00000000-0004-0000-0400-000016000000}"/>
    <hyperlink ref="B16" location="Schedule!$D$37" display="2.3.1.1" xr:uid="{00000000-0004-0000-0400-000017000000}"/>
    <hyperlink ref="B17" location="Schedule!$D$40" display="2.3.1.2.1.1" xr:uid="{00000000-0004-0000-0400-000018000000}"/>
    <hyperlink ref="B18" location="Schedule!$D$41" display="2.3.1.2.1.2" xr:uid="{00000000-0004-0000-0400-000019000000}"/>
    <hyperlink ref="B19" location="Schedule!$D$42" display="2.3.1.2.1.3" xr:uid="{00000000-0004-0000-0400-00001A000000}"/>
    <hyperlink ref="B20" location="Schedule!$D$43" display="2.3.1.2.2" xr:uid="{00000000-0004-0000-0400-00001B000000}"/>
    <hyperlink ref="B21" location="Schedule!$D$44" display="2.3.1.2.3" xr:uid="{00000000-0004-0000-0400-00001C000000}"/>
    <hyperlink ref="B22" location="Schedule!$D$45" display="2.3.1.2.4" xr:uid="{00000000-0004-0000-0400-00001D000000}"/>
    <hyperlink ref="B23" location="Schedule!$D$47" display="2.3.2.1" xr:uid="{00000000-0004-0000-0400-00001E000000}"/>
    <hyperlink ref="B24" location="Schedule!$D$48" display="2.3.2.2" xr:uid="{00000000-0004-0000-0400-00001F000000}"/>
    <hyperlink ref="B25" location="Schedule!$D$51" display="2.4.1.1" xr:uid="{00000000-0004-0000-0400-000020000000}"/>
    <hyperlink ref="B26" location="Schedule!$D$53" display="2.4.2.1" xr:uid="{00000000-0004-0000-0400-000021000000}"/>
    <hyperlink ref="B27" location="Schedule!$D$54" display="2.4.2.2" xr:uid="{00000000-0004-0000-0400-000022000000}"/>
    <hyperlink ref="B28" location="Schedule!$D$55" display="2.4.2.3" xr:uid="{00000000-0004-0000-0400-000023000000}"/>
    <hyperlink ref="B29" location="Schedule!$D$56" display="2.4.2.4" xr:uid="{00000000-0004-0000-0400-00002400000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1442</v>
      </c>
      <c r="B1" s="1"/>
      <c r="C1" s="1"/>
      <c r="D1" s="1"/>
      <c r="E1" s="1"/>
      <c r="F1" s="1"/>
      <c r="G1" s="1"/>
      <c r="H1" s="1"/>
    </row>
    <row r="2" spans="1:9" s="65" customFormat="1" ht="78.75" customHeight="1">
      <c r="A2" s="310" t="s">
        <v>1443</v>
      </c>
      <c r="B2" s="310"/>
      <c r="C2" s="310"/>
      <c r="D2" s="310"/>
      <c r="E2" s="310"/>
      <c r="F2" s="310"/>
      <c r="G2" s="310"/>
      <c r="H2" s="310"/>
    </row>
    <row r="3" spans="1:9" s="65" customFormat="1" ht="24.75" customHeight="1">
      <c r="A3" s="311" t="s">
        <v>1444</v>
      </c>
      <c r="B3" s="311"/>
      <c r="D3" s="311" t="s">
        <v>1445</v>
      </c>
      <c r="E3" s="311"/>
      <c r="G3" s="311" t="s">
        <v>1446</v>
      </c>
      <c r="H3" s="311"/>
    </row>
    <row r="4" spans="1:9" s="67" customFormat="1" ht="19.5" customHeight="1">
      <c r="A4" s="66" t="s">
        <v>1447</v>
      </c>
      <c r="B4" s="66" t="s">
        <v>1448</v>
      </c>
      <c r="D4" s="66" t="s">
        <v>1447</v>
      </c>
      <c r="E4" s="66" t="s">
        <v>1448</v>
      </c>
      <c r="G4" s="66" t="s">
        <v>1447</v>
      </c>
      <c r="H4" s="66" t="s">
        <v>1448</v>
      </c>
    </row>
    <row r="5" spans="1:9" s="97" customFormat="1" ht="16.5">
      <c r="A5" s="95" t="s">
        <v>1112</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1113</v>
      </c>
      <c r="B6" s="96">
        <v>43854</v>
      </c>
      <c r="C6" s="97" t="str">
        <f t="shared" si="0"/>
        <v>(금)</v>
      </c>
      <c r="D6" s="98"/>
      <c r="E6" s="99"/>
      <c r="F6" s="97" t="str">
        <f t="shared" si="1"/>
        <v/>
      </c>
      <c r="G6" s="98"/>
      <c r="H6" s="99"/>
      <c r="I6" s="97" t="str">
        <f t="shared" si="2"/>
        <v/>
      </c>
    </row>
    <row r="7" spans="1:9" s="97" customFormat="1" ht="16.5">
      <c r="A7" s="95" t="s">
        <v>1300</v>
      </c>
      <c r="B7" s="96">
        <v>43857</v>
      </c>
      <c r="C7" s="97" t="str">
        <f t="shared" si="0"/>
        <v>(월)</v>
      </c>
      <c r="D7" s="98"/>
      <c r="E7" s="99"/>
      <c r="F7" s="97" t="str">
        <f t="shared" si="1"/>
        <v/>
      </c>
      <c r="G7" s="98"/>
      <c r="H7" s="99"/>
      <c r="I7" s="97" t="str">
        <f t="shared" si="2"/>
        <v/>
      </c>
    </row>
    <row r="8" spans="1:9" s="97" customFormat="1" ht="16.5">
      <c r="A8" s="95" t="s">
        <v>1301</v>
      </c>
      <c r="B8" s="96">
        <v>43936</v>
      </c>
      <c r="C8" s="97" t="str">
        <f t="shared" si="0"/>
        <v>(수)</v>
      </c>
      <c r="D8" s="98"/>
      <c r="E8" s="99"/>
      <c r="F8" s="97" t="str">
        <f t="shared" si="1"/>
        <v/>
      </c>
      <c r="G8" s="98"/>
      <c r="H8" s="99"/>
      <c r="I8" s="97" t="str">
        <f t="shared" si="2"/>
        <v/>
      </c>
    </row>
    <row r="9" spans="1:9" s="97" customFormat="1" ht="16.5">
      <c r="A9" s="95" t="s">
        <v>1302</v>
      </c>
      <c r="B9" s="96">
        <v>43951</v>
      </c>
      <c r="C9" s="97" t="str">
        <f t="shared" si="0"/>
        <v>(목)</v>
      </c>
      <c r="D9" s="98"/>
      <c r="E9" s="99"/>
      <c r="F9" s="97" t="str">
        <f t="shared" si="1"/>
        <v/>
      </c>
      <c r="G9" s="98"/>
      <c r="H9" s="99"/>
      <c r="I9" s="97" t="str">
        <f t="shared" si="2"/>
        <v/>
      </c>
    </row>
    <row r="10" spans="1:9" s="97" customFormat="1" ht="16.5">
      <c r="A10" s="95" t="s">
        <v>1303</v>
      </c>
      <c r="B10" s="96">
        <v>43956</v>
      </c>
      <c r="C10" s="97" t="str">
        <f t="shared" si="0"/>
        <v>(화)</v>
      </c>
      <c r="D10" s="98"/>
      <c r="E10" s="99"/>
      <c r="F10" s="97" t="str">
        <f t="shared" si="1"/>
        <v/>
      </c>
      <c r="G10" s="98"/>
      <c r="H10" s="99"/>
      <c r="I10" s="97" t="str">
        <f t="shared" si="2"/>
        <v/>
      </c>
    </row>
    <row r="11" spans="1:9" s="97" customFormat="1" ht="16.5">
      <c r="A11" s="95" t="s">
        <v>1308</v>
      </c>
      <c r="B11" s="96">
        <v>44060</v>
      </c>
      <c r="C11" s="97" t="str">
        <f t="shared" si="0"/>
        <v>(월)</v>
      </c>
      <c r="D11" s="98"/>
      <c r="E11" s="99"/>
      <c r="F11" s="97" t="str">
        <f t="shared" si="1"/>
        <v/>
      </c>
      <c r="G11" s="98"/>
      <c r="H11" s="99"/>
      <c r="I11" s="97" t="str">
        <f t="shared" si="2"/>
        <v/>
      </c>
    </row>
    <row r="12" spans="1:9" s="97" customFormat="1" ht="16.5">
      <c r="A12" s="95" t="s">
        <v>1304</v>
      </c>
      <c r="B12" s="96">
        <v>44104</v>
      </c>
      <c r="C12" s="97" t="str">
        <f t="shared" si="0"/>
        <v>(수)</v>
      </c>
      <c r="D12" s="98"/>
      <c r="E12" s="99"/>
      <c r="F12" s="97" t="str">
        <f t="shared" si="1"/>
        <v/>
      </c>
      <c r="G12" s="98"/>
      <c r="H12" s="99"/>
      <c r="I12" s="97" t="str">
        <f t="shared" si="2"/>
        <v/>
      </c>
    </row>
    <row r="13" spans="1:9" s="97" customFormat="1" ht="16.5">
      <c r="A13" s="95" t="s">
        <v>1305</v>
      </c>
      <c r="B13" s="96">
        <v>44105</v>
      </c>
      <c r="C13" s="97" t="str">
        <f t="shared" si="0"/>
        <v>(목)</v>
      </c>
      <c r="D13" s="98"/>
      <c r="E13" s="99"/>
      <c r="F13" s="97" t="str">
        <f t="shared" si="1"/>
        <v/>
      </c>
      <c r="G13" s="98"/>
      <c r="H13" s="99"/>
      <c r="I13" s="97" t="str">
        <f t="shared" si="2"/>
        <v/>
      </c>
    </row>
    <row r="14" spans="1:9" s="97" customFormat="1" ht="16.5">
      <c r="A14" s="95" t="s">
        <v>1304</v>
      </c>
      <c r="B14" s="96">
        <v>44106</v>
      </c>
      <c r="C14" s="97" t="str">
        <f t="shared" si="0"/>
        <v>(금)</v>
      </c>
      <c r="D14" s="98"/>
      <c r="E14" s="99"/>
      <c r="F14" s="97" t="str">
        <f t="shared" si="1"/>
        <v/>
      </c>
      <c r="G14" s="98"/>
      <c r="H14" s="99"/>
      <c r="I14" s="97" t="str">
        <f t="shared" si="2"/>
        <v/>
      </c>
    </row>
    <row r="15" spans="1:9" s="97" customFormat="1" ht="16.5">
      <c r="A15" s="95" t="s">
        <v>1306</v>
      </c>
      <c r="B15" s="96">
        <v>44113</v>
      </c>
      <c r="C15" s="97" t="str">
        <f t="shared" si="0"/>
        <v>(금)</v>
      </c>
      <c r="D15" s="98"/>
      <c r="E15" s="99"/>
      <c r="F15" s="97" t="str">
        <f t="shared" si="1"/>
        <v/>
      </c>
      <c r="G15" s="98"/>
      <c r="H15" s="99"/>
      <c r="I15" s="97" t="str">
        <f t="shared" si="2"/>
        <v/>
      </c>
    </row>
    <row r="16" spans="1:9" s="97" customFormat="1" ht="16.5">
      <c r="A16" s="95" t="s">
        <v>1307</v>
      </c>
      <c r="B16" s="96">
        <v>44190</v>
      </c>
      <c r="C16" s="97" t="str">
        <f t="shared" si="0"/>
        <v>(금)</v>
      </c>
      <c r="D16" s="98"/>
      <c r="E16" s="99"/>
      <c r="F16" s="97" t="str">
        <f t="shared" si="1"/>
        <v/>
      </c>
      <c r="G16" s="98"/>
      <c r="H16" s="99"/>
      <c r="I16" s="97" t="str">
        <f t="shared" si="2"/>
        <v/>
      </c>
    </row>
    <row r="17" spans="1:10" s="97" customFormat="1" ht="16.5">
      <c r="A17" s="95" t="s">
        <v>1309</v>
      </c>
      <c r="B17" s="96">
        <v>44197</v>
      </c>
      <c r="C17" s="97" t="str">
        <f t="shared" si="0"/>
        <v>(금)</v>
      </c>
      <c r="D17" s="98"/>
      <c r="E17" s="99"/>
      <c r="F17" s="97" t="str">
        <f t="shared" si="1"/>
        <v/>
      </c>
      <c r="G17" s="98"/>
      <c r="H17" s="99"/>
      <c r="I17" s="97" t="str">
        <f t="shared" si="2"/>
        <v/>
      </c>
    </row>
    <row r="18" spans="1:10" s="97" customFormat="1" ht="16.5">
      <c r="A18" s="95" t="s">
        <v>1310</v>
      </c>
      <c r="B18" s="96">
        <v>44238</v>
      </c>
      <c r="C18" s="97" t="str">
        <f t="shared" si="0"/>
        <v>(목)</v>
      </c>
      <c r="D18" s="98"/>
      <c r="E18" s="99"/>
      <c r="F18" s="97" t="str">
        <f t="shared" si="1"/>
        <v/>
      </c>
      <c r="G18" s="98"/>
      <c r="H18" s="99"/>
      <c r="I18" s="97" t="str">
        <f t="shared" si="2"/>
        <v/>
      </c>
    </row>
    <row r="19" spans="1:10" s="97" customFormat="1" ht="17.25">
      <c r="A19" s="95" t="s">
        <v>1311</v>
      </c>
      <c r="B19" s="96">
        <v>44239</v>
      </c>
      <c r="C19" s="97" t="str">
        <f t="shared" si="0"/>
        <v>(금)</v>
      </c>
      <c r="D19" s="98"/>
      <c r="E19" s="99"/>
      <c r="F19" s="97" t="str">
        <f t="shared" si="1"/>
        <v/>
      </c>
      <c r="G19" s="98"/>
      <c r="H19" s="99"/>
      <c r="I19" s="97" t="str">
        <f t="shared" si="2"/>
        <v/>
      </c>
      <c r="J19" s="100"/>
    </row>
    <row r="20" spans="1:10" s="97" customFormat="1" ht="17.25">
      <c r="A20" s="95" t="s">
        <v>1312</v>
      </c>
      <c r="B20" s="96">
        <v>44256</v>
      </c>
      <c r="C20" s="97" t="str">
        <f t="shared" si="0"/>
        <v>(월)</v>
      </c>
      <c r="D20" s="98"/>
      <c r="E20" s="99"/>
      <c r="F20" s="97" t="str">
        <f t="shared" si="1"/>
        <v/>
      </c>
      <c r="G20" s="98"/>
      <c r="H20" s="99"/>
      <c r="I20" s="97" t="str">
        <f t="shared" si="2"/>
        <v/>
      </c>
      <c r="J20" s="100"/>
    </row>
    <row r="21" spans="1:10" s="97" customFormat="1" ht="16.5">
      <c r="A21" s="95" t="s">
        <v>1313</v>
      </c>
      <c r="B21" s="96">
        <v>44321</v>
      </c>
      <c r="C21" s="97" t="str">
        <f t="shared" si="0"/>
        <v>(수)</v>
      </c>
      <c r="D21" s="98"/>
      <c r="E21" s="99"/>
      <c r="F21" s="97" t="str">
        <f t="shared" si="1"/>
        <v/>
      </c>
      <c r="G21" s="98"/>
      <c r="H21" s="99"/>
      <c r="I21" s="97" t="str">
        <f t="shared" si="2"/>
        <v/>
      </c>
    </row>
    <row r="22" spans="1:10" s="97" customFormat="1" ht="16.5">
      <c r="A22" s="95" t="s">
        <v>1314</v>
      </c>
      <c r="B22" s="96">
        <v>44335</v>
      </c>
      <c r="C22" s="97" t="str">
        <f t="shared" si="0"/>
        <v>(수)</v>
      </c>
      <c r="D22" s="98"/>
      <c r="E22" s="99"/>
      <c r="F22" s="97" t="str">
        <f t="shared" si="1"/>
        <v/>
      </c>
      <c r="G22" s="98"/>
      <c r="H22" s="99"/>
      <c r="I22" s="97" t="str">
        <f t="shared" si="2"/>
        <v/>
      </c>
    </row>
    <row r="23" spans="1:10" s="97" customFormat="1" ht="16.5">
      <c r="A23" s="95" t="s">
        <v>1315</v>
      </c>
      <c r="B23" s="96">
        <v>44459</v>
      </c>
      <c r="C23" s="97" t="str">
        <f t="shared" si="0"/>
        <v>(월)</v>
      </c>
      <c r="D23" s="98"/>
      <c r="E23" s="99"/>
      <c r="F23" s="97" t="str">
        <f t="shared" si="1"/>
        <v/>
      </c>
      <c r="G23" s="98"/>
      <c r="H23" s="99"/>
      <c r="I23" s="97" t="str">
        <f t="shared" si="2"/>
        <v/>
      </c>
    </row>
    <row r="24" spans="1:10" s="97" customFormat="1" ht="16.5">
      <c r="A24" s="95" t="s">
        <v>1316</v>
      </c>
      <c r="B24" s="96">
        <v>44460</v>
      </c>
      <c r="C24" s="97" t="str">
        <f t="shared" si="0"/>
        <v>(화)</v>
      </c>
      <c r="D24" s="98"/>
      <c r="E24" s="99"/>
      <c r="F24" s="97" t="str">
        <f t="shared" si="1"/>
        <v/>
      </c>
      <c r="G24" s="98"/>
      <c r="H24" s="99"/>
      <c r="I24" s="97" t="str">
        <f t="shared" si="2"/>
        <v/>
      </c>
    </row>
    <row r="25" spans="1:10" s="97" customFormat="1" ht="16.5">
      <c r="A25" s="95" t="s">
        <v>1315</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1449</v>
      </c>
      <c r="D305" s="97" t="s">
        <v>1449</v>
      </c>
      <c r="G305" s="97" t="s">
        <v>1449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1330</v>
      </c>
    </row>
    <row r="2" spans="1:6" ht="84">
      <c r="A2" s="87" t="s">
        <v>1563</v>
      </c>
      <c r="B2" s="88">
        <v>1</v>
      </c>
      <c r="C2" s="89" t="s">
        <v>1006</v>
      </c>
      <c r="D2" s="90" t="s">
        <v>501</v>
      </c>
      <c r="E2" s="90" t="s">
        <v>574</v>
      </c>
      <c r="F2" s="90" t="s">
        <v>574</v>
      </c>
    </row>
    <row r="3" spans="1:6" ht="96">
      <c r="A3" s="175">
        <v>600</v>
      </c>
      <c r="B3" s="88">
        <v>2</v>
      </c>
      <c r="C3" s="89" t="s">
        <v>1006</v>
      </c>
      <c r="D3" s="90" t="s">
        <v>494</v>
      </c>
      <c r="E3" s="90" t="s">
        <v>575</v>
      </c>
      <c r="F3" s="90" t="s">
        <v>575</v>
      </c>
    </row>
    <row r="4" spans="1:6" ht="60">
      <c r="B4" s="88">
        <v>3</v>
      </c>
      <c r="C4" s="89" t="s">
        <v>1006</v>
      </c>
      <c r="D4" s="90" t="s">
        <v>502</v>
      </c>
      <c r="E4" s="90" t="s">
        <v>576</v>
      </c>
      <c r="F4" s="90" t="s">
        <v>576</v>
      </c>
    </row>
    <row r="5" spans="1:6" ht="60">
      <c r="B5" s="88">
        <v>4</v>
      </c>
      <c r="C5" s="89" t="s">
        <v>1006</v>
      </c>
      <c r="D5" s="90" t="s">
        <v>503</v>
      </c>
      <c r="E5" s="90" t="s">
        <v>577</v>
      </c>
      <c r="F5" s="90" t="s">
        <v>577</v>
      </c>
    </row>
    <row r="6" spans="1:6" ht="60">
      <c r="B6" s="88">
        <v>5</v>
      </c>
      <c r="C6" s="89" t="s">
        <v>1006</v>
      </c>
      <c r="D6" s="90" t="s">
        <v>504</v>
      </c>
      <c r="E6" s="90" t="s">
        <v>578</v>
      </c>
      <c r="F6" s="90" t="s">
        <v>578</v>
      </c>
    </row>
    <row r="7" spans="1:6" ht="48">
      <c r="B7" s="88">
        <v>6</v>
      </c>
      <c r="C7" s="89" t="s">
        <v>1006</v>
      </c>
      <c r="D7" s="90" t="s">
        <v>505</v>
      </c>
      <c r="E7" s="90" t="s">
        <v>579</v>
      </c>
      <c r="F7" s="90" t="s">
        <v>579</v>
      </c>
    </row>
    <row r="8" spans="1:6">
      <c r="B8" s="88">
        <v>7</v>
      </c>
      <c r="C8" s="89" t="s">
        <v>1006</v>
      </c>
      <c r="D8" s="90" t="s">
        <v>496</v>
      </c>
      <c r="E8" s="90" t="s">
        <v>580</v>
      </c>
      <c r="F8" s="90" t="s">
        <v>580</v>
      </c>
    </row>
    <row r="9" spans="1:6" ht="48">
      <c r="B9" s="88">
        <v>8</v>
      </c>
      <c r="C9" s="89" t="s">
        <v>1213</v>
      </c>
      <c r="D9" s="90" t="s">
        <v>1210</v>
      </c>
      <c r="E9" s="90" t="s">
        <v>1129</v>
      </c>
      <c r="F9" s="90" t="s">
        <v>1129</v>
      </c>
    </row>
    <row r="10" spans="1:6" ht="48">
      <c r="B10" s="88">
        <v>9</v>
      </c>
      <c r="C10" s="89" t="s">
        <v>1213</v>
      </c>
      <c r="D10" s="90" t="s">
        <v>1191</v>
      </c>
      <c r="E10" s="90" t="s">
        <v>1153</v>
      </c>
      <c r="F10" s="90" t="s">
        <v>1153</v>
      </c>
    </row>
    <row r="11" spans="1:6" ht="60">
      <c r="B11" s="88">
        <v>10</v>
      </c>
      <c r="C11" s="89" t="s">
        <v>1213</v>
      </c>
      <c r="D11" s="90" t="s">
        <v>1211</v>
      </c>
      <c r="E11" s="90" t="s">
        <v>1193</v>
      </c>
      <c r="F11" s="90" t="s">
        <v>1193</v>
      </c>
    </row>
    <row r="12" spans="1:6" ht="48">
      <c r="B12" s="88">
        <v>11</v>
      </c>
      <c r="C12" s="89" t="s">
        <v>1213</v>
      </c>
      <c r="D12" s="90" t="s">
        <v>1196</v>
      </c>
      <c r="E12" s="90" t="s">
        <v>1195</v>
      </c>
      <c r="F12" s="90" t="s">
        <v>1195</v>
      </c>
    </row>
    <row r="13" spans="1:6" ht="72">
      <c r="B13" s="88">
        <v>12</v>
      </c>
      <c r="C13" s="89" t="s">
        <v>1213</v>
      </c>
      <c r="D13" s="90" t="s">
        <v>1197</v>
      </c>
      <c r="E13" s="90" t="s">
        <v>1157</v>
      </c>
      <c r="F13" s="90" t="s">
        <v>1157</v>
      </c>
    </row>
    <row r="14" spans="1:6">
      <c r="B14" s="88">
        <v>101</v>
      </c>
      <c r="D14" s="90" t="s">
        <v>66</v>
      </c>
      <c r="E14" s="90" t="s">
        <v>581</v>
      </c>
      <c r="F14" s="90" t="s">
        <v>581</v>
      </c>
    </row>
    <row r="15" spans="1:6">
      <c r="B15" s="88">
        <v>102</v>
      </c>
      <c r="D15" s="90" t="s">
        <v>67</v>
      </c>
      <c r="E15" s="90" t="s">
        <v>582</v>
      </c>
      <c r="F15" s="90" t="s">
        <v>582</v>
      </c>
    </row>
    <row r="16" spans="1:6">
      <c r="B16" s="88">
        <v>103</v>
      </c>
      <c r="D16" s="90" t="s">
        <v>68</v>
      </c>
      <c r="E16" s="90" t="s">
        <v>583</v>
      </c>
      <c r="F16" s="90" t="s">
        <v>583</v>
      </c>
    </row>
    <row r="17" spans="1:6">
      <c r="B17" s="88">
        <v>104</v>
      </c>
      <c r="D17" s="90" t="s">
        <v>69</v>
      </c>
      <c r="E17" s="90" t="s">
        <v>584</v>
      </c>
      <c r="F17" s="90" t="s">
        <v>584</v>
      </c>
    </row>
    <row r="18" spans="1:6">
      <c r="B18" s="88">
        <v>105</v>
      </c>
      <c r="D18" s="90" t="s">
        <v>70</v>
      </c>
      <c r="E18" s="90" t="s">
        <v>585</v>
      </c>
      <c r="F18" s="90" t="s">
        <v>585</v>
      </c>
    </row>
    <row r="19" spans="1:6" ht="24">
      <c r="B19" s="88">
        <v>106</v>
      </c>
      <c r="D19" s="90" t="s">
        <v>418</v>
      </c>
      <c r="E19" s="90" t="s">
        <v>586</v>
      </c>
      <c r="F19" s="90" t="s">
        <v>586</v>
      </c>
    </row>
    <row r="20" spans="1:6" ht="36">
      <c r="B20" s="88">
        <v>107</v>
      </c>
      <c r="D20" s="90" t="s">
        <v>419</v>
      </c>
      <c r="E20" s="90" t="s">
        <v>587</v>
      </c>
      <c r="F20" s="90" t="s">
        <v>587</v>
      </c>
    </row>
    <row r="21" spans="1:6" ht="36">
      <c r="B21" s="88">
        <v>108</v>
      </c>
      <c r="D21" s="90" t="s">
        <v>420</v>
      </c>
      <c r="E21" s="90" t="s">
        <v>588</v>
      </c>
      <c r="F21" s="90" t="s">
        <v>588</v>
      </c>
    </row>
    <row r="22" spans="1:6">
      <c r="B22" s="88">
        <v>109</v>
      </c>
      <c r="D22" s="90" t="s">
        <v>71</v>
      </c>
      <c r="E22" s="90" t="s">
        <v>589</v>
      </c>
      <c r="F22" s="90" t="s">
        <v>589</v>
      </c>
    </row>
    <row r="23" spans="1:6">
      <c r="B23" s="88">
        <v>110</v>
      </c>
      <c r="D23" s="90" t="s">
        <v>72</v>
      </c>
      <c r="E23" s="90" t="s">
        <v>590</v>
      </c>
      <c r="F23" s="90" t="s">
        <v>590</v>
      </c>
    </row>
    <row r="24" spans="1:6">
      <c r="B24" s="88">
        <v>111</v>
      </c>
      <c r="D24" s="90" t="s">
        <v>73</v>
      </c>
      <c r="E24" s="90" t="s">
        <v>591</v>
      </c>
      <c r="F24" s="90" t="s">
        <v>591</v>
      </c>
    </row>
    <row r="25" spans="1:6">
      <c r="A25" s="176"/>
      <c r="B25" s="88">
        <v>112</v>
      </c>
      <c r="C25" s="177" t="s">
        <v>489</v>
      </c>
      <c r="D25" s="175" t="s">
        <v>506</v>
      </c>
      <c r="E25" s="175" t="s">
        <v>565</v>
      </c>
      <c r="F25" s="175" t="s">
        <v>565</v>
      </c>
    </row>
    <row r="26" spans="1:6">
      <c r="B26" s="88">
        <v>113</v>
      </c>
      <c r="D26" s="90" t="s">
        <v>74</v>
      </c>
      <c r="E26" s="90" t="s">
        <v>565</v>
      </c>
      <c r="F26" s="90" t="s">
        <v>565</v>
      </c>
    </row>
    <row r="27" spans="1:6">
      <c r="B27" s="88">
        <v>114</v>
      </c>
      <c r="C27" s="89" t="s">
        <v>1127</v>
      </c>
      <c r="D27" s="90" t="s">
        <v>1163</v>
      </c>
      <c r="E27" s="90" t="s">
        <v>1136</v>
      </c>
      <c r="F27" s="90" t="s">
        <v>1136</v>
      </c>
    </row>
    <row r="28" spans="1:6">
      <c r="B28" s="88">
        <v>115</v>
      </c>
      <c r="D28" s="90" t="s">
        <v>1249</v>
      </c>
      <c r="E28" s="90" t="s">
        <v>1250</v>
      </c>
      <c r="F28" s="90" t="s">
        <v>1250</v>
      </c>
    </row>
    <row r="29" spans="1:6">
      <c r="B29" s="88">
        <v>116</v>
      </c>
      <c r="D29" s="90" t="s">
        <v>75</v>
      </c>
      <c r="E29" s="90" t="s">
        <v>592</v>
      </c>
      <c r="F29" s="90" t="s">
        <v>592</v>
      </c>
    </row>
    <row r="30" spans="1:6">
      <c r="B30" s="88">
        <v>117</v>
      </c>
      <c r="D30" s="90" t="s">
        <v>76</v>
      </c>
      <c r="E30" s="90" t="s">
        <v>593</v>
      </c>
      <c r="F30" s="90" t="s">
        <v>593</v>
      </c>
    </row>
    <row r="31" spans="1:6" ht="24">
      <c r="B31" s="88">
        <v>118</v>
      </c>
      <c r="D31" s="90" t="s">
        <v>421</v>
      </c>
      <c r="E31" s="90" t="s">
        <v>594</v>
      </c>
      <c r="F31" s="90" t="s">
        <v>594</v>
      </c>
    </row>
    <row r="32" spans="1:6">
      <c r="B32" s="88">
        <v>119</v>
      </c>
      <c r="D32" s="90" t="s">
        <v>1045</v>
      </c>
      <c r="E32" s="90" t="s">
        <v>1046</v>
      </c>
      <c r="F32" s="90" t="s">
        <v>1046</v>
      </c>
    </row>
    <row r="33" spans="2:6">
      <c r="B33" s="88">
        <v>120</v>
      </c>
      <c r="D33" s="90" t="s">
        <v>1018</v>
      </c>
      <c r="E33" s="90" t="s">
        <v>1019</v>
      </c>
      <c r="F33" s="90" t="s">
        <v>1019</v>
      </c>
    </row>
    <row r="34" spans="2:6" ht="24">
      <c r="B34" s="88">
        <v>121</v>
      </c>
      <c r="D34" s="90" t="s">
        <v>77</v>
      </c>
      <c r="E34" s="90" t="s">
        <v>595</v>
      </c>
      <c r="F34" s="90" t="s">
        <v>595</v>
      </c>
    </row>
    <row r="35" spans="2:6">
      <c r="B35" s="88">
        <v>122</v>
      </c>
      <c r="D35" s="90" t="s">
        <v>78</v>
      </c>
      <c r="E35" s="90" t="s">
        <v>596</v>
      </c>
      <c r="F35" s="90" t="s">
        <v>596</v>
      </c>
    </row>
    <row r="36" spans="2:6">
      <c r="B36" s="88">
        <v>123</v>
      </c>
      <c r="D36" s="90" t="s">
        <v>416</v>
      </c>
      <c r="E36" s="90" t="s">
        <v>549</v>
      </c>
      <c r="F36" s="90" t="s">
        <v>549</v>
      </c>
    </row>
    <row r="37" spans="2:6">
      <c r="B37" s="88">
        <v>124</v>
      </c>
      <c r="D37" s="90" t="s">
        <v>79</v>
      </c>
      <c r="E37" s="90" t="s">
        <v>597</v>
      </c>
      <c r="F37" s="90" t="s">
        <v>597</v>
      </c>
    </row>
    <row r="38" spans="2:6" ht="24">
      <c r="B38" s="88">
        <v>125</v>
      </c>
      <c r="D38" s="90" t="s">
        <v>1049</v>
      </c>
      <c r="E38" s="90" t="s">
        <v>1050</v>
      </c>
      <c r="F38" s="90" t="s">
        <v>1050</v>
      </c>
    </row>
    <row r="39" spans="2:6" ht="24">
      <c r="B39" s="88">
        <v>126</v>
      </c>
      <c r="D39" s="90" t="s">
        <v>1048</v>
      </c>
      <c r="E39" s="90" t="s">
        <v>1047</v>
      </c>
      <c r="F39" s="90" t="s">
        <v>1047</v>
      </c>
    </row>
    <row r="40" spans="2:6" ht="24">
      <c r="B40" s="88">
        <v>127</v>
      </c>
      <c r="D40" s="90" t="s">
        <v>80</v>
      </c>
      <c r="E40" s="90" t="s">
        <v>598</v>
      </c>
      <c r="F40" s="90" t="s">
        <v>598</v>
      </c>
    </row>
    <row r="41" spans="2:6" ht="24">
      <c r="B41" s="88">
        <v>128</v>
      </c>
      <c r="D41" s="90" t="s">
        <v>81</v>
      </c>
      <c r="E41" s="90" t="s">
        <v>599</v>
      </c>
      <c r="F41" s="90" t="s">
        <v>599</v>
      </c>
    </row>
    <row r="42" spans="2:6" ht="24">
      <c r="B42" s="88">
        <v>129</v>
      </c>
      <c r="D42" s="90" t="s">
        <v>417</v>
      </c>
      <c r="E42" s="90" t="s">
        <v>550</v>
      </c>
      <c r="F42" s="90" t="s">
        <v>550</v>
      </c>
    </row>
    <row r="43" spans="2:6">
      <c r="B43" s="88">
        <v>130</v>
      </c>
      <c r="D43" s="90" t="s">
        <v>82</v>
      </c>
      <c r="E43" s="90" t="s">
        <v>600</v>
      </c>
      <c r="F43" s="90" t="s">
        <v>600</v>
      </c>
    </row>
    <row r="44" spans="2:6">
      <c r="B44" s="88">
        <v>131</v>
      </c>
      <c r="D44" s="90" t="s">
        <v>422</v>
      </c>
      <c r="E44" s="90" t="s">
        <v>601</v>
      </c>
      <c r="F44" s="90" t="s">
        <v>601</v>
      </c>
    </row>
    <row r="45" spans="2:6">
      <c r="B45" s="88">
        <v>132</v>
      </c>
      <c r="D45" s="90" t="s">
        <v>83</v>
      </c>
      <c r="E45" s="90" t="s">
        <v>602</v>
      </c>
      <c r="F45" s="90" t="s">
        <v>602</v>
      </c>
    </row>
    <row r="46" spans="2:6">
      <c r="B46" s="88">
        <v>133</v>
      </c>
      <c r="D46" s="90" t="s">
        <v>1347</v>
      </c>
      <c r="E46" s="90" t="s">
        <v>603</v>
      </c>
      <c r="F46" s="90" t="s">
        <v>603</v>
      </c>
    </row>
    <row r="47" spans="2:6">
      <c r="B47" s="88">
        <v>134</v>
      </c>
      <c r="D47" s="90" t="s">
        <v>1346</v>
      </c>
      <c r="E47" s="90" t="s">
        <v>604</v>
      </c>
      <c r="F47" s="90" t="s">
        <v>604</v>
      </c>
    </row>
    <row r="48" spans="2:6">
      <c r="B48" s="88">
        <v>135</v>
      </c>
      <c r="D48" s="175" t="s">
        <v>1345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605</v>
      </c>
      <c r="F51" s="90" t="s">
        <v>605</v>
      </c>
    </row>
    <row r="52" spans="2:6">
      <c r="B52" s="88">
        <v>139</v>
      </c>
      <c r="C52" s="89" t="s">
        <v>507</v>
      </c>
      <c r="D52" s="90" t="s">
        <v>508</v>
      </c>
      <c r="E52" s="90" t="s">
        <v>509</v>
      </c>
      <c r="F52" s="90" t="s">
        <v>509</v>
      </c>
    </row>
    <row r="53" spans="2:6" ht="24">
      <c r="B53" s="88">
        <v>140</v>
      </c>
      <c r="D53" s="90" t="s">
        <v>86</v>
      </c>
      <c r="E53" s="90" t="s">
        <v>606</v>
      </c>
      <c r="F53" s="90" t="s">
        <v>606</v>
      </c>
    </row>
    <row r="54" spans="2:6" ht="24">
      <c r="B54" s="88">
        <v>141</v>
      </c>
      <c r="D54" s="90" t="s">
        <v>87</v>
      </c>
      <c r="E54" s="90" t="s">
        <v>607</v>
      </c>
      <c r="F54" s="90" t="s">
        <v>607</v>
      </c>
    </row>
    <row r="55" spans="2:6">
      <c r="B55" s="88">
        <v>142</v>
      </c>
      <c r="D55" s="90" t="s">
        <v>1008</v>
      </c>
      <c r="E55" s="90" t="s">
        <v>1009</v>
      </c>
      <c r="F55" s="90" t="s">
        <v>1009</v>
      </c>
    </row>
    <row r="56" spans="2:6">
      <c r="B56" s="88">
        <v>143</v>
      </c>
      <c r="C56" s="89" t="s">
        <v>573</v>
      </c>
      <c r="D56" s="87" t="s">
        <v>424</v>
      </c>
      <c r="E56" s="179" t="s">
        <v>562</v>
      </c>
      <c r="F56" s="179" t="s">
        <v>562</v>
      </c>
    </row>
    <row r="57" spans="2:6">
      <c r="B57" s="88">
        <v>144</v>
      </c>
      <c r="D57" s="90" t="s">
        <v>88</v>
      </c>
      <c r="E57" s="90" t="s">
        <v>608</v>
      </c>
      <c r="F57" s="90" t="s">
        <v>608</v>
      </c>
    </row>
    <row r="58" spans="2:6" ht="24">
      <c r="B58" s="88">
        <v>145</v>
      </c>
      <c r="D58" s="90" t="s">
        <v>89</v>
      </c>
      <c r="E58" s="90" t="s">
        <v>609</v>
      </c>
      <c r="F58" s="90" t="s">
        <v>609</v>
      </c>
    </row>
    <row r="59" spans="2:6">
      <c r="B59" s="88">
        <v>146</v>
      </c>
      <c r="D59" s="90" t="s">
        <v>90</v>
      </c>
      <c r="E59" s="90" t="s">
        <v>610</v>
      </c>
      <c r="F59" s="90" t="s">
        <v>610</v>
      </c>
    </row>
    <row r="60" spans="2:6" ht="24">
      <c r="B60" s="88">
        <v>147</v>
      </c>
      <c r="D60" s="90" t="s">
        <v>91</v>
      </c>
      <c r="E60" s="90" t="s">
        <v>611</v>
      </c>
      <c r="F60" s="90" t="s">
        <v>611</v>
      </c>
    </row>
    <row r="61" spans="2:6">
      <c r="B61" s="88">
        <v>148</v>
      </c>
      <c r="D61" s="90" t="s">
        <v>1010</v>
      </c>
      <c r="E61" s="90" t="s">
        <v>1011</v>
      </c>
      <c r="F61" s="90" t="s">
        <v>1011</v>
      </c>
    </row>
    <row r="62" spans="2:6">
      <c r="B62" s="88">
        <v>149</v>
      </c>
      <c r="D62" s="90" t="s">
        <v>1012</v>
      </c>
      <c r="E62" s="90" t="s">
        <v>1013</v>
      </c>
      <c r="F62" s="90" t="s">
        <v>1013</v>
      </c>
    </row>
    <row r="63" spans="2:6">
      <c r="B63" s="88">
        <v>150</v>
      </c>
      <c r="D63" s="90" t="s">
        <v>92</v>
      </c>
      <c r="E63" s="90" t="s">
        <v>612</v>
      </c>
      <c r="F63" s="90" t="s">
        <v>612</v>
      </c>
    </row>
    <row r="64" spans="2:6">
      <c r="B64" s="88">
        <v>151</v>
      </c>
      <c r="C64" s="89" t="s">
        <v>573</v>
      </c>
      <c r="D64" s="87" t="s">
        <v>425</v>
      </c>
      <c r="E64" s="179" t="s">
        <v>561</v>
      </c>
      <c r="F64" s="179" t="s">
        <v>561</v>
      </c>
    </row>
    <row r="65" spans="1:6">
      <c r="B65" s="88">
        <v>152</v>
      </c>
      <c r="D65" s="90" t="s">
        <v>93</v>
      </c>
      <c r="E65" s="90" t="s">
        <v>613</v>
      </c>
      <c r="F65" s="90" t="s">
        <v>613</v>
      </c>
    </row>
    <row r="66" spans="1:6">
      <c r="B66" s="88">
        <v>153</v>
      </c>
      <c r="D66" s="90" t="s">
        <v>94</v>
      </c>
      <c r="E66" s="90" t="s">
        <v>614</v>
      </c>
      <c r="F66" s="90" t="s">
        <v>614</v>
      </c>
    </row>
    <row r="67" spans="1:6">
      <c r="B67" s="88">
        <v>154</v>
      </c>
      <c r="D67" s="90" t="s">
        <v>95</v>
      </c>
      <c r="E67" s="90" t="s">
        <v>615</v>
      </c>
      <c r="F67" s="90" t="s">
        <v>615</v>
      </c>
    </row>
    <row r="68" spans="1:6" ht="24">
      <c r="B68" s="88">
        <v>155</v>
      </c>
      <c r="D68" s="90" t="s">
        <v>96</v>
      </c>
      <c r="E68" s="90" t="s">
        <v>616</v>
      </c>
      <c r="F68" s="90" t="s">
        <v>616</v>
      </c>
    </row>
    <row r="69" spans="1:6">
      <c r="B69" s="88">
        <v>156</v>
      </c>
      <c r="C69" s="89" t="s">
        <v>573</v>
      </c>
      <c r="D69" s="87" t="s">
        <v>571</v>
      </c>
      <c r="E69" s="179" t="s">
        <v>564</v>
      </c>
      <c r="F69" s="179" t="s">
        <v>564</v>
      </c>
    </row>
    <row r="70" spans="1:6">
      <c r="B70" s="88">
        <v>157</v>
      </c>
      <c r="C70" s="89" t="s">
        <v>573</v>
      </c>
      <c r="D70" s="87" t="s">
        <v>570</v>
      </c>
      <c r="E70" s="179" t="s">
        <v>563</v>
      </c>
      <c r="F70" s="179" t="s">
        <v>563</v>
      </c>
    </row>
    <row r="71" spans="1:6">
      <c r="B71" s="88">
        <v>158</v>
      </c>
      <c r="D71" s="90" t="s">
        <v>426</v>
      </c>
      <c r="E71" s="90" t="s">
        <v>617</v>
      </c>
      <c r="F71" s="90" t="s">
        <v>617</v>
      </c>
    </row>
    <row r="72" spans="1:6">
      <c r="A72" s="180"/>
      <c r="B72" s="88">
        <v>159</v>
      </c>
      <c r="C72" s="177" t="s">
        <v>489</v>
      </c>
      <c r="D72" s="175" t="s">
        <v>510</v>
      </c>
      <c r="E72" s="175" t="s">
        <v>618</v>
      </c>
      <c r="F72" s="175" t="s">
        <v>618</v>
      </c>
    </row>
    <row r="73" spans="1:6">
      <c r="B73" s="88">
        <v>160</v>
      </c>
      <c r="D73" s="90" t="s">
        <v>97</v>
      </c>
      <c r="E73" s="175" t="s">
        <v>619</v>
      </c>
      <c r="F73" s="175" t="s">
        <v>619</v>
      </c>
    </row>
    <row r="74" spans="1:6">
      <c r="B74" s="88">
        <v>161</v>
      </c>
      <c r="D74" s="90" t="s">
        <v>98</v>
      </c>
      <c r="E74" s="175" t="s">
        <v>620</v>
      </c>
      <c r="F74" s="175" t="s">
        <v>620</v>
      </c>
    </row>
    <row r="75" spans="1:6">
      <c r="B75" s="88">
        <v>162</v>
      </c>
      <c r="D75" s="90" t="s">
        <v>1038</v>
      </c>
      <c r="E75" s="90" t="s">
        <v>1033</v>
      </c>
      <c r="F75" s="90" t="s">
        <v>1033</v>
      </c>
    </row>
    <row r="76" spans="1:6">
      <c r="B76" s="88">
        <v>163</v>
      </c>
      <c r="D76" s="90" t="s">
        <v>1034</v>
      </c>
      <c r="E76" s="90" t="s">
        <v>1035</v>
      </c>
      <c r="F76" s="90" t="s">
        <v>1035</v>
      </c>
    </row>
    <row r="77" spans="1:6">
      <c r="B77" s="88">
        <v>164</v>
      </c>
      <c r="D77" s="90" t="s">
        <v>1031</v>
      </c>
      <c r="E77" s="90" t="s">
        <v>1032</v>
      </c>
      <c r="F77" s="90" t="s">
        <v>1032</v>
      </c>
    </row>
    <row r="78" spans="1:6">
      <c r="A78" s="180"/>
      <c r="B78" s="88">
        <v>165</v>
      </c>
      <c r="C78" s="177" t="s">
        <v>489</v>
      </c>
      <c r="D78" s="175" t="s">
        <v>511</v>
      </c>
      <c r="E78" s="175" t="s">
        <v>621</v>
      </c>
      <c r="F78" s="175" t="s">
        <v>621</v>
      </c>
    </row>
    <row r="79" spans="1:6">
      <c r="A79" s="180"/>
      <c r="B79" s="88">
        <v>166</v>
      </c>
      <c r="C79" s="177" t="s">
        <v>489</v>
      </c>
      <c r="D79" s="175" t="s">
        <v>512</v>
      </c>
      <c r="E79" s="175" t="s">
        <v>622</v>
      </c>
      <c r="F79" s="175" t="s">
        <v>622</v>
      </c>
    </row>
    <row r="80" spans="1:6">
      <c r="A80" s="180"/>
      <c r="B80" s="88">
        <v>167</v>
      </c>
      <c r="C80" s="177" t="s">
        <v>489</v>
      </c>
      <c r="D80" s="175" t="s">
        <v>513</v>
      </c>
      <c r="E80" s="175" t="s">
        <v>623</v>
      </c>
      <c r="F80" s="175" t="s">
        <v>623</v>
      </c>
    </row>
    <row r="81" spans="1:6">
      <c r="A81" s="180"/>
      <c r="B81" s="88">
        <v>168</v>
      </c>
      <c r="C81" s="177" t="s">
        <v>489</v>
      </c>
      <c r="D81" s="175" t="s">
        <v>497</v>
      </c>
      <c r="E81" s="175" t="s">
        <v>624</v>
      </c>
      <c r="F81" s="175" t="s">
        <v>624</v>
      </c>
    </row>
    <row r="82" spans="1:6">
      <c r="B82" s="88">
        <v>169</v>
      </c>
      <c r="D82" s="90" t="s">
        <v>99</v>
      </c>
      <c r="E82" s="90" t="s">
        <v>625</v>
      </c>
      <c r="F82" s="90" t="s">
        <v>625</v>
      </c>
    </row>
    <row r="83" spans="1:6">
      <c r="B83" s="88">
        <v>170</v>
      </c>
      <c r="D83" s="90" t="s">
        <v>100</v>
      </c>
      <c r="E83" s="90" t="s">
        <v>626</v>
      </c>
      <c r="F83" s="90" t="s">
        <v>626</v>
      </c>
    </row>
    <row r="84" spans="1:6">
      <c r="B84" s="88">
        <v>171</v>
      </c>
      <c r="D84" s="90" t="s">
        <v>514</v>
      </c>
      <c r="E84" s="90" t="s">
        <v>627</v>
      </c>
      <c r="F84" s="90" t="s">
        <v>627</v>
      </c>
    </row>
    <row r="85" spans="1:6">
      <c r="B85" s="88">
        <v>172</v>
      </c>
      <c r="D85" s="90" t="s">
        <v>101</v>
      </c>
      <c r="E85" s="90" t="s">
        <v>628</v>
      </c>
      <c r="F85" s="90" t="s">
        <v>628</v>
      </c>
    </row>
    <row r="86" spans="1:6">
      <c r="B86" s="88">
        <v>173</v>
      </c>
      <c r="D86" s="90" t="s">
        <v>102</v>
      </c>
      <c r="E86" s="90" t="s">
        <v>629</v>
      </c>
      <c r="F86" s="90" t="s">
        <v>629</v>
      </c>
    </row>
    <row r="87" spans="1:6">
      <c r="B87" s="88">
        <v>174</v>
      </c>
      <c r="D87" s="90" t="s">
        <v>103</v>
      </c>
      <c r="E87" s="90" t="s">
        <v>1116</v>
      </c>
      <c r="F87" s="90" t="s">
        <v>1116</v>
      </c>
    </row>
    <row r="88" spans="1:6">
      <c r="B88" s="88">
        <v>175</v>
      </c>
      <c r="D88" s="90" t="s">
        <v>104</v>
      </c>
      <c r="E88" s="90" t="s">
        <v>630</v>
      </c>
      <c r="F88" s="90" t="s">
        <v>630</v>
      </c>
    </row>
    <row r="89" spans="1:6" ht="24">
      <c r="B89" s="88">
        <v>176</v>
      </c>
      <c r="D89" s="90" t="s">
        <v>105</v>
      </c>
      <c r="E89" s="90" t="s">
        <v>555</v>
      </c>
      <c r="F89" s="90" t="s">
        <v>555</v>
      </c>
    </row>
    <row r="90" spans="1:6">
      <c r="B90" s="88">
        <v>177</v>
      </c>
      <c r="D90" s="90" t="s">
        <v>106</v>
      </c>
      <c r="E90" s="90" t="s">
        <v>631</v>
      </c>
      <c r="F90" s="90" t="s">
        <v>631</v>
      </c>
    </row>
    <row r="91" spans="1:6">
      <c r="B91" s="88">
        <v>178</v>
      </c>
      <c r="D91" s="90" t="s">
        <v>107</v>
      </c>
      <c r="E91" s="90" t="s">
        <v>632</v>
      </c>
      <c r="F91" s="90" t="s">
        <v>632</v>
      </c>
    </row>
    <row r="92" spans="1:6">
      <c r="B92" s="88">
        <v>179</v>
      </c>
      <c r="D92" s="90" t="s">
        <v>108</v>
      </c>
      <c r="E92" s="90" t="s">
        <v>633</v>
      </c>
      <c r="F92" s="90" t="s">
        <v>633</v>
      </c>
    </row>
    <row r="93" spans="1:6">
      <c r="B93" s="88">
        <v>180</v>
      </c>
      <c r="D93" s="90" t="s">
        <v>427</v>
      </c>
      <c r="E93" s="90" t="s">
        <v>634</v>
      </c>
      <c r="F93" s="90" t="s">
        <v>634</v>
      </c>
    </row>
    <row r="94" spans="1:6">
      <c r="B94" s="88">
        <v>181</v>
      </c>
      <c r="C94" s="89" t="s">
        <v>1127</v>
      </c>
      <c r="D94" s="90" t="s">
        <v>1179</v>
      </c>
      <c r="E94" s="90" t="s">
        <v>1143</v>
      </c>
      <c r="F94" s="90" t="s">
        <v>1143</v>
      </c>
    </row>
    <row r="95" spans="1:6" ht="36">
      <c r="B95" s="88">
        <v>182</v>
      </c>
      <c r="C95" s="89" t="s">
        <v>1127</v>
      </c>
      <c r="D95" s="90" t="s">
        <v>1212</v>
      </c>
      <c r="E95" s="90" t="s">
        <v>1152</v>
      </c>
      <c r="F95" s="90" t="s">
        <v>1152</v>
      </c>
    </row>
    <row r="96" spans="1:6">
      <c r="B96" s="88">
        <v>183</v>
      </c>
      <c r="D96" s="90" t="s">
        <v>109</v>
      </c>
      <c r="E96" s="90" t="s">
        <v>635</v>
      </c>
      <c r="F96" s="90" t="s">
        <v>635</v>
      </c>
    </row>
    <row r="97" spans="2:6">
      <c r="B97" s="88">
        <v>184</v>
      </c>
      <c r="D97" s="90" t="s">
        <v>1325</v>
      </c>
      <c r="E97" s="90" t="s">
        <v>1336</v>
      </c>
      <c r="F97" s="90" t="s">
        <v>1336</v>
      </c>
    </row>
    <row r="98" spans="2:6">
      <c r="B98" s="88">
        <v>185</v>
      </c>
      <c r="D98" s="90" t="s">
        <v>110</v>
      </c>
      <c r="E98" s="90" t="s">
        <v>636</v>
      </c>
      <c r="F98" s="90" t="s">
        <v>636</v>
      </c>
    </row>
    <row r="99" spans="2:6" ht="24">
      <c r="B99" s="88">
        <v>186</v>
      </c>
      <c r="D99" s="90" t="s">
        <v>111</v>
      </c>
      <c r="E99" s="90" t="s">
        <v>637</v>
      </c>
      <c r="F99" s="90" t="s">
        <v>637</v>
      </c>
    </row>
    <row r="100" spans="2:6" ht="24">
      <c r="B100" s="88">
        <v>187</v>
      </c>
      <c r="D100" s="90" t="s">
        <v>112</v>
      </c>
      <c r="E100" s="90" t="s">
        <v>638</v>
      </c>
      <c r="F100" s="90" t="s">
        <v>638</v>
      </c>
    </row>
    <row r="101" spans="2:6" ht="24">
      <c r="B101" s="88">
        <v>188</v>
      </c>
      <c r="D101" s="90" t="s">
        <v>113</v>
      </c>
      <c r="E101" s="90" t="s">
        <v>639</v>
      </c>
      <c r="F101" s="90" t="s">
        <v>639</v>
      </c>
    </row>
    <row r="102" spans="2:6">
      <c r="B102" s="88">
        <v>189</v>
      </c>
      <c r="D102" s="90" t="s">
        <v>114</v>
      </c>
      <c r="E102" s="90" t="s">
        <v>640</v>
      </c>
      <c r="F102" s="90" t="s">
        <v>640</v>
      </c>
    </row>
    <row r="103" spans="2:6">
      <c r="B103" s="88">
        <v>190</v>
      </c>
      <c r="C103" s="89" t="s">
        <v>1127</v>
      </c>
      <c r="D103" s="90" t="s">
        <v>1177</v>
      </c>
      <c r="E103" s="90" t="s">
        <v>1142</v>
      </c>
      <c r="F103" s="90" t="s">
        <v>1142</v>
      </c>
    </row>
    <row r="104" spans="2:6">
      <c r="B104" s="88">
        <v>191</v>
      </c>
      <c r="D104" s="90" t="s">
        <v>1219</v>
      </c>
      <c r="E104" s="90" t="s">
        <v>1220</v>
      </c>
      <c r="F104" s="90" t="s">
        <v>1220</v>
      </c>
    </row>
    <row r="105" spans="2:6">
      <c r="B105" s="88">
        <v>192</v>
      </c>
      <c r="D105" s="90" t="s">
        <v>542</v>
      </c>
      <c r="E105" s="90" t="s">
        <v>544</v>
      </c>
      <c r="F105" s="90" t="s">
        <v>544</v>
      </c>
    </row>
    <row r="106" spans="2:6">
      <c r="B106" s="88">
        <v>193</v>
      </c>
      <c r="D106" s="90" t="s">
        <v>543</v>
      </c>
      <c r="E106" s="90" t="s">
        <v>944</v>
      </c>
      <c r="F106" s="90" t="s">
        <v>944</v>
      </c>
    </row>
    <row r="107" spans="2:6">
      <c r="B107" s="88">
        <v>194</v>
      </c>
      <c r="D107" s="90" t="s">
        <v>115</v>
      </c>
      <c r="E107" s="90" t="s">
        <v>641</v>
      </c>
      <c r="F107" s="90" t="s">
        <v>641</v>
      </c>
    </row>
    <row r="108" spans="2:6">
      <c r="B108" s="88">
        <v>195</v>
      </c>
      <c r="D108" s="90" t="s">
        <v>116</v>
      </c>
      <c r="E108" s="90" t="s">
        <v>642</v>
      </c>
      <c r="F108" s="90" t="s">
        <v>642</v>
      </c>
    </row>
    <row r="109" spans="2:6">
      <c r="B109" s="88">
        <v>196</v>
      </c>
      <c r="D109" s="90" t="s">
        <v>428</v>
      </c>
      <c r="E109" s="90" t="s">
        <v>643</v>
      </c>
      <c r="F109" s="90" t="s">
        <v>643</v>
      </c>
    </row>
    <row r="110" spans="2:6" ht="24">
      <c r="B110" s="88">
        <v>197</v>
      </c>
      <c r="D110" s="90" t="s">
        <v>429</v>
      </c>
      <c r="E110" s="90" t="s">
        <v>644</v>
      </c>
      <c r="F110" s="90" t="s">
        <v>644</v>
      </c>
    </row>
    <row r="111" spans="2:6" ht="24">
      <c r="B111" s="88">
        <v>198</v>
      </c>
      <c r="D111" s="90" t="s">
        <v>117</v>
      </c>
      <c r="E111" s="90" t="s">
        <v>645</v>
      </c>
      <c r="F111" s="90" t="s">
        <v>645</v>
      </c>
    </row>
    <row r="112" spans="2:6">
      <c r="B112" s="88">
        <v>199</v>
      </c>
      <c r="D112" s="90" t="s">
        <v>1327</v>
      </c>
      <c r="E112" s="90" t="s">
        <v>1337</v>
      </c>
      <c r="F112" s="90" t="s">
        <v>1337</v>
      </c>
    </row>
    <row r="113" spans="2:6">
      <c r="B113" s="88">
        <v>200</v>
      </c>
      <c r="D113" s="90" t="s">
        <v>118</v>
      </c>
      <c r="E113" s="90" t="s">
        <v>119</v>
      </c>
      <c r="F113" s="90" t="s">
        <v>119</v>
      </c>
    </row>
    <row r="114" spans="2:6">
      <c r="B114" s="88">
        <v>201</v>
      </c>
      <c r="D114" s="90" t="s">
        <v>1298</v>
      </c>
      <c r="E114" s="90" t="s">
        <v>1299</v>
      </c>
      <c r="F114" s="90" t="s">
        <v>1299</v>
      </c>
    </row>
    <row r="115" spans="2:6">
      <c r="B115" s="88">
        <v>202</v>
      </c>
      <c r="D115" s="90" t="s">
        <v>430</v>
      </c>
      <c r="E115" s="90" t="s">
        <v>646</v>
      </c>
      <c r="F115" s="90" t="s">
        <v>646</v>
      </c>
    </row>
    <row r="116" spans="2:6">
      <c r="B116" s="88">
        <v>203</v>
      </c>
      <c r="D116" s="90" t="s">
        <v>431</v>
      </c>
      <c r="E116" s="90" t="s">
        <v>647</v>
      </c>
      <c r="F116" s="90" t="s">
        <v>647</v>
      </c>
    </row>
    <row r="117" spans="2:6">
      <c r="B117" s="88">
        <v>204</v>
      </c>
      <c r="D117" s="90" t="s">
        <v>432</v>
      </c>
      <c r="E117" s="90" t="s">
        <v>522</v>
      </c>
      <c r="F117" s="90" t="s">
        <v>522</v>
      </c>
    </row>
    <row r="118" spans="2:6">
      <c r="B118" s="88">
        <v>205</v>
      </c>
      <c r="D118" s="90" t="s">
        <v>1253</v>
      </c>
      <c r="E118" s="90" t="s">
        <v>1252</v>
      </c>
      <c r="F118" s="90" t="s">
        <v>1252</v>
      </c>
    </row>
    <row r="119" spans="2:6">
      <c r="B119" s="88">
        <v>206</v>
      </c>
      <c r="D119" s="90" t="s">
        <v>1233</v>
      </c>
      <c r="E119" s="90" t="s">
        <v>1234</v>
      </c>
      <c r="F119" s="90" t="s">
        <v>1234</v>
      </c>
    </row>
    <row r="120" spans="2:6">
      <c r="B120" s="88">
        <v>207</v>
      </c>
      <c r="D120" s="90" t="s">
        <v>120</v>
      </c>
      <c r="E120" s="90" t="s">
        <v>648</v>
      </c>
      <c r="F120" s="90" t="s">
        <v>648</v>
      </c>
    </row>
    <row r="121" spans="2:6" ht="24">
      <c r="B121" s="88">
        <v>208</v>
      </c>
      <c r="D121" s="90" t="s">
        <v>121</v>
      </c>
      <c r="E121" s="90" t="s">
        <v>649</v>
      </c>
      <c r="F121" s="90" t="s">
        <v>649</v>
      </c>
    </row>
    <row r="122" spans="2:6" ht="24">
      <c r="B122" s="88">
        <v>209</v>
      </c>
      <c r="D122" s="90" t="s">
        <v>122</v>
      </c>
      <c r="E122" s="90" t="s">
        <v>650</v>
      </c>
      <c r="F122" s="90" t="s">
        <v>650</v>
      </c>
    </row>
    <row r="123" spans="2:6">
      <c r="B123" s="88">
        <v>210</v>
      </c>
      <c r="D123" s="90" t="s">
        <v>546</v>
      </c>
      <c r="E123" s="90" t="s">
        <v>943</v>
      </c>
      <c r="F123" s="90" t="s">
        <v>943</v>
      </c>
    </row>
    <row r="124" spans="2:6">
      <c r="B124" s="88">
        <v>211</v>
      </c>
      <c r="D124" s="90" t="s">
        <v>123</v>
      </c>
      <c r="E124" s="90" t="s">
        <v>123</v>
      </c>
      <c r="F124" s="90" t="s">
        <v>123</v>
      </c>
    </row>
    <row r="125" spans="2:6">
      <c r="B125" s="88">
        <v>212</v>
      </c>
      <c r="D125" s="90" t="s">
        <v>124</v>
      </c>
      <c r="E125" s="90" t="s">
        <v>651</v>
      </c>
      <c r="F125" s="90" t="s">
        <v>651</v>
      </c>
    </row>
    <row r="126" spans="2:6">
      <c r="B126" s="88">
        <v>213</v>
      </c>
      <c r="D126" s="90" t="s">
        <v>125</v>
      </c>
      <c r="E126" s="90" t="s">
        <v>552</v>
      </c>
      <c r="F126" s="90" t="s">
        <v>552</v>
      </c>
    </row>
    <row r="127" spans="2:6">
      <c r="B127" s="88">
        <v>214</v>
      </c>
      <c r="D127" s="90" t="s">
        <v>126</v>
      </c>
      <c r="E127" s="90" t="s">
        <v>995</v>
      </c>
      <c r="F127" s="90" t="s">
        <v>995</v>
      </c>
    </row>
    <row r="128" spans="2:6">
      <c r="B128" s="88">
        <v>215</v>
      </c>
      <c r="D128" s="90" t="s">
        <v>433</v>
      </c>
      <c r="E128" s="90" t="s">
        <v>652</v>
      </c>
      <c r="F128" s="90" t="s">
        <v>652</v>
      </c>
    </row>
    <row r="129" spans="2:6">
      <c r="B129" s="88">
        <v>216</v>
      </c>
      <c r="D129" s="90" t="s">
        <v>127</v>
      </c>
      <c r="E129" s="90" t="s">
        <v>653</v>
      </c>
      <c r="F129" s="90" t="s">
        <v>653</v>
      </c>
    </row>
    <row r="130" spans="2:6">
      <c r="B130" s="88">
        <v>217</v>
      </c>
      <c r="D130" s="90" t="s">
        <v>434</v>
      </c>
      <c r="E130" s="90" t="s">
        <v>654</v>
      </c>
      <c r="F130" s="90" t="s">
        <v>654</v>
      </c>
    </row>
    <row r="131" spans="2:6">
      <c r="B131" s="88">
        <v>218</v>
      </c>
      <c r="D131" s="90" t="s">
        <v>128</v>
      </c>
      <c r="E131" s="90" t="s">
        <v>655</v>
      </c>
      <c r="F131" s="90" t="s">
        <v>655</v>
      </c>
    </row>
    <row r="132" spans="2:6">
      <c r="B132" s="88">
        <v>219</v>
      </c>
      <c r="D132" s="90" t="s">
        <v>129</v>
      </c>
      <c r="E132" s="90" t="s">
        <v>656</v>
      </c>
      <c r="F132" s="90" t="s">
        <v>656</v>
      </c>
    </row>
    <row r="133" spans="2:6">
      <c r="B133" s="88">
        <v>220</v>
      </c>
      <c r="D133" s="90" t="s">
        <v>130</v>
      </c>
      <c r="E133" s="90" t="s">
        <v>657</v>
      </c>
      <c r="F133" s="90" t="s">
        <v>657</v>
      </c>
    </row>
    <row r="134" spans="2:6">
      <c r="B134" s="88">
        <v>221</v>
      </c>
      <c r="D134" s="90" t="s">
        <v>435</v>
      </c>
      <c r="E134" s="90" t="s">
        <v>658</v>
      </c>
      <c r="F134" s="90" t="s">
        <v>658</v>
      </c>
    </row>
    <row r="135" spans="2:6">
      <c r="B135" s="88">
        <v>222</v>
      </c>
      <c r="D135" s="90" t="s">
        <v>131</v>
      </c>
      <c r="E135" s="90" t="s">
        <v>659</v>
      </c>
      <c r="F135" s="90" t="s">
        <v>659</v>
      </c>
    </row>
    <row r="136" spans="2:6">
      <c r="B136" s="88">
        <v>223</v>
      </c>
      <c r="D136" s="90" t="s">
        <v>132</v>
      </c>
      <c r="E136" s="90" t="s">
        <v>660</v>
      </c>
      <c r="F136" s="90" t="s">
        <v>660</v>
      </c>
    </row>
    <row r="137" spans="2:6">
      <c r="B137" s="88">
        <v>224</v>
      </c>
      <c r="C137" s="89" t="s">
        <v>573</v>
      </c>
      <c r="D137" s="90" t="s">
        <v>968</v>
      </c>
      <c r="E137" s="90" t="s">
        <v>969</v>
      </c>
      <c r="F137" s="90" t="s">
        <v>969</v>
      </c>
    </row>
    <row r="138" spans="2:6">
      <c r="B138" s="88">
        <v>225</v>
      </c>
      <c r="D138" s="90" t="s">
        <v>133</v>
      </c>
      <c r="E138" s="90" t="s">
        <v>661</v>
      </c>
      <c r="F138" s="90" t="s">
        <v>661</v>
      </c>
    </row>
    <row r="139" spans="2:6">
      <c r="B139" s="88">
        <v>226</v>
      </c>
      <c r="D139" s="90" t="s">
        <v>1214</v>
      </c>
      <c r="E139" s="90" t="s">
        <v>1215</v>
      </c>
      <c r="F139" s="90" t="s">
        <v>1215</v>
      </c>
    </row>
    <row r="140" spans="2:6">
      <c r="B140" s="88">
        <v>227</v>
      </c>
      <c r="D140" s="90" t="s">
        <v>436</v>
      </c>
      <c r="E140" s="90" t="s">
        <v>662</v>
      </c>
      <c r="F140" s="90" t="s">
        <v>662</v>
      </c>
    </row>
    <row r="141" spans="2:6">
      <c r="B141" s="88">
        <v>228</v>
      </c>
      <c r="D141" s="90" t="s">
        <v>437</v>
      </c>
      <c r="E141" s="90" t="s">
        <v>663</v>
      </c>
      <c r="F141" s="90" t="s">
        <v>663</v>
      </c>
    </row>
    <row r="142" spans="2:6">
      <c r="B142" s="88">
        <v>229</v>
      </c>
      <c r="D142" s="90" t="s">
        <v>1079</v>
      </c>
      <c r="E142" s="90" t="s">
        <v>1080</v>
      </c>
      <c r="F142" s="90" t="s">
        <v>1080</v>
      </c>
    </row>
    <row r="143" spans="2:6">
      <c r="B143" s="88">
        <v>230</v>
      </c>
      <c r="D143" s="90" t="s">
        <v>1077</v>
      </c>
      <c r="E143" s="90" t="s">
        <v>1078</v>
      </c>
      <c r="F143" s="90" t="s">
        <v>1078</v>
      </c>
    </row>
    <row r="144" spans="2:6">
      <c r="B144" s="88">
        <v>231</v>
      </c>
      <c r="D144" s="90" t="s">
        <v>438</v>
      </c>
      <c r="E144" s="90" t="s">
        <v>664</v>
      </c>
      <c r="F144" s="90" t="s">
        <v>664</v>
      </c>
    </row>
    <row r="145" spans="2:6">
      <c r="B145" s="88">
        <v>232</v>
      </c>
      <c r="D145" s="90" t="s">
        <v>1243</v>
      </c>
      <c r="E145" s="90" t="s">
        <v>1244</v>
      </c>
      <c r="F145" s="90" t="s">
        <v>1244</v>
      </c>
    </row>
    <row r="146" spans="2:6">
      <c r="B146" s="88">
        <v>233</v>
      </c>
      <c r="D146" s="90" t="s">
        <v>439</v>
      </c>
      <c r="E146" s="90" t="s">
        <v>665</v>
      </c>
      <c r="F146" s="90" t="s">
        <v>665</v>
      </c>
    </row>
    <row r="147" spans="2:6">
      <c r="B147" s="88">
        <v>234</v>
      </c>
      <c r="D147" s="90" t="s">
        <v>440</v>
      </c>
      <c r="E147" s="90" t="s">
        <v>666</v>
      </c>
      <c r="F147" s="90" t="s">
        <v>666</v>
      </c>
    </row>
    <row r="148" spans="2:6">
      <c r="B148" s="88">
        <v>235</v>
      </c>
      <c r="D148" s="90" t="s">
        <v>134</v>
      </c>
      <c r="E148" s="90" t="s">
        <v>551</v>
      </c>
      <c r="F148" s="90" t="s">
        <v>551</v>
      </c>
    </row>
    <row r="149" spans="2:6">
      <c r="B149" s="88">
        <v>236</v>
      </c>
      <c r="D149" s="90" t="s">
        <v>441</v>
      </c>
      <c r="E149" s="90" t="s">
        <v>667</v>
      </c>
      <c r="F149" s="90" t="s">
        <v>667</v>
      </c>
    </row>
    <row r="150" spans="2:6">
      <c r="B150" s="88">
        <v>237</v>
      </c>
      <c r="D150" s="90" t="s">
        <v>1240</v>
      </c>
      <c r="E150" s="90" t="s">
        <v>1247</v>
      </c>
      <c r="F150" s="90" t="s">
        <v>1247</v>
      </c>
    </row>
    <row r="151" spans="2:6">
      <c r="B151" s="88">
        <v>238</v>
      </c>
      <c r="D151" s="90" t="s">
        <v>135</v>
      </c>
      <c r="E151" s="90" t="s">
        <v>531</v>
      </c>
      <c r="F151" s="90" t="s">
        <v>531</v>
      </c>
    </row>
    <row r="152" spans="2:6">
      <c r="B152" s="88">
        <v>239</v>
      </c>
      <c r="D152" s="90" t="s">
        <v>136</v>
      </c>
      <c r="E152" s="90" t="s">
        <v>668</v>
      </c>
      <c r="F152" s="90" t="s">
        <v>668</v>
      </c>
    </row>
    <row r="153" spans="2:6">
      <c r="B153" s="88">
        <v>240</v>
      </c>
      <c r="D153" s="90" t="s">
        <v>137</v>
      </c>
      <c r="E153" s="90" t="s">
        <v>669</v>
      </c>
      <c r="F153" s="90" t="s">
        <v>669</v>
      </c>
    </row>
    <row r="154" spans="2:6">
      <c r="B154" s="88">
        <v>241</v>
      </c>
      <c r="D154" s="90" t="s">
        <v>442</v>
      </c>
      <c r="E154" s="90" t="s">
        <v>670</v>
      </c>
      <c r="F154" s="90" t="s">
        <v>670</v>
      </c>
    </row>
    <row r="155" spans="2:6">
      <c r="B155" s="88">
        <v>242</v>
      </c>
      <c r="D155" s="90" t="s">
        <v>443</v>
      </c>
      <c r="E155" s="90" t="s">
        <v>671</v>
      </c>
      <c r="F155" s="90" t="s">
        <v>671</v>
      </c>
    </row>
    <row r="156" spans="2:6">
      <c r="B156" s="88">
        <v>243</v>
      </c>
      <c r="D156" s="90" t="s">
        <v>1216</v>
      </c>
      <c r="E156" s="90" t="s">
        <v>540</v>
      </c>
      <c r="F156" s="90" t="s">
        <v>540</v>
      </c>
    </row>
    <row r="157" spans="2:6">
      <c r="B157" s="88">
        <v>244</v>
      </c>
      <c r="D157" s="90" t="s">
        <v>1375</v>
      </c>
      <c r="E157" s="90" t="s">
        <v>672</v>
      </c>
      <c r="F157" s="90" t="s">
        <v>672</v>
      </c>
    </row>
    <row r="158" spans="2:6">
      <c r="B158" s="88">
        <v>245</v>
      </c>
      <c r="D158" s="90" t="s">
        <v>1376</v>
      </c>
      <c r="E158" s="90" t="s">
        <v>673</v>
      </c>
      <c r="F158" s="90" t="s">
        <v>673</v>
      </c>
    </row>
    <row r="159" spans="2:6">
      <c r="B159" s="88">
        <v>246</v>
      </c>
      <c r="D159" s="90" t="s">
        <v>444</v>
      </c>
      <c r="E159" s="90" t="s">
        <v>674</v>
      </c>
      <c r="F159" s="90" t="s">
        <v>674</v>
      </c>
    </row>
    <row r="160" spans="2:6">
      <c r="B160" s="88">
        <v>247</v>
      </c>
      <c r="D160" s="90" t="s">
        <v>1218</v>
      </c>
      <c r="E160" s="90" t="s">
        <v>1264</v>
      </c>
      <c r="F160" s="90" t="s">
        <v>1264</v>
      </c>
    </row>
    <row r="161" spans="2:6">
      <c r="B161" s="88">
        <v>248</v>
      </c>
      <c r="D161" s="90" t="s">
        <v>445</v>
      </c>
      <c r="E161" s="90" t="s">
        <v>675</v>
      </c>
      <c r="F161" s="90" t="s">
        <v>675</v>
      </c>
    </row>
    <row r="162" spans="2:6">
      <c r="B162" s="88">
        <v>249</v>
      </c>
      <c r="D162" s="90" t="s">
        <v>446</v>
      </c>
      <c r="E162" s="90" t="s">
        <v>676</v>
      </c>
      <c r="F162" s="90" t="s">
        <v>676</v>
      </c>
    </row>
    <row r="163" spans="2:6">
      <c r="B163" s="88">
        <v>250</v>
      </c>
      <c r="D163" s="90" t="s">
        <v>138</v>
      </c>
      <c r="E163" s="90" t="s">
        <v>677</v>
      </c>
      <c r="F163" s="90" t="s">
        <v>677</v>
      </c>
    </row>
    <row r="164" spans="2:6">
      <c r="B164" s="88">
        <v>251</v>
      </c>
      <c r="D164" s="90" t="s">
        <v>139</v>
      </c>
      <c r="E164" s="90" t="s">
        <v>678</v>
      </c>
      <c r="F164" s="90" t="s">
        <v>678</v>
      </c>
    </row>
    <row r="165" spans="2:6">
      <c r="B165" s="88">
        <v>252</v>
      </c>
      <c r="D165" s="90" t="s">
        <v>1217</v>
      </c>
      <c r="E165" s="90" t="s">
        <v>1263</v>
      </c>
      <c r="F165" s="90" t="s">
        <v>1263</v>
      </c>
    </row>
    <row r="166" spans="2:6">
      <c r="B166" s="88">
        <v>253</v>
      </c>
      <c r="D166" s="90" t="s">
        <v>1395</v>
      </c>
      <c r="E166" s="90" t="s">
        <v>1342</v>
      </c>
      <c r="F166" s="90" t="s">
        <v>1342</v>
      </c>
    </row>
    <row r="167" spans="2:6">
      <c r="B167" s="88">
        <v>254</v>
      </c>
      <c r="D167" s="90" t="s">
        <v>140</v>
      </c>
      <c r="E167" s="90" t="s">
        <v>679</v>
      </c>
      <c r="F167" s="90" t="s">
        <v>679</v>
      </c>
    </row>
    <row r="168" spans="2:6">
      <c r="B168" s="88">
        <v>255</v>
      </c>
      <c r="C168" s="89" t="s">
        <v>573</v>
      </c>
      <c r="D168" s="90" t="s">
        <v>957</v>
      </c>
      <c r="E168" s="90" t="s">
        <v>959</v>
      </c>
      <c r="F168" s="90" t="s">
        <v>959</v>
      </c>
    </row>
    <row r="169" spans="2:6">
      <c r="B169" s="88">
        <v>256</v>
      </c>
      <c r="D169" s="90" t="s">
        <v>141</v>
      </c>
      <c r="E169" s="90" t="s">
        <v>680</v>
      </c>
      <c r="F169" s="90" t="s">
        <v>680</v>
      </c>
    </row>
    <row r="170" spans="2:6">
      <c r="B170" s="88">
        <v>257</v>
      </c>
      <c r="D170" s="90" t="s">
        <v>447</v>
      </c>
      <c r="E170" s="90" t="s">
        <v>681</v>
      </c>
      <c r="F170" s="90" t="s">
        <v>681</v>
      </c>
    </row>
    <row r="171" spans="2:6">
      <c r="B171" s="88">
        <v>258</v>
      </c>
      <c r="D171" s="90" t="s">
        <v>448</v>
      </c>
      <c r="E171" s="90" t="s">
        <v>682</v>
      </c>
      <c r="F171" s="90" t="s">
        <v>682</v>
      </c>
    </row>
    <row r="172" spans="2:6">
      <c r="B172" s="88">
        <v>259</v>
      </c>
      <c r="D172" s="90" t="s">
        <v>449</v>
      </c>
      <c r="E172" s="90" t="s">
        <v>683</v>
      </c>
      <c r="F172" s="90" t="s">
        <v>683</v>
      </c>
    </row>
    <row r="173" spans="2:6">
      <c r="B173" s="88">
        <v>260</v>
      </c>
      <c r="D173" s="90" t="s">
        <v>1052</v>
      </c>
      <c r="E173" s="90" t="s">
        <v>1030</v>
      </c>
      <c r="F173" s="90" t="s">
        <v>1030</v>
      </c>
    </row>
    <row r="174" spans="2:6">
      <c r="B174" s="88">
        <v>261</v>
      </c>
      <c r="D174" s="90" t="s">
        <v>1054</v>
      </c>
      <c r="E174" s="90" t="s">
        <v>1056</v>
      </c>
      <c r="F174" s="90" t="s">
        <v>1056</v>
      </c>
    </row>
    <row r="175" spans="2:6" ht="24">
      <c r="B175" s="88">
        <v>262</v>
      </c>
      <c r="D175" s="90" t="s">
        <v>1055</v>
      </c>
      <c r="E175" s="90" t="s">
        <v>1057</v>
      </c>
      <c r="F175" s="90" t="s">
        <v>1057</v>
      </c>
    </row>
    <row r="176" spans="2:6" ht="24">
      <c r="B176" s="88">
        <v>263</v>
      </c>
      <c r="D176" s="90" t="s">
        <v>1114</v>
      </c>
      <c r="E176" s="90" t="s">
        <v>1115</v>
      </c>
      <c r="F176" s="90" t="s">
        <v>1115</v>
      </c>
    </row>
    <row r="177" spans="2:6">
      <c r="B177" s="88">
        <v>264</v>
      </c>
      <c r="D177" s="90" t="s">
        <v>1053</v>
      </c>
      <c r="E177" s="90" t="s">
        <v>1015</v>
      </c>
      <c r="F177" s="90" t="s">
        <v>1015</v>
      </c>
    </row>
    <row r="178" spans="2:6">
      <c r="B178" s="88">
        <v>265</v>
      </c>
      <c r="D178" s="90" t="s">
        <v>1059</v>
      </c>
      <c r="E178" s="90" t="s">
        <v>1060</v>
      </c>
      <c r="F178" s="90" t="s">
        <v>1060</v>
      </c>
    </row>
    <row r="179" spans="2:6">
      <c r="B179" s="88">
        <v>266</v>
      </c>
      <c r="D179" s="90" t="s">
        <v>1051</v>
      </c>
      <c r="E179" s="90" t="s">
        <v>1014</v>
      </c>
      <c r="F179" s="90" t="s">
        <v>1014</v>
      </c>
    </row>
    <row r="180" spans="2:6">
      <c r="B180" s="88">
        <v>267</v>
      </c>
      <c r="D180" s="90" t="s">
        <v>142</v>
      </c>
      <c r="E180" s="90" t="s">
        <v>684</v>
      </c>
      <c r="F180" s="90" t="s">
        <v>684</v>
      </c>
    </row>
    <row r="181" spans="2:6">
      <c r="B181" s="88">
        <v>268</v>
      </c>
      <c r="D181" s="90" t="s">
        <v>1259</v>
      </c>
      <c r="E181" s="90" t="s">
        <v>1260</v>
      </c>
      <c r="F181" s="90" t="s">
        <v>1260</v>
      </c>
    </row>
    <row r="182" spans="2:6">
      <c r="B182" s="88">
        <v>269</v>
      </c>
      <c r="D182" s="90" t="s">
        <v>143</v>
      </c>
      <c r="E182" s="90" t="s">
        <v>685</v>
      </c>
      <c r="F182" s="90" t="s">
        <v>685</v>
      </c>
    </row>
    <row r="183" spans="2:6">
      <c r="B183" s="88">
        <v>270</v>
      </c>
      <c r="D183" s="90" t="s">
        <v>450</v>
      </c>
      <c r="E183" s="90" t="s">
        <v>686</v>
      </c>
      <c r="F183" s="90" t="s">
        <v>686</v>
      </c>
    </row>
    <row r="184" spans="2:6" ht="24">
      <c r="B184" s="88">
        <v>271</v>
      </c>
      <c r="D184" s="90" t="s">
        <v>144</v>
      </c>
      <c r="E184" s="90" t="s">
        <v>687</v>
      </c>
      <c r="F184" s="90" t="s">
        <v>687</v>
      </c>
    </row>
    <row r="185" spans="2:6" ht="36">
      <c r="B185" s="88">
        <v>272</v>
      </c>
      <c r="D185" s="90" t="s">
        <v>145</v>
      </c>
      <c r="E185" s="90" t="s">
        <v>688</v>
      </c>
      <c r="F185" s="90" t="s">
        <v>688</v>
      </c>
    </row>
    <row r="186" spans="2:6">
      <c r="B186" s="88">
        <v>273</v>
      </c>
      <c r="D186" s="90" t="s">
        <v>146</v>
      </c>
      <c r="E186" s="90" t="s">
        <v>689</v>
      </c>
      <c r="F186" s="90" t="s">
        <v>689</v>
      </c>
    </row>
    <row r="187" spans="2:6">
      <c r="B187" s="88">
        <v>274</v>
      </c>
      <c r="D187" s="90" t="s">
        <v>147</v>
      </c>
      <c r="E187" s="90" t="s">
        <v>690</v>
      </c>
      <c r="F187" s="90" t="s">
        <v>690</v>
      </c>
    </row>
    <row r="188" spans="2:6">
      <c r="B188" s="88">
        <v>275</v>
      </c>
      <c r="D188" s="90" t="s">
        <v>148</v>
      </c>
      <c r="E188" s="90" t="s">
        <v>691</v>
      </c>
      <c r="F188" s="90" t="s">
        <v>691</v>
      </c>
    </row>
    <row r="189" spans="2:6">
      <c r="B189" s="88">
        <v>276</v>
      </c>
      <c r="D189" s="90" t="s">
        <v>149</v>
      </c>
      <c r="E189" s="90" t="s">
        <v>692</v>
      </c>
      <c r="F189" s="90" t="s">
        <v>692</v>
      </c>
    </row>
    <row r="190" spans="2:6">
      <c r="B190" s="88">
        <v>277</v>
      </c>
      <c r="D190" s="90" t="s">
        <v>150</v>
      </c>
      <c r="E190" s="90" t="s">
        <v>693</v>
      </c>
      <c r="F190" s="90" t="s">
        <v>693</v>
      </c>
    </row>
    <row r="191" spans="2:6">
      <c r="B191" s="88">
        <v>278</v>
      </c>
      <c r="D191" s="90" t="s">
        <v>151</v>
      </c>
      <c r="E191" s="90" t="s">
        <v>694</v>
      </c>
      <c r="F191" s="90" t="s">
        <v>694</v>
      </c>
    </row>
    <row r="192" spans="2:6">
      <c r="B192" s="88">
        <v>279</v>
      </c>
      <c r="D192" s="90" t="s">
        <v>152</v>
      </c>
      <c r="E192" s="90" t="s">
        <v>695</v>
      </c>
      <c r="F192" s="90" t="s">
        <v>695</v>
      </c>
    </row>
    <row r="193" spans="2:6">
      <c r="B193" s="88">
        <v>280</v>
      </c>
      <c r="D193" s="90" t="s">
        <v>153</v>
      </c>
      <c r="E193" s="90" t="s">
        <v>548</v>
      </c>
      <c r="F193" s="90" t="s">
        <v>548</v>
      </c>
    </row>
    <row r="194" spans="2:6">
      <c r="B194" s="88">
        <v>281</v>
      </c>
      <c r="D194" s="90" t="s">
        <v>154</v>
      </c>
      <c r="E194" s="90" t="s">
        <v>696</v>
      </c>
      <c r="F194" s="90" t="s">
        <v>696</v>
      </c>
    </row>
    <row r="195" spans="2:6">
      <c r="B195" s="88">
        <v>282</v>
      </c>
      <c r="D195" s="90" t="s">
        <v>155</v>
      </c>
      <c r="E195" s="90" t="s">
        <v>697</v>
      </c>
      <c r="F195" s="90" t="s">
        <v>697</v>
      </c>
    </row>
    <row r="196" spans="2:6">
      <c r="B196" s="88">
        <v>283</v>
      </c>
      <c r="D196" s="90" t="s">
        <v>156</v>
      </c>
      <c r="E196" s="90" t="s">
        <v>698</v>
      </c>
      <c r="F196" s="90" t="s">
        <v>698</v>
      </c>
    </row>
    <row r="197" spans="2:6" ht="24">
      <c r="B197" s="88">
        <v>284</v>
      </c>
      <c r="D197" s="90" t="s">
        <v>157</v>
      </c>
      <c r="E197" s="90" t="s">
        <v>699</v>
      </c>
      <c r="F197" s="90" t="s">
        <v>699</v>
      </c>
    </row>
    <row r="198" spans="2:6">
      <c r="B198" s="88">
        <v>285</v>
      </c>
      <c r="D198" s="90" t="s">
        <v>451</v>
      </c>
      <c r="E198" s="90" t="s">
        <v>700</v>
      </c>
      <c r="F198" s="90" t="s">
        <v>700</v>
      </c>
    </row>
    <row r="199" spans="2:6">
      <c r="B199" s="88">
        <v>286</v>
      </c>
      <c r="D199" s="90" t="s">
        <v>158</v>
      </c>
      <c r="E199" s="90" t="s">
        <v>701</v>
      </c>
      <c r="F199" s="90" t="s">
        <v>701</v>
      </c>
    </row>
    <row r="200" spans="2:6">
      <c r="B200" s="88">
        <v>287</v>
      </c>
      <c r="D200" s="90" t="s">
        <v>159</v>
      </c>
      <c r="E200" s="90" t="s">
        <v>702</v>
      </c>
      <c r="F200" s="90" t="s">
        <v>702</v>
      </c>
    </row>
    <row r="201" spans="2:6">
      <c r="B201" s="88">
        <v>288</v>
      </c>
      <c r="D201" s="90" t="s">
        <v>160</v>
      </c>
      <c r="E201" s="90" t="s">
        <v>703</v>
      </c>
      <c r="F201" s="90" t="s">
        <v>703</v>
      </c>
    </row>
    <row r="202" spans="2:6">
      <c r="B202" s="88">
        <v>289</v>
      </c>
      <c r="D202" s="90" t="s">
        <v>452</v>
      </c>
      <c r="E202" s="90" t="s">
        <v>704</v>
      </c>
      <c r="F202" s="90" t="s">
        <v>704</v>
      </c>
    </row>
    <row r="203" spans="2:6">
      <c r="B203" s="88">
        <v>290</v>
      </c>
      <c r="D203" s="90" t="s">
        <v>453</v>
      </c>
      <c r="E203" s="90" t="s">
        <v>705</v>
      </c>
      <c r="F203" s="90" t="s">
        <v>705</v>
      </c>
    </row>
    <row r="204" spans="2:6">
      <c r="B204" s="88">
        <v>291</v>
      </c>
      <c r="D204" s="90" t="s">
        <v>1222</v>
      </c>
      <c r="E204" s="90" t="s">
        <v>1230</v>
      </c>
      <c r="F204" s="90" t="s">
        <v>1230</v>
      </c>
    </row>
    <row r="205" spans="2:6">
      <c r="B205" s="88">
        <v>292</v>
      </c>
      <c r="D205" s="90" t="s">
        <v>1331</v>
      </c>
      <c r="E205" s="90" t="s">
        <v>1332</v>
      </c>
      <c r="F205" s="90" t="s">
        <v>1332</v>
      </c>
    </row>
    <row r="206" spans="2:6">
      <c r="B206" s="88">
        <v>293</v>
      </c>
      <c r="D206" s="90" t="s">
        <v>1223</v>
      </c>
      <c r="E206" s="90" t="s">
        <v>1229</v>
      </c>
      <c r="F206" s="90" t="s">
        <v>1229</v>
      </c>
    </row>
    <row r="207" spans="2:6">
      <c r="B207" s="88">
        <v>294</v>
      </c>
      <c r="D207" s="90" t="s">
        <v>1221</v>
      </c>
      <c r="E207" s="90" t="s">
        <v>1228</v>
      </c>
      <c r="F207" s="90" t="s">
        <v>1228</v>
      </c>
    </row>
    <row r="208" spans="2:6">
      <c r="B208" s="88">
        <v>295</v>
      </c>
      <c r="D208" s="90" t="s">
        <v>454</v>
      </c>
      <c r="E208" s="90" t="s">
        <v>706</v>
      </c>
      <c r="F208" s="90" t="s">
        <v>706</v>
      </c>
    </row>
    <row r="209" spans="2:6">
      <c r="B209" s="88">
        <v>296</v>
      </c>
      <c r="D209" s="90" t="s">
        <v>538</v>
      </c>
      <c r="E209" s="90" t="s">
        <v>707</v>
      </c>
      <c r="F209" s="90" t="s">
        <v>707</v>
      </c>
    </row>
    <row r="210" spans="2:6">
      <c r="B210" s="88">
        <v>297</v>
      </c>
      <c r="D210" s="90" t="s">
        <v>161</v>
      </c>
      <c r="E210" s="90" t="s">
        <v>708</v>
      </c>
      <c r="F210" s="90" t="s">
        <v>708</v>
      </c>
    </row>
    <row r="211" spans="2:6">
      <c r="B211" s="88">
        <v>298</v>
      </c>
      <c r="C211" s="89" t="s">
        <v>1127</v>
      </c>
      <c r="D211" s="90" t="s">
        <v>1198</v>
      </c>
      <c r="E211" s="90" t="s">
        <v>1138</v>
      </c>
      <c r="F211" s="90" t="s">
        <v>1138</v>
      </c>
    </row>
    <row r="212" spans="2:6">
      <c r="B212" s="88">
        <v>299</v>
      </c>
      <c r="D212" s="90" t="s">
        <v>1242</v>
      </c>
      <c r="E212" s="90" t="s">
        <v>1245</v>
      </c>
      <c r="F212" s="90" t="s">
        <v>1245</v>
      </c>
    </row>
    <row r="213" spans="2:6">
      <c r="B213" s="88">
        <v>300</v>
      </c>
      <c r="D213" s="90" t="s">
        <v>527</v>
      </c>
      <c r="E213" s="90" t="s">
        <v>942</v>
      </c>
      <c r="F213" s="90" t="s">
        <v>942</v>
      </c>
    </row>
    <row r="214" spans="2:6">
      <c r="B214" s="88">
        <v>301</v>
      </c>
      <c r="D214" s="90" t="s">
        <v>993</v>
      </c>
      <c r="E214" s="90" t="s">
        <v>994</v>
      </c>
      <c r="F214" s="90" t="s">
        <v>994</v>
      </c>
    </row>
    <row r="215" spans="2:6">
      <c r="B215" s="88">
        <v>302</v>
      </c>
      <c r="C215" s="89" t="s">
        <v>1127</v>
      </c>
      <c r="D215" s="179" t="s">
        <v>1361</v>
      </c>
      <c r="E215" s="179" t="s">
        <v>1158</v>
      </c>
      <c r="F215" s="179" t="s">
        <v>1158</v>
      </c>
    </row>
    <row r="216" spans="2:6">
      <c r="B216" s="88">
        <v>303</v>
      </c>
      <c r="C216" s="89" t="s">
        <v>1127</v>
      </c>
      <c r="D216" s="179" t="s">
        <v>1166</v>
      </c>
      <c r="E216" s="179" t="s">
        <v>1128</v>
      </c>
      <c r="F216" s="179" t="s">
        <v>1128</v>
      </c>
    </row>
    <row r="217" spans="2:6">
      <c r="B217" s="88">
        <v>304</v>
      </c>
      <c r="C217" s="89" t="s">
        <v>1127</v>
      </c>
      <c r="D217" s="179" t="s">
        <v>1364</v>
      </c>
      <c r="E217" s="179" t="s">
        <v>1137</v>
      </c>
      <c r="F217" s="179" t="s">
        <v>1137</v>
      </c>
    </row>
    <row r="218" spans="2:6">
      <c r="B218" s="88">
        <v>305</v>
      </c>
      <c r="C218" s="89" t="s">
        <v>1127</v>
      </c>
      <c r="D218" s="179" t="s">
        <v>1208</v>
      </c>
      <c r="E218" s="179" t="s">
        <v>1209</v>
      </c>
      <c r="F218" s="179" t="s">
        <v>1209</v>
      </c>
    </row>
    <row r="219" spans="2:6">
      <c r="B219" s="88">
        <v>305</v>
      </c>
      <c r="C219" s="89" t="s">
        <v>1127</v>
      </c>
      <c r="D219" s="179" t="s">
        <v>1362</v>
      </c>
      <c r="E219" s="179" t="s">
        <v>1363</v>
      </c>
      <c r="F219" s="179" t="s">
        <v>1363</v>
      </c>
    </row>
    <row r="220" spans="2:6">
      <c r="B220" s="88">
        <v>306</v>
      </c>
      <c r="C220" s="89" t="s">
        <v>1127</v>
      </c>
      <c r="D220" s="179" t="s">
        <v>1351</v>
      </c>
      <c r="E220" s="179" t="s">
        <v>1352</v>
      </c>
      <c r="F220" s="179" t="s">
        <v>1352</v>
      </c>
    </row>
    <row r="221" spans="2:6">
      <c r="B221" s="88">
        <v>307</v>
      </c>
      <c r="C221" s="89" t="s">
        <v>1127</v>
      </c>
      <c r="D221" s="179" t="s">
        <v>1353</v>
      </c>
      <c r="E221" s="179" t="s">
        <v>1354</v>
      </c>
      <c r="F221" s="179" t="s">
        <v>1354</v>
      </c>
    </row>
    <row r="222" spans="2:6">
      <c r="B222" s="88">
        <v>308</v>
      </c>
      <c r="C222" s="89" t="s">
        <v>1127</v>
      </c>
      <c r="D222" s="179" t="s">
        <v>1355</v>
      </c>
      <c r="E222" s="179" t="s">
        <v>1356</v>
      </c>
      <c r="F222" s="179" t="s">
        <v>1356</v>
      </c>
    </row>
    <row r="223" spans="2:6">
      <c r="B223" s="88">
        <v>309</v>
      </c>
      <c r="C223" s="89" t="s">
        <v>1127</v>
      </c>
      <c r="D223" s="179" t="s">
        <v>1357</v>
      </c>
      <c r="E223" s="179" t="s">
        <v>1358</v>
      </c>
      <c r="F223" s="179" t="s">
        <v>1358</v>
      </c>
    </row>
    <row r="224" spans="2:6">
      <c r="B224" s="88">
        <v>310</v>
      </c>
      <c r="C224" s="89" t="s">
        <v>1127</v>
      </c>
      <c r="D224" s="179" t="s">
        <v>1359</v>
      </c>
      <c r="E224" s="179" t="s">
        <v>1365</v>
      </c>
      <c r="F224" s="179" t="s">
        <v>1365</v>
      </c>
    </row>
    <row r="225" spans="2:6">
      <c r="B225" s="88">
        <v>311</v>
      </c>
      <c r="C225" s="89" t="s">
        <v>1127</v>
      </c>
      <c r="D225" s="179" t="s">
        <v>1360</v>
      </c>
      <c r="E225" s="179" t="s">
        <v>1366</v>
      </c>
      <c r="F225" s="179" t="s">
        <v>1366</v>
      </c>
    </row>
    <row r="226" spans="2:6">
      <c r="B226" s="88">
        <v>312</v>
      </c>
      <c r="C226" s="89" t="s">
        <v>1127</v>
      </c>
      <c r="D226" s="179" t="s">
        <v>1200</v>
      </c>
      <c r="E226" s="179" t="s">
        <v>1367</v>
      </c>
      <c r="F226" s="179" t="s">
        <v>1367</v>
      </c>
    </row>
    <row r="227" spans="2:6">
      <c r="B227" s="88">
        <v>313</v>
      </c>
      <c r="C227" s="89" t="s">
        <v>1127</v>
      </c>
      <c r="D227" s="179" t="s">
        <v>1201</v>
      </c>
      <c r="E227" s="179" t="s">
        <v>1368</v>
      </c>
      <c r="F227" s="179" t="s">
        <v>1368</v>
      </c>
    </row>
    <row r="228" spans="2:6">
      <c r="B228" s="88">
        <v>314</v>
      </c>
      <c r="C228" s="89" t="s">
        <v>1127</v>
      </c>
      <c r="D228" s="179" t="s">
        <v>1202</v>
      </c>
      <c r="E228" s="90" t="s">
        <v>1159</v>
      </c>
      <c r="F228" s="90" t="s">
        <v>1159</v>
      </c>
    </row>
    <row r="229" spans="2:6">
      <c r="B229" s="88">
        <v>315</v>
      </c>
      <c r="C229" s="89" t="s">
        <v>1127</v>
      </c>
      <c r="D229" s="179" t="s">
        <v>1203</v>
      </c>
      <c r="E229" s="90" t="s">
        <v>1160</v>
      </c>
      <c r="F229" s="90" t="s">
        <v>1160</v>
      </c>
    </row>
    <row r="230" spans="2:6">
      <c r="B230" s="88">
        <v>316</v>
      </c>
      <c r="C230" s="89" t="s">
        <v>1127</v>
      </c>
      <c r="D230" s="179" t="s">
        <v>1204</v>
      </c>
      <c r="E230" s="90" t="s">
        <v>1161</v>
      </c>
      <c r="F230" s="90" t="s">
        <v>1161</v>
      </c>
    </row>
    <row r="231" spans="2:6">
      <c r="B231" s="88">
        <v>317</v>
      </c>
      <c r="C231" s="89" t="s">
        <v>1127</v>
      </c>
      <c r="D231" s="179" t="s">
        <v>1205</v>
      </c>
      <c r="E231" s="90" t="s">
        <v>1162</v>
      </c>
      <c r="F231" s="90" t="s">
        <v>1162</v>
      </c>
    </row>
    <row r="232" spans="2:6">
      <c r="B232" s="88">
        <v>318</v>
      </c>
      <c r="C232" s="89" t="s">
        <v>1127</v>
      </c>
      <c r="D232" s="179" t="s">
        <v>1206</v>
      </c>
      <c r="E232" s="179" t="s">
        <v>1207</v>
      </c>
      <c r="F232" s="179" t="s">
        <v>1207</v>
      </c>
    </row>
    <row r="233" spans="2:6" ht="24">
      <c r="B233" s="88">
        <v>319</v>
      </c>
      <c r="D233" s="90" t="s">
        <v>162</v>
      </c>
      <c r="E233" s="90" t="s">
        <v>709</v>
      </c>
      <c r="F233" s="90" t="s">
        <v>709</v>
      </c>
    </row>
    <row r="234" spans="2:6" ht="24">
      <c r="B234" s="88">
        <v>320</v>
      </c>
      <c r="D234" s="90" t="s">
        <v>163</v>
      </c>
      <c r="E234" s="90" t="s">
        <v>710</v>
      </c>
      <c r="F234" s="90" t="s">
        <v>710</v>
      </c>
    </row>
    <row r="235" spans="2:6" ht="24">
      <c r="B235" s="88">
        <v>321</v>
      </c>
      <c r="D235" s="90" t="s">
        <v>164</v>
      </c>
      <c r="E235" s="90" t="s">
        <v>711</v>
      </c>
      <c r="F235" s="90" t="s">
        <v>711</v>
      </c>
    </row>
    <row r="236" spans="2:6" ht="24">
      <c r="B236" s="88">
        <v>322</v>
      </c>
      <c r="C236" s="89" t="s">
        <v>1127</v>
      </c>
      <c r="D236" s="90" t="s">
        <v>1199</v>
      </c>
      <c r="E236" s="90" t="s">
        <v>1147</v>
      </c>
      <c r="F236" s="90" t="s">
        <v>1147</v>
      </c>
    </row>
    <row r="237" spans="2:6">
      <c r="B237" s="88">
        <v>323</v>
      </c>
      <c r="D237" s="90" t="s">
        <v>165</v>
      </c>
      <c r="E237" s="90" t="s">
        <v>712</v>
      </c>
      <c r="F237" s="90" t="s">
        <v>712</v>
      </c>
    </row>
    <row r="238" spans="2:6">
      <c r="B238" s="88">
        <v>324</v>
      </c>
      <c r="C238" s="89" t="s">
        <v>573</v>
      </c>
      <c r="D238" s="90" t="s">
        <v>970</v>
      </c>
      <c r="E238" s="90" t="s">
        <v>971</v>
      </c>
      <c r="F238" s="90" t="s">
        <v>971</v>
      </c>
    </row>
    <row r="239" spans="2:6">
      <c r="B239" s="88">
        <v>325</v>
      </c>
      <c r="D239" s="90" t="s">
        <v>166</v>
      </c>
      <c r="E239" s="90" t="s">
        <v>713</v>
      </c>
      <c r="F239" s="90" t="s">
        <v>713</v>
      </c>
    </row>
    <row r="240" spans="2:6">
      <c r="B240" s="88">
        <v>326</v>
      </c>
      <c r="D240" s="90" t="s">
        <v>167</v>
      </c>
      <c r="E240" s="90" t="s">
        <v>714</v>
      </c>
      <c r="F240" s="90" t="s">
        <v>714</v>
      </c>
    </row>
    <row r="241" spans="2:6">
      <c r="B241" s="88">
        <v>327</v>
      </c>
      <c r="D241" s="90" t="s">
        <v>168</v>
      </c>
      <c r="E241" s="90" t="s">
        <v>715</v>
      </c>
      <c r="F241" s="90" t="s">
        <v>715</v>
      </c>
    </row>
    <row r="242" spans="2:6">
      <c r="B242" s="88">
        <v>328</v>
      </c>
      <c r="C242" s="89" t="s">
        <v>573</v>
      </c>
      <c r="D242" s="87" t="s">
        <v>948</v>
      </c>
      <c r="E242" s="179" t="s">
        <v>949</v>
      </c>
      <c r="F242" s="179" t="s">
        <v>949</v>
      </c>
    </row>
    <row r="243" spans="2:6">
      <c r="B243" s="88">
        <v>329</v>
      </c>
      <c r="C243" s="89" t="s">
        <v>573</v>
      </c>
      <c r="D243" s="87" t="s">
        <v>950</v>
      </c>
      <c r="E243" s="179" t="s">
        <v>951</v>
      </c>
      <c r="F243" s="179" t="s">
        <v>951</v>
      </c>
    </row>
    <row r="244" spans="2:6">
      <c r="B244" s="88">
        <v>330</v>
      </c>
      <c r="D244" s="90" t="s">
        <v>169</v>
      </c>
      <c r="E244" s="90" t="s">
        <v>716</v>
      </c>
      <c r="F244" s="90" t="s">
        <v>716</v>
      </c>
    </row>
    <row r="245" spans="2:6">
      <c r="B245" s="88">
        <v>331</v>
      </c>
      <c r="C245" s="89" t="s">
        <v>573</v>
      </c>
      <c r="D245" s="90" t="s">
        <v>966</v>
      </c>
      <c r="E245" s="90" t="s">
        <v>999</v>
      </c>
      <c r="F245" s="90" t="s">
        <v>999</v>
      </c>
    </row>
    <row r="246" spans="2:6">
      <c r="B246" s="88">
        <v>332</v>
      </c>
      <c r="C246" s="89" t="s">
        <v>573</v>
      </c>
      <c r="D246" s="87" t="s">
        <v>972</v>
      </c>
      <c r="E246" s="179" t="s">
        <v>973</v>
      </c>
      <c r="F246" s="179" t="s">
        <v>973</v>
      </c>
    </row>
    <row r="247" spans="2:6" ht="24">
      <c r="B247" s="88">
        <v>333</v>
      </c>
      <c r="D247" s="90" t="s">
        <v>170</v>
      </c>
      <c r="E247" s="90" t="s">
        <v>717</v>
      </c>
      <c r="F247" s="90" t="s">
        <v>717</v>
      </c>
    </row>
    <row r="248" spans="2:6" ht="24">
      <c r="B248" s="88">
        <v>334</v>
      </c>
      <c r="D248" s="90" t="s">
        <v>171</v>
      </c>
      <c r="E248" s="90" t="s">
        <v>718</v>
      </c>
      <c r="F248" s="90" t="s">
        <v>718</v>
      </c>
    </row>
    <row r="249" spans="2:6">
      <c r="B249" s="88">
        <v>335</v>
      </c>
      <c r="D249" s="90" t="s">
        <v>172</v>
      </c>
      <c r="E249" s="90" t="s">
        <v>719</v>
      </c>
      <c r="F249" s="90" t="s">
        <v>719</v>
      </c>
    </row>
    <row r="250" spans="2:6">
      <c r="B250" s="88">
        <v>336</v>
      </c>
      <c r="D250" s="90" t="s">
        <v>173</v>
      </c>
      <c r="E250" s="90" t="s">
        <v>720</v>
      </c>
      <c r="F250" s="90" t="s">
        <v>720</v>
      </c>
    </row>
    <row r="251" spans="2:6">
      <c r="B251" s="88">
        <v>337</v>
      </c>
      <c r="D251" s="90" t="s">
        <v>174</v>
      </c>
      <c r="E251" s="90" t="s">
        <v>721</v>
      </c>
      <c r="F251" s="90" t="s">
        <v>721</v>
      </c>
    </row>
    <row r="252" spans="2:6">
      <c r="B252" s="88">
        <v>338</v>
      </c>
      <c r="D252" s="90" t="s">
        <v>175</v>
      </c>
      <c r="E252" s="90" t="s">
        <v>722</v>
      </c>
      <c r="F252" s="90" t="s">
        <v>722</v>
      </c>
    </row>
    <row r="253" spans="2:6">
      <c r="B253" s="88">
        <v>339</v>
      </c>
      <c r="C253" s="89" t="s">
        <v>1127</v>
      </c>
      <c r="D253" s="90" t="s">
        <v>1180</v>
      </c>
      <c r="E253" s="90" t="s">
        <v>1145</v>
      </c>
      <c r="F253" s="90" t="s">
        <v>1145</v>
      </c>
    </row>
    <row r="254" spans="2:6">
      <c r="B254" s="88">
        <v>340</v>
      </c>
      <c r="C254" s="89" t="s">
        <v>1127</v>
      </c>
      <c r="D254" s="90" t="s">
        <v>1182</v>
      </c>
      <c r="E254" s="90" t="s">
        <v>1146</v>
      </c>
      <c r="F254" s="90" t="s">
        <v>1146</v>
      </c>
    </row>
    <row r="255" spans="2:6">
      <c r="B255" s="88">
        <v>341</v>
      </c>
      <c r="D255" s="90" t="s">
        <v>176</v>
      </c>
      <c r="E255" s="90" t="s">
        <v>723</v>
      </c>
      <c r="F255" s="90" t="s">
        <v>723</v>
      </c>
    </row>
    <row r="256" spans="2:6" ht="24">
      <c r="B256" s="88">
        <v>342</v>
      </c>
      <c r="C256" s="89" t="s">
        <v>1127</v>
      </c>
      <c r="D256" s="90" t="s">
        <v>1192</v>
      </c>
      <c r="E256" s="90" t="s">
        <v>1154</v>
      </c>
      <c r="F256" s="90" t="s">
        <v>1154</v>
      </c>
    </row>
    <row r="257" spans="2:6">
      <c r="B257" s="88">
        <v>343</v>
      </c>
      <c r="D257" s="90" t="s">
        <v>455</v>
      </c>
      <c r="E257" s="90" t="s">
        <v>724</v>
      </c>
      <c r="F257" s="90" t="s">
        <v>724</v>
      </c>
    </row>
    <row r="258" spans="2:6">
      <c r="B258" s="88">
        <v>344</v>
      </c>
      <c r="D258" s="90" t="s">
        <v>177</v>
      </c>
      <c r="E258" s="90" t="s">
        <v>725</v>
      </c>
      <c r="F258" s="90" t="s">
        <v>725</v>
      </c>
    </row>
    <row r="259" spans="2:6">
      <c r="B259" s="88">
        <v>345</v>
      </c>
      <c r="D259" s="90" t="s">
        <v>456</v>
      </c>
      <c r="E259" s="90" t="s">
        <v>726</v>
      </c>
      <c r="F259" s="90" t="s">
        <v>726</v>
      </c>
    </row>
    <row r="260" spans="2:6">
      <c r="B260" s="88">
        <v>346</v>
      </c>
      <c r="C260" s="89" t="s">
        <v>1127</v>
      </c>
      <c r="D260" s="90" t="s">
        <v>1181</v>
      </c>
      <c r="E260" s="90" t="s">
        <v>1156</v>
      </c>
      <c r="F260" s="90" t="s">
        <v>1156</v>
      </c>
    </row>
    <row r="261" spans="2:6">
      <c r="B261" s="88">
        <v>347</v>
      </c>
      <c r="C261" s="89" t="s">
        <v>573</v>
      </c>
      <c r="D261" s="87" t="s">
        <v>946</v>
      </c>
      <c r="E261" s="179" t="s">
        <v>947</v>
      </c>
      <c r="F261" s="179" t="s">
        <v>947</v>
      </c>
    </row>
    <row r="262" spans="2:6" ht="24">
      <c r="B262" s="88">
        <v>348</v>
      </c>
      <c r="C262" s="89" t="s">
        <v>1127</v>
      </c>
      <c r="D262" s="90" t="s">
        <v>1174</v>
      </c>
      <c r="E262" s="90" t="s">
        <v>1135</v>
      </c>
      <c r="F262" s="90" t="s">
        <v>1135</v>
      </c>
    </row>
    <row r="263" spans="2:6" ht="24">
      <c r="B263" s="88">
        <v>349</v>
      </c>
      <c r="D263" s="90" t="s">
        <v>178</v>
      </c>
      <c r="F263" s="90"/>
    </row>
    <row r="264" spans="2:6">
      <c r="B264" s="88">
        <v>350</v>
      </c>
      <c r="D264" s="90" t="s">
        <v>179</v>
      </c>
      <c r="E264" s="90" t="s">
        <v>727</v>
      </c>
      <c r="F264" s="90" t="s">
        <v>727</v>
      </c>
    </row>
    <row r="265" spans="2:6">
      <c r="B265" s="88">
        <v>351</v>
      </c>
      <c r="D265" s="90" t="s">
        <v>180</v>
      </c>
      <c r="E265" s="90" t="s">
        <v>728</v>
      </c>
      <c r="F265" s="90" t="s">
        <v>728</v>
      </c>
    </row>
    <row r="266" spans="2:6">
      <c r="B266" s="88">
        <v>352</v>
      </c>
      <c r="D266" s="90" t="s">
        <v>181</v>
      </c>
      <c r="E266" s="90" t="s">
        <v>729</v>
      </c>
      <c r="F266" s="90" t="s">
        <v>729</v>
      </c>
    </row>
    <row r="267" spans="2:6">
      <c r="B267" s="88">
        <v>353</v>
      </c>
      <c r="C267" s="89" t="s">
        <v>1127</v>
      </c>
      <c r="D267" s="90" t="s">
        <v>1176</v>
      </c>
      <c r="E267" s="90" t="s">
        <v>1141</v>
      </c>
      <c r="F267" s="90" t="s">
        <v>1141</v>
      </c>
    </row>
    <row r="268" spans="2:6">
      <c r="B268" s="88">
        <v>354</v>
      </c>
      <c r="D268" s="90" t="s">
        <v>182</v>
      </c>
      <c r="E268" s="90" t="s">
        <v>730</v>
      </c>
      <c r="F268" s="90" t="s">
        <v>730</v>
      </c>
    </row>
    <row r="269" spans="2:6">
      <c r="B269" s="88">
        <v>355</v>
      </c>
      <c r="D269" s="90" t="s">
        <v>457</v>
      </c>
      <c r="E269" s="90" t="s">
        <v>731</v>
      </c>
      <c r="F269" s="90" t="s">
        <v>731</v>
      </c>
    </row>
    <row r="270" spans="2:6">
      <c r="B270" s="88">
        <v>356</v>
      </c>
      <c r="D270" s="90" t="s">
        <v>183</v>
      </c>
      <c r="E270" s="90" t="s">
        <v>732</v>
      </c>
      <c r="F270" s="90" t="s">
        <v>732</v>
      </c>
    </row>
    <row r="271" spans="2:6" ht="24">
      <c r="B271" s="88">
        <v>357</v>
      </c>
      <c r="C271" s="89" t="s">
        <v>1127</v>
      </c>
      <c r="D271" s="90" t="s">
        <v>1173</v>
      </c>
      <c r="E271" s="90" t="s">
        <v>1172</v>
      </c>
      <c r="F271" s="90" t="s">
        <v>1172</v>
      </c>
    </row>
    <row r="272" spans="2:6" ht="36">
      <c r="B272" s="88">
        <v>358</v>
      </c>
      <c r="C272" s="89" t="s">
        <v>1127</v>
      </c>
      <c r="D272" s="90" t="s">
        <v>1189</v>
      </c>
      <c r="E272" s="90" t="s">
        <v>1150</v>
      </c>
      <c r="F272" s="90" t="s">
        <v>1150</v>
      </c>
    </row>
    <row r="273" spans="2:6">
      <c r="B273" s="88">
        <v>359</v>
      </c>
      <c r="D273" s="90" t="s">
        <v>184</v>
      </c>
      <c r="E273" s="90" t="s">
        <v>733</v>
      </c>
      <c r="F273" s="90" t="s">
        <v>733</v>
      </c>
    </row>
    <row r="274" spans="2:6">
      <c r="B274" s="88">
        <v>360</v>
      </c>
      <c r="D274" s="90" t="s">
        <v>1</v>
      </c>
      <c r="E274" s="90" t="s">
        <v>1</v>
      </c>
      <c r="F274" s="90" t="s">
        <v>1</v>
      </c>
    </row>
    <row r="275" spans="2:6">
      <c r="B275" s="88">
        <v>361</v>
      </c>
      <c r="D275" s="90" t="s">
        <v>2</v>
      </c>
      <c r="E275" s="90" t="s">
        <v>2</v>
      </c>
      <c r="F275" s="90" t="s">
        <v>2</v>
      </c>
    </row>
    <row r="276" spans="2:6">
      <c r="B276" s="88">
        <v>362</v>
      </c>
      <c r="D276" s="90" t="s">
        <v>541</v>
      </c>
      <c r="E276" s="90" t="s">
        <v>545</v>
      </c>
      <c r="F276" s="90" t="s">
        <v>545</v>
      </c>
    </row>
    <row r="277" spans="2:6">
      <c r="B277" s="88">
        <v>363</v>
      </c>
      <c r="D277" s="90" t="s">
        <v>185</v>
      </c>
      <c r="E277" s="90" t="s">
        <v>186</v>
      </c>
      <c r="F277" s="90" t="s">
        <v>186</v>
      </c>
    </row>
    <row r="278" spans="2:6">
      <c r="B278" s="88">
        <v>364</v>
      </c>
      <c r="D278" s="90" t="s">
        <v>1261</v>
      </c>
      <c r="E278" s="90" t="s">
        <v>1262</v>
      </c>
      <c r="F278" s="90" t="s">
        <v>1262</v>
      </c>
    </row>
    <row r="279" spans="2:6">
      <c r="B279" s="88">
        <v>365</v>
      </c>
      <c r="D279" s="90" t="s">
        <v>187</v>
      </c>
      <c r="E279" s="90" t="s">
        <v>515</v>
      </c>
      <c r="F279" s="90" t="s">
        <v>515</v>
      </c>
    </row>
    <row r="280" spans="2:6">
      <c r="B280" s="88">
        <v>366</v>
      </c>
      <c r="D280" s="90" t="s">
        <v>188</v>
      </c>
      <c r="E280" s="90" t="s">
        <v>734</v>
      </c>
      <c r="F280" s="90" t="s">
        <v>734</v>
      </c>
    </row>
    <row r="281" spans="2:6">
      <c r="B281" s="88">
        <v>367</v>
      </c>
      <c r="D281" s="90" t="s">
        <v>189</v>
      </c>
      <c r="E281" s="90" t="s">
        <v>735</v>
      </c>
      <c r="F281" s="90" t="s">
        <v>735</v>
      </c>
    </row>
    <row r="282" spans="2:6">
      <c r="B282" s="88">
        <v>368</v>
      </c>
      <c r="D282" s="90" t="s">
        <v>458</v>
      </c>
      <c r="E282" s="90" t="s">
        <v>736</v>
      </c>
      <c r="F282" s="90" t="s">
        <v>736</v>
      </c>
    </row>
    <row r="283" spans="2:6">
      <c r="B283" s="88">
        <v>369</v>
      </c>
      <c r="D283" s="90" t="s">
        <v>459</v>
      </c>
      <c r="E283" s="90" t="s">
        <v>737</v>
      </c>
      <c r="F283" s="90" t="s">
        <v>737</v>
      </c>
    </row>
    <row r="284" spans="2:6">
      <c r="B284" s="88">
        <v>370</v>
      </c>
      <c r="D284" s="90" t="s">
        <v>460</v>
      </c>
      <c r="E284" s="90" t="s">
        <v>736</v>
      </c>
      <c r="F284" s="90" t="s">
        <v>736</v>
      </c>
    </row>
    <row r="285" spans="2:6">
      <c r="B285" s="88">
        <v>371</v>
      </c>
      <c r="C285" s="89" t="s">
        <v>1127</v>
      </c>
      <c r="D285" s="90" t="s">
        <v>1164</v>
      </c>
      <c r="E285" s="90" t="s">
        <v>1144</v>
      </c>
      <c r="F285" s="90" t="s">
        <v>1144</v>
      </c>
    </row>
    <row r="286" spans="2:6">
      <c r="B286" s="88">
        <v>372</v>
      </c>
      <c r="D286" s="90" t="s">
        <v>190</v>
      </c>
      <c r="E286" s="90" t="s">
        <v>738</v>
      </c>
      <c r="F286" s="90" t="s">
        <v>738</v>
      </c>
    </row>
    <row r="287" spans="2:6">
      <c r="B287" s="88">
        <v>373</v>
      </c>
      <c r="D287" s="90" t="s">
        <v>461</v>
      </c>
      <c r="E287" s="90" t="s">
        <v>739</v>
      </c>
      <c r="F287" s="90" t="s">
        <v>739</v>
      </c>
    </row>
    <row r="288" spans="2:6">
      <c r="B288" s="88">
        <v>374</v>
      </c>
      <c r="D288" s="90" t="s">
        <v>191</v>
      </c>
      <c r="E288" s="90" t="s">
        <v>740</v>
      </c>
      <c r="F288" s="90" t="s">
        <v>740</v>
      </c>
    </row>
    <row r="289" spans="2:6">
      <c r="B289" s="88">
        <v>375</v>
      </c>
      <c r="C289" s="89" t="s">
        <v>573</v>
      </c>
      <c r="D289" s="87" t="s">
        <v>974</v>
      </c>
      <c r="E289" s="179" t="s">
        <v>975</v>
      </c>
      <c r="F289" s="179" t="s">
        <v>975</v>
      </c>
    </row>
    <row r="290" spans="2:6">
      <c r="B290" s="88">
        <v>376</v>
      </c>
      <c r="D290" s="90" t="s">
        <v>490</v>
      </c>
      <c r="E290" s="90" t="s">
        <v>741</v>
      </c>
      <c r="F290" s="90" t="s">
        <v>741</v>
      </c>
    </row>
    <row r="291" spans="2:6">
      <c r="B291" s="88">
        <v>377</v>
      </c>
      <c r="D291" s="90" t="s">
        <v>491</v>
      </c>
      <c r="E291" s="90" t="s">
        <v>742</v>
      </c>
      <c r="F291" s="90" t="s">
        <v>742</v>
      </c>
    </row>
    <row r="292" spans="2:6">
      <c r="B292" s="88">
        <v>378</v>
      </c>
      <c r="C292" s="89" t="s">
        <v>986</v>
      </c>
      <c r="D292" s="90" t="s">
        <v>987</v>
      </c>
      <c r="E292" s="90" t="s">
        <v>988</v>
      </c>
      <c r="F292" s="90" t="s">
        <v>988</v>
      </c>
    </row>
    <row r="293" spans="2:6">
      <c r="B293" s="88">
        <v>379</v>
      </c>
      <c r="D293" s="90" t="s">
        <v>192</v>
      </c>
      <c r="E293" s="90" t="s">
        <v>743</v>
      </c>
      <c r="F293" s="90" t="s">
        <v>743</v>
      </c>
    </row>
    <row r="294" spans="2:6">
      <c r="B294" s="88">
        <v>380</v>
      </c>
      <c r="D294" s="90" t="s">
        <v>462</v>
      </c>
      <c r="E294" s="90" t="s">
        <v>744</v>
      </c>
      <c r="F294" s="90" t="s">
        <v>744</v>
      </c>
    </row>
    <row r="295" spans="2:6">
      <c r="B295" s="88">
        <v>381</v>
      </c>
      <c r="D295" s="90" t="s">
        <v>193</v>
      </c>
      <c r="E295" s="90" t="s">
        <v>745</v>
      </c>
      <c r="F295" s="90" t="s">
        <v>745</v>
      </c>
    </row>
    <row r="296" spans="2:6">
      <c r="B296" s="88">
        <v>382</v>
      </c>
      <c r="D296" s="90" t="s">
        <v>194</v>
      </c>
      <c r="E296" s="90" t="s">
        <v>746</v>
      </c>
      <c r="F296" s="90" t="s">
        <v>746</v>
      </c>
    </row>
    <row r="297" spans="2:6">
      <c r="B297" s="88">
        <v>383</v>
      </c>
      <c r="D297" s="90" t="s">
        <v>195</v>
      </c>
      <c r="E297" s="90" t="s">
        <v>529</v>
      </c>
      <c r="F297" s="90" t="s">
        <v>529</v>
      </c>
    </row>
    <row r="298" spans="2:6">
      <c r="B298" s="88">
        <v>384</v>
      </c>
      <c r="D298" s="90" t="s">
        <v>960</v>
      </c>
      <c r="E298" s="90" t="s">
        <v>961</v>
      </c>
      <c r="F298" s="90" t="s">
        <v>961</v>
      </c>
    </row>
    <row r="299" spans="2:6" ht="24">
      <c r="B299" s="88">
        <v>385</v>
      </c>
      <c r="D299" s="90" t="s">
        <v>196</v>
      </c>
      <c r="E299" s="90" t="s">
        <v>747</v>
      </c>
      <c r="F299" s="90" t="s">
        <v>747</v>
      </c>
    </row>
    <row r="300" spans="2:6">
      <c r="B300" s="88">
        <v>386</v>
      </c>
      <c r="D300" s="90" t="s">
        <v>1326</v>
      </c>
      <c r="E300" s="90" t="s">
        <v>1338</v>
      </c>
      <c r="F300" s="90" t="s">
        <v>1338</v>
      </c>
    </row>
    <row r="301" spans="2:6" ht="24">
      <c r="B301" s="88">
        <v>387</v>
      </c>
      <c r="D301" s="90" t="s">
        <v>492</v>
      </c>
      <c r="E301" s="90" t="s">
        <v>748</v>
      </c>
      <c r="F301" s="90" t="s">
        <v>748</v>
      </c>
    </row>
    <row r="302" spans="2:6">
      <c r="B302" s="88">
        <v>388</v>
      </c>
      <c r="D302" s="90" t="s">
        <v>493</v>
      </c>
      <c r="E302" s="90" t="s">
        <v>749</v>
      </c>
      <c r="F302" s="90" t="s">
        <v>749</v>
      </c>
    </row>
    <row r="303" spans="2:6">
      <c r="B303" s="88">
        <v>389</v>
      </c>
      <c r="D303" s="90" t="s">
        <v>463</v>
      </c>
      <c r="E303" s="90" t="s">
        <v>750</v>
      </c>
      <c r="F303" s="90" t="s">
        <v>750</v>
      </c>
    </row>
    <row r="304" spans="2:6">
      <c r="B304" s="88">
        <v>390</v>
      </c>
      <c r="D304" s="90" t="s">
        <v>197</v>
      </c>
      <c r="E304" s="90" t="s">
        <v>751</v>
      </c>
      <c r="F304" s="90" t="s">
        <v>751</v>
      </c>
    </row>
    <row r="305" spans="2:6">
      <c r="B305" s="88">
        <v>391</v>
      </c>
      <c r="D305" s="90" t="s">
        <v>464</v>
      </c>
      <c r="E305" s="90" t="s">
        <v>752</v>
      </c>
      <c r="F305" s="90" t="s">
        <v>752</v>
      </c>
    </row>
    <row r="306" spans="2:6">
      <c r="B306" s="88">
        <v>392</v>
      </c>
      <c r="D306" s="90" t="s">
        <v>465</v>
      </c>
      <c r="E306" s="90" t="s">
        <v>753</v>
      </c>
      <c r="F306" s="90" t="s">
        <v>753</v>
      </c>
    </row>
    <row r="307" spans="2:6">
      <c r="B307" s="88">
        <v>393</v>
      </c>
      <c r="D307" s="90" t="s">
        <v>198</v>
      </c>
      <c r="E307" s="90" t="s">
        <v>754</v>
      </c>
      <c r="F307" s="90" t="s">
        <v>754</v>
      </c>
    </row>
    <row r="308" spans="2:6">
      <c r="B308" s="88">
        <v>394</v>
      </c>
      <c r="D308" s="90" t="s">
        <v>199</v>
      </c>
      <c r="E308" s="90" t="s">
        <v>755</v>
      </c>
      <c r="F308" s="90" t="s">
        <v>755</v>
      </c>
    </row>
    <row r="309" spans="2:6">
      <c r="B309" s="88">
        <v>395</v>
      </c>
      <c r="D309" s="90" t="s">
        <v>466</v>
      </c>
      <c r="E309" s="90" t="s">
        <v>756</v>
      </c>
      <c r="F309" s="90" t="s">
        <v>756</v>
      </c>
    </row>
    <row r="310" spans="2:6">
      <c r="B310" s="88">
        <v>396</v>
      </c>
      <c r="D310" s="90" t="s">
        <v>200</v>
      </c>
      <c r="E310" s="90" t="s">
        <v>757</v>
      </c>
      <c r="F310" s="90" t="s">
        <v>757</v>
      </c>
    </row>
    <row r="311" spans="2:6">
      <c r="B311" s="88">
        <v>397</v>
      </c>
      <c r="C311" s="89" t="s">
        <v>507</v>
      </c>
      <c r="D311" s="90" t="s">
        <v>516</v>
      </c>
      <c r="E311" s="90" t="s">
        <v>517</v>
      </c>
      <c r="F311" s="90" t="s">
        <v>517</v>
      </c>
    </row>
    <row r="312" spans="2:6">
      <c r="B312" s="88">
        <v>398</v>
      </c>
      <c r="C312" s="89" t="s">
        <v>573</v>
      </c>
      <c r="D312" s="87" t="s">
        <v>572</v>
      </c>
      <c r="E312" s="179" t="s">
        <v>945</v>
      </c>
      <c r="F312" s="179" t="s">
        <v>945</v>
      </c>
    </row>
    <row r="313" spans="2:6">
      <c r="B313" s="88">
        <v>399</v>
      </c>
      <c r="D313" s="90" t="s">
        <v>201</v>
      </c>
      <c r="E313" s="90" t="s">
        <v>758</v>
      </c>
      <c r="F313" s="90" t="s">
        <v>758</v>
      </c>
    </row>
    <row r="314" spans="2:6">
      <c r="B314" s="88">
        <v>400</v>
      </c>
      <c r="D314" s="90" t="s">
        <v>202</v>
      </c>
      <c r="E314" s="90" t="s">
        <v>759</v>
      </c>
      <c r="F314" s="90" t="s">
        <v>759</v>
      </c>
    </row>
    <row r="315" spans="2:6">
      <c r="B315" s="88">
        <v>401</v>
      </c>
      <c r="D315" s="90" t="s">
        <v>203</v>
      </c>
      <c r="E315" s="90" t="s">
        <v>760</v>
      </c>
      <c r="F315" s="90" t="s">
        <v>760</v>
      </c>
    </row>
    <row r="316" spans="2:6">
      <c r="B316" s="88">
        <v>402</v>
      </c>
      <c r="D316" s="90" t="s">
        <v>204</v>
      </c>
      <c r="E316" s="90" t="s">
        <v>761</v>
      </c>
      <c r="F316" s="90" t="s">
        <v>761</v>
      </c>
    </row>
    <row r="317" spans="2:6">
      <c r="B317" s="88">
        <v>403</v>
      </c>
      <c r="C317" s="89" t="s">
        <v>573</v>
      </c>
      <c r="D317" s="87" t="s">
        <v>569</v>
      </c>
      <c r="E317" s="179" t="s">
        <v>560</v>
      </c>
      <c r="F317" s="179" t="s">
        <v>560</v>
      </c>
    </row>
    <row r="318" spans="2:6">
      <c r="B318" s="88">
        <v>404</v>
      </c>
      <c r="D318" s="90" t="s">
        <v>205</v>
      </c>
      <c r="E318" s="90" t="s">
        <v>762</v>
      </c>
      <c r="F318" s="90" t="s">
        <v>762</v>
      </c>
    </row>
    <row r="319" spans="2:6">
      <c r="B319" s="88">
        <v>405</v>
      </c>
      <c r="C319" s="89" t="s">
        <v>573</v>
      </c>
      <c r="D319" s="90" t="s">
        <v>567</v>
      </c>
      <c r="E319" s="179" t="s">
        <v>558</v>
      </c>
      <c r="F319" s="179" t="s">
        <v>558</v>
      </c>
    </row>
    <row r="320" spans="2:6">
      <c r="B320" s="88">
        <v>406</v>
      </c>
      <c r="D320" s="90" t="s">
        <v>206</v>
      </c>
      <c r="E320" s="90" t="s">
        <v>763</v>
      </c>
      <c r="F320" s="90" t="s">
        <v>763</v>
      </c>
    </row>
    <row r="321" spans="1:6" ht="36">
      <c r="B321" s="88">
        <v>407</v>
      </c>
      <c r="D321" s="90" t="s">
        <v>207</v>
      </c>
      <c r="E321" s="90" t="s">
        <v>764</v>
      </c>
      <c r="F321" s="90" t="s">
        <v>764</v>
      </c>
    </row>
    <row r="322" spans="1:6">
      <c r="B322" s="88">
        <v>408</v>
      </c>
      <c r="D322" s="90" t="s">
        <v>208</v>
      </c>
      <c r="E322" s="90" t="s">
        <v>765</v>
      </c>
      <c r="F322" s="90" t="s">
        <v>765</v>
      </c>
    </row>
    <row r="323" spans="1:6">
      <c r="B323" s="88">
        <v>409</v>
      </c>
      <c r="D323" s="90" t="s">
        <v>1028</v>
      </c>
      <c r="E323" s="90" t="s">
        <v>1029</v>
      </c>
      <c r="F323" s="90" t="s">
        <v>1029</v>
      </c>
    </row>
    <row r="324" spans="1:6" ht="24">
      <c r="B324" s="88">
        <v>410</v>
      </c>
      <c r="D324" s="90" t="s">
        <v>209</v>
      </c>
      <c r="E324" s="90" t="s">
        <v>766</v>
      </c>
      <c r="F324" s="90" t="s">
        <v>766</v>
      </c>
    </row>
    <row r="325" spans="1:6">
      <c r="B325" s="88">
        <v>411</v>
      </c>
      <c r="D325" s="90" t="s">
        <v>1036</v>
      </c>
      <c r="E325" s="90" t="s">
        <v>1037</v>
      </c>
      <c r="F325" s="90" t="s">
        <v>1037</v>
      </c>
    </row>
    <row r="326" spans="1:6">
      <c r="B326" s="88">
        <v>412</v>
      </c>
      <c r="D326" s="90" t="s">
        <v>1026</v>
      </c>
      <c r="E326" s="90" t="s">
        <v>1027</v>
      </c>
      <c r="F326" s="90" t="s">
        <v>1027</v>
      </c>
    </row>
    <row r="327" spans="1:6">
      <c r="A327" s="176"/>
      <c r="B327" s="88">
        <v>413</v>
      </c>
      <c r="C327" s="177" t="s">
        <v>489</v>
      </c>
      <c r="D327" s="175" t="s">
        <v>518</v>
      </c>
      <c r="E327" s="175" t="s">
        <v>532</v>
      </c>
      <c r="F327" s="175" t="s">
        <v>532</v>
      </c>
    </row>
    <row r="328" spans="1:6">
      <c r="A328" s="176"/>
      <c r="B328" s="88">
        <v>414</v>
      </c>
      <c r="C328" s="177" t="s">
        <v>489</v>
      </c>
      <c r="D328" s="175" t="s">
        <v>519</v>
      </c>
      <c r="E328" s="175" t="s">
        <v>767</v>
      </c>
      <c r="F328" s="175" t="s">
        <v>767</v>
      </c>
    </row>
    <row r="329" spans="1:6">
      <c r="A329" s="176"/>
      <c r="B329" s="88">
        <v>415</v>
      </c>
      <c r="C329" s="177" t="s">
        <v>489</v>
      </c>
      <c r="D329" s="175" t="s">
        <v>520</v>
      </c>
      <c r="E329" s="175" t="s">
        <v>768</v>
      </c>
      <c r="F329" s="175" t="s">
        <v>768</v>
      </c>
    </row>
    <row r="330" spans="1:6">
      <c r="B330" s="88">
        <v>416</v>
      </c>
      <c r="D330" s="90" t="s">
        <v>210</v>
      </c>
      <c r="E330" s="90" t="s">
        <v>532</v>
      </c>
      <c r="F330" s="90" t="s">
        <v>532</v>
      </c>
    </row>
    <row r="331" spans="1:6">
      <c r="B331" s="88">
        <v>417</v>
      </c>
      <c r="D331" s="90" t="s">
        <v>211</v>
      </c>
      <c r="E331" s="175" t="s">
        <v>769</v>
      </c>
      <c r="F331" s="175" t="s">
        <v>769</v>
      </c>
    </row>
    <row r="332" spans="1:6">
      <c r="B332" s="88">
        <v>418</v>
      </c>
      <c r="D332" s="90" t="s">
        <v>212</v>
      </c>
      <c r="E332" s="90" t="s">
        <v>770</v>
      </c>
      <c r="F332" s="90" t="s">
        <v>770</v>
      </c>
    </row>
    <row r="333" spans="1:6">
      <c r="B333" s="88">
        <v>419</v>
      </c>
      <c r="D333" s="90" t="s">
        <v>213</v>
      </c>
      <c r="E333" s="90" t="s">
        <v>771</v>
      </c>
      <c r="F333" s="90" t="s">
        <v>771</v>
      </c>
    </row>
    <row r="334" spans="1:6">
      <c r="B334" s="88">
        <v>420</v>
      </c>
      <c r="D334" s="90" t="s">
        <v>214</v>
      </c>
      <c r="E334" s="90" t="s">
        <v>772</v>
      </c>
      <c r="F334" s="90" t="s">
        <v>772</v>
      </c>
    </row>
    <row r="335" spans="1:6">
      <c r="B335" s="88">
        <v>421</v>
      </c>
      <c r="D335" s="90" t="s">
        <v>215</v>
      </c>
      <c r="E335" s="90" t="s">
        <v>773</v>
      </c>
      <c r="F335" s="90" t="s">
        <v>773</v>
      </c>
    </row>
    <row r="336" spans="1:6">
      <c r="B336" s="88">
        <v>422</v>
      </c>
      <c r="D336" s="90" t="s">
        <v>216</v>
      </c>
      <c r="E336" s="90" t="s">
        <v>774</v>
      </c>
      <c r="F336" s="90" t="s">
        <v>774</v>
      </c>
    </row>
    <row r="337" spans="2:6">
      <c r="B337" s="88">
        <v>423</v>
      </c>
      <c r="D337" s="90" t="s">
        <v>217</v>
      </c>
      <c r="E337" s="90" t="s">
        <v>775</v>
      </c>
      <c r="F337" s="90" t="s">
        <v>775</v>
      </c>
    </row>
    <row r="338" spans="2:6">
      <c r="B338" s="88">
        <v>424</v>
      </c>
      <c r="D338" s="90" t="s">
        <v>218</v>
      </c>
      <c r="E338" s="90" t="s">
        <v>776</v>
      </c>
      <c r="F338" s="90" t="s">
        <v>776</v>
      </c>
    </row>
    <row r="339" spans="2:6">
      <c r="B339" s="88">
        <v>425</v>
      </c>
      <c r="D339" s="90" t="s">
        <v>219</v>
      </c>
      <c r="E339" s="90" t="s">
        <v>777</v>
      </c>
      <c r="F339" s="90" t="s">
        <v>777</v>
      </c>
    </row>
    <row r="340" spans="2:6">
      <c r="B340" s="88">
        <v>426</v>
      </c>
      <c r="D340" s="90" t="s">
        <v>220</v>
      </c>
      <c r="E340" s="90" t="s">
        <v>778</v>
      </c>
      <c r="F340" s="90" t="s">
        <v>778</v>
      </c>
    </row>
    <row r="341" spans="2:6">
      <c r="B341" s="88">
        <v>427</v>
      </c>
      <c r="D341" s="90" t="s">
        <v>221</v>
      </c>
      <c r="E341" s="90" t="s">
        <v>779</v>
      </c>
      <c r="F341" s="90" t="s">
        <v>779</v>
      </c>
    </row>
    <row r="342" spans="2:6">
      <c r="B342" s="88">
        <v>428</v>
      </c>
      <c r="D342" s="90" t="s">
        <v>222</v>
      </c>
      <c r="E342" s="90" t="s">
        <v>780</v>
      </c>
      <c r="F342" s="90" t="s">
        <v>780</v>
      </c>
    </row>
    <row r="343" spans="2:6">
      <c r="B343" s="88">
        <v>429</v>
      </c>
      <c r="D343" s="90" t="s">
        <v>223</v>
      </c>
      <c r="E343" s="90" t="s">
        <v>781</v>
      </c>
      <c r="F343" s="90" t="s">
        <v>781</v>
      </c>
    </row>
    <row r="344" spans="2:6">
      <c r="B344" s="88">
        <v>430</v>
      </c>
      <c r="D344" s="90" t="s">
        <v>1041</v>
      </c>
      <c r="E344" s="90" t="s">
        <v>1042</v>
      </c>
      <c r="F344" s="90" t="s">
        <v>1042</v>
      </c>
    </row>
    <row r="345" spans="2:6">
      <c r="B345" s="88">
        <v>431</v>
      </c>
      <c r="D345" s="90" t="s">
        <v>1039</v>
      </c>
      <c r="E345" s="90" t="s">
        <v>1040</v>
      </c>
      <c r="F345" s="90" t="s">
        <v>1040</v>
      </c>
    </row>
    <row r="346" spans="2:6">
      <c r="B346" s="88">
        <v>432</v>
      </c>
      <c r="D346" s="90" t="s">
        <v>224</v>
      </c>
      <c r="E346" s="90" t="s">
        <v>997</v>
      </c>
      <c r="F346" s="90" t="s">
        <v>997</v>
      </c>
    </row>
    <row r="347" spans="2:6">
      <c r="B347" s="88">
        <v>433</v>
      </c>
      <c r="D347" s="90" t="s">
        <v>225</v>
      </c>
      <c r="E347" s="90" t="s">
        <v>782</v>
      </c>
      <c r="F347" s="90" t="s">
        <v>782</v>
      </c>
    </row>
    <row r="348" spans="2:6">
      <c r="B348" s="88">
        <v>434</v>
      </c>
      <c r="D348" s="90" t="s">
        <v>226</v>
      </c>
      <c r="E348" s="90" t="s">
        <v>783</v>
      </c>
      <c r="F348" s="90" t="s">
        <v>783</v>
      </c>
    </row>
    <row r="349" spans="2:6">
      <c r="B349" s="88">
        <v>435</v>
      </c>
      <c r="D349" s="90" t="s">
        <v>227</v>
      </c>
      <c r="E349" s="90" t="s">
        <v>784</v>
      </c>
      <c r="F349" s="90" t="s">
        <v>784</v>
      </c>
    </row>
    <row r="350" spans="2:6">
      <c r="B350" s="88">
        <v>436</v>
      </c>
      <c r="D350" s="90" t="s">
        <v>228</v>
      </c>
      <c r="E350" s="90" t="s">
        <v>1020</v>
      </c>
      <c r="F350" s="90" t="s">
        <v>1020</v>
      </c>
    </row>
    <row r="351" spans="2:6">
      <c r="B351" s="88">
        <v>437</v>
      </c>
      <c r="D351" s="90" t="s">
        <v>229</v>
      </c>
      <c r="E351" s="90" t="s">
        <v>1021</v>
      </c>
      <c r="F351" s="90" t="s">
        <v>1021</v>
      </c>
    </row>
    <row r="352" spans="2:6">
      <c r="B352" s="88">
        <v>438</v>
      </c>
      <c r="D352" s="90" t="s">
        <v>1043</v>
      </c>
      <c r="E352" s="90" t="s">
        <v>1044</v>
      </c>
      <c r="F352" s="90" t="s">
        <v>1044</v>
      </c>
    </row>
    <row r="353" spans="2:6">
      <c r="B353" s="88">
        <v>439</v>
      </c>
      <c r="D353" s="90" t="s">
        <v>1016</v>
      </c>
      <c r="E353" s="90" t="s">
        <v>1017</v>
      </c>
      <c r="F353" s="90" t="s">
        <v>1017</v>
      </c>
    </row>
    <row r="354" spans="2:6">
      <c r="B354" s="88">
        <v>440</v>
      </c>
      <c r="D354" s="90" t="s">
        <v>467</v>
      </c>
      <c r="E354" s="90" t="s">
        <v>467</v>
      </c>
      <c r="F354" s="90" t="s">
        <v>467</v>
      </c>
    </row>
    <row r="355" spans="2:6" ht="24">
      <c r="B355" s="88">
        <v>441</v>
      </c>
      <c r="C355" s="89" t="s">
        <v>1127</v>
      </c>
      <c r="D355" s="90" t="s">
        <v>1188</v>
      </c>
      <c r="E355" s="90" t="s">
        <v>1187</v>
      </c>
      <c r="F355" s="90" t="s">
        <v>1187</v>
      </c>
    </row>
    <row r="356" spans="2:6">
      <c r="B356" s="88">
        <v>442</v>
      </c>
      <c r="D356" s="90" t="s">
        <v>1241</v>
      </c>
      <c r="E356" s="90" t="s">
        <v>1246</v>
      </c>
      <c r="F356" s="90" t="s">
        <v>1246</v>
      </c>
    </row>
    <row r="357" spans="2:6">
      <c r="B357" s="88">
        <v>443</v>
      </c>
      <c r="C357" s="89" t="s">
        <v>573</v>
      </c>
      <c r="D357" s="90" t="s">
        <v>956</v>
      </c>
      <c r="E357" s="90" t="s">
        <v>958</v>
      </c>
      <c r="F357" s="90" t="s">
        <v>958</v>
      </c>
    </row>
    <row r="358" spans="2:6">
      <c r="B358" s="88">
        <v>444</v>
      </c>
      <c r="D358" s="90" t="s">
        <v>230</v>
      </c>
      <c r="E358" s="90" t="s">
        <v>998</v>
      </c>
      <c r="F358" s="90" t="s">
        <v>998</v>
      </c>
    </row>
    <row r="359" spans="2:6" ht="24">
      <c r="B359" s="88">
        <v>445</v>
      </c>
      <c r="D359" s="90" t="s">
        <v>231</v>
      </c>
      <c r="E359" s="90" t="s">
        <v>785</v>
      </c>
      <c r="F359" s="90" t="s">
        <v>785</v>
      </c>
    </row>
    <row r="360" spans="2:6">
      <c r="B360" s="88">
        <v>446</v>
      </c>
      <c r="D360" s="90" t="s">
        <v>232</v>
      </c>
      <c r="E360" s="90" t="s">
        <v>786</v>
      </c>
      <c r="F360" s="90" t="s">
        <v>786</v>
      </c>
    </row>
    <row r="361" spans="2:6">
      <c r="B361" s="88">
        <v>447</v>
      </c>
      <c r="D361" s="90" t="s">
        <v>1254</v>
      </c>
      <c r="E361" s="90" t="s">
        <v>1251</v>
      </c>
      <c r="F361" s="90" t="s">
        <v>1251</v>
      </c>
    </row>
    <row r="362" spans="2:6" ht="24">
      <c r="B362" s="88">
        <v>448</v>
      </c>
      <c r="D362" s="90" t="s">
        <v>233</v>
      </c>
      <c r="E362" s="90" t="s">
        <v>787</v>
      </c>
      <c r="F362" s="90" t="s">
        <v>787</v>
      </c>
    </row>
    <row r="363" spans="2:6">
      <c r="B363" s="88">
        <v>449</v>
      </c>
      <c r="D363" s="175" t="s">
        <v>521</v>
      </c>
      <c r="E363" s="90" t="s">
        <v>522</v>
      </c>
      <c r="F363" s="90" t="s">
        <v>522</v>
      </c>
    </row>
    <row r="364" spans="2:6">
      <c r="B364" s="88">
        <v>450</v>
      </c>
      <c r="D364" s="90" t="s">
        <v>468</v>
      </c>
      <c r="E364" s="90" t="s">
        <v>788</v>
      </c>
      <c r="F364" s="90" t="s">
        <v>788</v>
      </c>
    </row>
    <row r="365" spans="2:6">
      <c r="B365" s="88">
        <v>451</v>
      </c>
      <c r="D365" s="90" t="s">
        <v>234</v>
      </c>
      <c r="E365" s="90" t="s">
        <v>789</v>
      </c>
      <c r="F365" s="90" t="s">
        <v>789</v>
      </c>
    </row>
    <row r="366" spans="2:6">
      <c r="B366" s="88">
        <v>452</v>
      </c>
      <c r="D366" s="90" t="s">
        <v>469</v>
      </c>
      <c r="E366" s="90" t="s">
        <v>954</v>
      </c>
      <c r="F366" s="90" t="s">
        <v>954</v>
      </c>
    </row>
    <row r="367" spans="2:6">
      <c r="B367" s="88">
        <v>453</v>
      </c>
      <c r="D367" s="90" t="s">
        <v>235</v>
      </c>
      <c r="E367" s="90" t="s">
        <v>790</v>
      </c>
      <c r="F367" s="90" t="s">
        <v>790</v>
      </c>
    </row>
    <row r="368" spans="2:6">
      <c r="B368" s="88">
        <v>454</v>
      </c>
      <c r="D368" s="90" t="s">
        <v>236</v>
      </c>
      <c r="E368" s="90" t="s">
        <v>791</v>
      </c>
      <c r="F368" s="90" t="s">
        <v>791</v>
      </c>
    </row>
    <row r="369" spans="2:6">
      <c r="B369" s="88">
        <v>455</v>
      </c>
      <c r="C369" s="89" t="s">
        <v>1127</v>
      </c>
      <c r="D369" s="90" t="s">
        <v>1178</v>
      </c>
      <c r="E369" s="90" t="s">
        <v>556</v>
      </c>
      <c r="F369" s="90" t="s">
        <v>556</v>
      </c>
    </row>
    <row r="370" spans="2:6">
      <c r="B370" s="88">
        <v>456</v>
      </c>
      <c r="D370" s="90" t="s">
        <v>237</v>
      </c>
      <c r="E370" s="90" t="s">
        <v>556</v>
      </c>
      <c r="F370" s="90" t="s">
        <v>556</v>
      </c>
    </row>
    <row r="371" spans="2:6">
      <c r="B371" s="88">
        <v>457</v>
      </c>
      <c r="D371" s="90" t="s">
        <v>238</v>
      </c>
      <c r="E371" s="90" t="s">
        <v>792</v>
      </c>
      <c r="F371" s="90" t="s">
        <v>792</v>
      </c>
    </row>
    <row r="372" spans="2:6">
      <c r="B372" s="88">
        <v>458</v>
      </c>
      <c r="D372" s="90" t="s">
        <v>1335</v>
      </c>
      <c r="E372" s="90" t="s">
        <v>1334</v>
      </c>
      <c r="F372" s="90" t="s">
        <v>1334</v>
      </c>
    </row>
    <row r="373" spans="2:6">
      <c r="B373" s="88">
        <v>459</v>
      </c>
      <c r="D373" s="90" t="s">
        <v>239</v>
      </c>
      <c r="E373" s="90" t="s">
        <v>793</v>
      </c>
      <c r="F373" s="90" t="s">
        <v>793</v>
      </c>
    </row>
    <row r="374" spans="2:6">
      <c r="B374" s="88">
        <v>460</v>
      </c>
      <c r="D374" s="90" t="s">
        <v>240</v>
      </c>
      <c r="F374" s="90"/>
    </row>
    <row r="375" spans="2:6">
      <c r="B375" s="88">
        <v>461</v>
      </c>
      <c r="D375" s="90" t="s">
        <v>470</v>
      </c>
      <c r="E375" s="90" t="s">
        <v>794</v>
      </c>
      <c r="F375" s="90" t="s">
        <v>794</v>
      </c>
    </row>
    <row r="376" spans="2:6" ht="24">
      <c r="B376" s="88">
        <v>462</v>
      </c>
      <c r="D376" s="90" t="s">
        <v>1320</v>
      </c>
      <c r="E376" s="90" t="s">
        <v>795</v>
      </c>
      <c r="F376" s="90" t="s">
        <v>795</v>
      </c>
    </row>
    <row r="377" spans="2:6" ht="24">
      <c r="B377" s="88">
        <v>463</v>
      </c>
      <c r="D377" s="90" t="s">
        <v>241</v>
      </c>
      <c r="E377" s="90" t="s">
        <v>796</v>
      </c>
      <c r="F377" s="90" t="s">
        <v>796</v>
      </c>
    </row>
    <row r="378" spans="2:6">
      <c r="B378" s="88">
        <v>464</v>
      </c>
      <c r="D378" s="90" t="s">
        <v>242</v>
      </c>
      <c r="E378" s="90" t="s">
        <v>797</v>
      </c>
      <c r="F378" s="90" t="s">
        <v>797</v>
      </c>
    </row>
    <row r="379" spans="2:6">
      <c r="B379" s="88">
        <v>465</v>
      </c>
      <c r="D379" s="90" t="s">
        <v>243</v>
      </c>
      <c r="E379" s="90" t="s">
        <v>798</v>
      </c>
      <c r="F379" s="90" t="s">
        <v>798</v>
      </c>
    </row>
    <row r="380" spans="2:6">
      <c r="B380" s="88">
        <v>466</v>
      </c>
      <c r="C380" s="89" t="s">
        <v>1127</v>
      </c>
      <c r="D380" s="90" t="s">
        <v>1171</v>
      </c>
      <c r="E380" s="90" t="s">
        <v>1134</v>
      </c>
      <c r="F380" s="90" t="s">
        <v>1134</v>
      </c>
    </row>
    <row r="381" spans="2:6">
      <c r="B381" s="88">
        <v>467</v>
      </c>
      <c r="C381" s="89" t="s">
        <v>1127</v>
      </c>
      <c r="D381" s="90" t="s">
        <v>1175</v>
      </c>
      <c r="E381" s="90" t="s">
        <v>1140</v>
      </c>
      <c r="F381" s="90" t="s">
        <v>1140</v>
      </c>
    </row>
    <row r="382" spans="2:6">
      <c r="B382" s="88">
        <v>468</v>
      </c>
      <c r="D382" s="90" t="s">
        <v>244</v>
      </c>
      <c r="E382" s="90" t="s">
        <v>799</v>
      </c>
      <c r="F382" s="90" t="s">
        <v>799</v>
      </c>
    </row>
    <row r="383" spans="2:6">
      <c r="B383" s="88">
        <v>469</v>
      </c>
      <c r="C383" s="89" t="s">
        <v>1127</v>
      </c>
      <c r="D383" s="90" t="s">
        <v>1167</v>
      </c>
      <c r="E383" s="90" t="s">
        <v>1130</v>
      </c>
      <c r="F383" s="90" t="s">
        <v>1130</v>
      </c>
    </row>
    <row r="384" spans="2:6" ht="24">
      <c r="B384" s="88">
        <v>470</v>
      </c>
      <c r="C384" s="89" t="s">
        <v>1127</v>
      </c>
      <c r="D384" s="90" t="s">
        <v>1169</v>
      </c>
      <c r="E384" s="90" t="s">
        <v>1133</v>
      </c>
      <c r="F384" s="90" t="s">
        <v>1133</v>
      </c>
    </row>
    <row r="385" spans="2:6">
      <c r="B385" s="88">
        <v>471</v>
      </c>
      <c r="C385" s="89" t="s">
        <v>1127</v>
      </c>
      <c r="D385" s="90" t="s">
        <v>1170</v>
      </c>
      <c r="E385" s="90" t="s">
        <v>1132</v>
      </c>
      <c r="F385" s="90" t="s">
        <v>1132</v>
      </c>
    </row>
    <row r="386" spans="2:6">
      <c r="B386" s="88">
        <v>472</v>
      </c>
      <c r="D386" s="90" t="s">
        <v>245</v>
      </c>
      <c r="E386" s="90" t="s">
        <v>800</v>
      </c>
      <c r="F386" s="90" t="s">
        <v>800</v>
      </c>
    </row>
    <row r="387" spans="2:6">
      <c r="B387" s="88">
        <v>473</v>
      </c>
      <c r="D387" s="90" t="s">
        <v>246</v>
      </c>
      <c r="E387" s="90" t="s">
        <v>801</v>
      </c>
      <c r="F387" s="90" t="s">
        <v>801</v>
      </c>
    </row>
    <row r="388" spans="2:6" ht="36">
      <c r="B388" s="88">
        <v>474</v>
      </c>
      <c r="C388" s="89" t="s">
        <v>1127</v>
      </c>
      <c r="D388" s="90" t="s">
        <v>1190</v>
      </c>
      <c r="E388" s="90" t="s">
        <v>1151</v>
      </c>
      <c r="F388" s="90" t="s">
        <v>1151</v>
      </c>
    </row>
    <row r="389" spans="2:6">
      <c r="B389" s="88">
        <v>475</v>
      </c>
      <c r="D389" s="90" t="s">
        <v>247</v>
      </c>
      <c r="E389" s="90" t="s">
        <v>802</v>
      </c>
      <c r="F389" s="90" t="s">
        <v>802</v>
      </c>
    </row>
    <row r="390" spans="2:6">
      <c r="B390" s="88">
        <v>476</v>
      </c>
      <c r="D390" s="90" t="s">
        <v>1343</v>
      </c>
      <c r="E390" s="90" t="s">
        <v>1344</v>
      </c>
      <c r="F390" s="90" t="s">
        <v>1344</v>
      </c>
    </row>
    <row r="391" spans="2:6">
      <c r="B391" s="88">
        <v>477</v>
      </c>
      <c r="D391" s="90" t="s">
        <v>248</v>
      </c>
      <c r="E391" s="90" t="s">
        <v>547</v>
      </c>
      <c r="F391" s="90" t="s">
        <v>547</v>
      </c>
    </row>
    <row r="392" spans="2:6">
      <c r="B392" s="88">
        <v>478</v>
      </c>
      <c r="D392" s="90" t="s">
        <v>249</v>
      </c>
      <c r="E392" s="90" t="s">
        <v>803</v>
      </c>
      <c r="F392" s="90" t="s">
        <v>803</v>
      </c>
    </row>
    <row r="393" spans="2:6">
      <c r="B393" s="88">
        <v>479</v>
      </c>
      <c r="D393" s="90" t="s">
        <v>250</v>
      </c>
      <c r="E393" s="90" t="s">
        <v>804</v>
      </c>
      <c r="F393" s="90" t="s">
        <v>804</v>
      </c>
    </row>
    <row r="394" spans="2:6">
      <c r="B394" s="88">
        <v>480</v>
      </c>
      <c r="D394" s="90" t="s">
        <v>251</v>
      </c>
      <c r="E394" s="90" t="s">
        <v>805</v>
      </c>
      <c r="F394" s="90" t="s">
        <v>805</v>
      </c>
    </row>
    <row r="395" spans="2:6" ht="24">
      <c r="B395" s="88">
        <v>481</v>
      </c>
      <c r="D395" s="90" t="s">
        <v>252</v>
      </c>
      <c r="E395" s="90" t="s">
        <v>806</v>
      </c>
      <c r="F395" s="90" t="s">
        <v>806</v>
      </c>
    </row>
    <row r="396" spans="2:6">
      <c r="B396" s="88">
        <v>482</v>
      </c>
      <c r="D396" s="90" t="s">
        <v>1341</v>
      </c>
      <c r="E396" s="90" t="s">
        <v>1333</v>
      </c>
      <c r="F396" s="90" t="s">
        <v>1333</v>
      </c>
    </row>
    <row r="397" spans="2:6">
      <c r="B397" s="88">
        <v>483</v>
      </c>
      <c r="D397" s="90" t="s">
        <v>1339</v>
      </c>
      <c r="E397" s="90" t="s">
        <v>1328</v>
      </c>
      <c r="F397" s="90" t="s">
        <v>1328</v>
      </c>
    </row>
    <row r="398" spans="2:6">
      <c r="B398" s="88">
        <v>484</v>
      </c>
      <c r="D398" s="90" t="s">
        <v>1340</v>
      </c>
      <c r="E398" s="90" t="s">
        <v>1329</v>
      </c>
      <c r="F398" s="90" t="s">
        <v>1329</v>
      </c>
    </row>
    <row r="399" spans="2:6">
      <c r="B399" s="88">
        <v>485</v>
      </c>
      <c r="D399" s="90" t="s">
        <v>253</v>
      </c>
      <c r="E399" s="90" t="s">
        <v>807</v>
      </c>
      <c r="F399" s="90" t="s">
        <v>807</v>
      </c>
    </row>
    <row r="400" spans="2:6">
      <c r="B400" s="88">
        <v>486</v>
      </c>
      <c r="C400" s="89" t="s">
        <v>573</v>
      </c>
      <c r="D400" s="90" t="s">
        <v>952</v>
      </c>
      <c r="E400" s="90" t="s">
        <v>953</v>
      </c>
      <c r="F400" s="90" t="s">
        <v>953</v>
      </c>
    </row>
    <row r="401" spans="2:6">
      <c r="B401" s="88">
        <v>487</v>
      </c>
      <c r="D401" s="90" t="s">
        <v>254</v>
      </c>
      <c r="E401" s="90" t="s">
        <v>808</v>
      </c>
      <c r="F401" s="90" t="s">
        <v>808</v>
      </c>
    </row>
    <row r="402" spans="2:6">
      <c r="B402" s="88">
        <v>488</v>
      </c>
      <c r="C402" s="89" t="s">
        <v>986</v>
      </c>
      <c r="D402" s="90" t="s">
        <v>982</v>
      </c>
      <c r="E402" s="90" t="s">
        <v>978</v>
      </c>
      <c r="F402" s="90" t="s">
        <v>978</v>
      </c>
    </row>
    <row r="403" spans="2:6">
      <c r="B403" s="88">
        <v>489</v>
      </c>
      <c r="C403" s="89" t="s">
        <v>986</v>
      </c>
      <c r="D403" s="90" t="s">
        <v>981</v>
      </c>
      <c r="E403" s="90" t="s">
        <v>979</v>
      </c>
      <c r="F403" s="90" t="s">
        <v>979</v>
      </c>
    </row>
    <row r="404" spans="2:6">
      <c r="B404" s="88">
        <v>490</v>
      </c>
      <c r="D404" s="90" t="s">
        <v>255</v>
      </c>
      <c r="E404" s="90" t="s">
        <v>554</v>
      </c>
      <c r="F404" s="90" t="s">
        <v>554</v>
      </c>
    </row>
    <row r="405" spans="2:6">
      <c r="B405" s="88">
        <v>491</v>
      </c>
      <c r="D405" s="90" t="s">
        <v>256</v>
      </c>
      <c r="E405" s="90" t="s">
        <v>809</v>
      </c>
      <c r="F405" s="90" t="s">
        <v>809</v>
      </c>
    </row>
    <row r="406" spans="2:6">
      <c r="B406" s="88">
        <v>492</v>
      </c>
      <c r="C406" s="89" t="s">
        <v>1127</v>
      </c>
      <c r="D406" s="90" t="s">
        <v>1393</v>
      </c>
      <c r="E406" s="90" t="s">
        <v>1139</v>
      </c>
      <c r="F406" s="90" t="s">
        <v>1139</v>
      </c>
    </row>
    <row r="407" spans="2:6">
      <c r="B407" s="88">
        <v>493</v>
      </c>
      <c r="D407" s="90" t="s">
        <v>257</v>
      </c>
      <c r="E407" s="90" t="s">
        <v>810</v>
      </c>
      <c r="F407" s="90" t="s">
        <v>810</v>
      </c>
    </row>
    <row r="408" spans="2:6" ht="48">
      <c r="B408" s="88">
        <v>494</v>
      </c>
      <c r="D408" s="90" t="s">
        <v>258</v>
      </c>
      <c r="E408" s="90" t="s">
        <v>811</v>
      </c>
      <c r="F408" s="90" t="s">
        <v>811</v>
      </c>
    </row>
    <row r="409" spans="2:6">
      <c r="B409" s="88">
        <v>495</v>
      </c>
      <c r="D409" s="90" t="s">
        <v>259</v>
      </c>
      <c r="E409" s="90" t="s">
        <v>812</v>
      </c>
      <c r="F409" s="90" t="s">
        <v>812</v>
      </c>
    </row>
    <row r="410" spans="2:6" ht="24">
      <c r="B410" s="88">
        <v>496</v>
      </c>
      <c r="D410" s="90" t="s">
        <v>260</v>
      </c>
      <c r="E410" s="90" t="s">
        <v>813</v>
      </c>
      <c r="F410" s="90" t="s">
        <v>813</v>
      </c>
    </row>
    <row r="411" spans="2:6" ht="24">
      <c r="B411" s="88">
        <v>497</v>
      </c>
      <c r="D411" s="90" t="s">
        <v>261</v>
      </c>
      <c r="E411" s="90" t="s">
        <v>814</v>
      </c>
      <c r="F411" s="90" t="s">
        <v>814</v>
      </c>
    </row>
    <row r="412" spans="2:6" ht="24">
      <c r="B412" s="88">
        <v>498</v>
      </c>
      <c r="D412" s="90" t="s">
        <v>262</v>
      </c>
      <c r="E412" s="90" t="s">
        <v>815</v>
      </c>
      <c r="F412" s="90" t="s">
        <v>815</v>
      </c>
    </row>
    <row r="413" spans="2:6" ht="24">
      <c r="B413" s="88">
        <v>499</v>
      </c>
      <c r="D413" s="90" t="s">
        <v>263</v>
      </c>
      <c r="E413" s="90" t="s">
        <v>816</v>
      </c>
      <c r="F413" s="90" t="s">
        <v>816</v>
      </c>
    </row>
    <row r="414" spans="2:6" ht="24">
      <c r="B414" s="88">
        <v>500</v>
      </c>
      <c r="D414" s="90" t="s">
        <v>264</v>
      </c>
      <c r="E414" s="90" t="s">
        <v>817</v>
      </c>
      <c r="F414" s="90" t="s">
        <v>817</v>
      </c>
    </row>
    <row r="415" spans="2:6" ht="24">
      <c r="B415" s="88">
        <v>501</v>
      </c>
      <c r="D415" s="90" t="s">
        <v>265</v>
      </c>
      <c r="E415" s="90" t="s">
        <v>818</v>
      </c>
      <c r="F415" s="90" t="s">
        <v>818</v>
      </c>
    </row>
    <row r="416" spans="2:6" ht="24">
      <c r="B416" s="88">
        <v>502</v>
      </c>
      <c r="D416" s="90" t="s">
        <v>266</v>
      </c>
      <c r="E416" s="90" t="s">
        <v>819</v>
      </c>
      <c r="F416" s="90" t="s">
        <v>819</v>
      </c>
    </row>
    <row r="417" spans="2:6" ht="24">
      <c r="B417" s="88">
        <v>503</v>
      </c>
      <c r="D417" s="90" t="s">
        <v>267</v>
      </c>
      <c r="E417" s="90" t="s">
        <v>820</v>
      </c>
      <c r="F417" s="90" t="s">
        <v>820</v>
      </c>
    </row>
    <row r="418" spans="2:6" ht="24">
      <c r="B418" s="88">
        <v>504</v>
      </c>
      <c r="D418" s="90" t="s">
        <v>268</v>
      </c>
      <c r="E418" s="90" t="s">
        <v>821</v>
      </c>
      <c r="F418" s="90" t="s">
        <v>821</v>
      </c>
    </row>
    <row r="419" spans="2:6" ht="24">
      <c r="B419" s="88">
        <v>505</v>
      </c>
      <c r="D419" s="90" t="s">
        <v>269</v>
      </c>
      <c r="E419" s="90" t="s">
        <v>822</v>
      </c>
      <c r="F419" s="90" t="s">
        <v>822</v>
      </c>
    </row>
    <row r="420" spans="2:6" ht="24">
      <c r="B420" s="88">
        <v>506</v>
      </c>
      <c r="D420" s="90" t="s">
        <v>270</v>
      </c>
      <c r="E420" s="90" t="s">
        <v>823</v>
      </c>
      <c r="F420" s="90" t="s">
        <v>823</v>
      </c>
    </row>
    <row r="421" spans="2:6" ht="24">
      <c r="B421" s="88">
        <v>507</v>
      </c>
      <c r="D421" s="90" t="s">
        <v>271</v>
      </c>
      <c r="E421" s="90" t="s">
        <v>824</v>
      </c>
      <c r="F421" s="90" t="s">
        <v>824</v>
      </c>
    </row>
    <row r="422" spans="2:6" ht="24">
      <c r="B422" s="88">
        <v>508</v>
      </c>
      <c r="D422" s="90" t="s">
        <v>272</v>
      </c>
      <c r="E422" s="90" t="s">
        <v>825</v>
      </c>
      <c r="F422" s="90" t="s">
        <v>825</v>
      </c>
    </row>
    <row r="423" spans="2:6" ht="24">
      <c r="B423" s="88">
        <v>509</v>
      </c>
      <c r="D423" s="90" t="s">
        <v>273</v>
      </c>
      <c r="E423" s="90" t="s">
        <v>826</v>
      </c>
      <c r="F423" s="90" t="s">
        <v>826</v>
      </c>
    </row>
    <row r="424" spans="2:6" ht="24">
      <c r="B424" s="88">
        <v>510</v>
      </c>
      <c r="D424" s="90" t="s">
        <v>274</v>
      </c>
      <c r="E424" s="90" t="s">
        <v>827</v>
      </c>
      <c r="F424" s="90" t="s">
        <v>827</v>
      </c>
    </row>
    <row r="425" spans="2:6" ht="24">
      <c r="B425" s="88">
        <v>511</v>
      </c>
      <c r="D425" s="90" t="s">
        <v>275</v>
      </c>
      <c r="E425" s="90" t="s">
        <v>828</v>
      </c>
      <c r="F425" s="90" t="s">
        <v>828</v>
      </c>
    </row>
    <row r="426" spans="2:6" ht="24">
      <c r="B426" s="88">
        <v>512</v>
      </c>
      <c r="D426" s="90" t="s">
        <v>276</v>
      </c>
      <c r="E426" s="90" t="s">
        <v>829</v>
      </c>
      <c r="F426" s="90" t="s">
        <v>829</v>
      </c>
    </row>
    <row r="427" spans="2:6" ht="24">
      <c r="B427" s="88">
        <v>513</v>
      </c>
      <c r="D427" s="90" t="s">
        <v>277</v>
      </c>
      <c r="E427" s="90" t="s">
        <v>830</v>
      </c>
      <c r="F427" s="90" t="s">
        <v>830</v>
      </c>
    </row>
    <row r="428" spans="2:6" ht="24">
      <c r="B428" s="88">
        <v>514</v>
      </c>
      <c r="D428" s="90" t="s">
        <v>278</v>
      </c>
      <c r="E428" s="90" t="s">
        <v>831</v>
      </c>
      <c r="F428" s="90" t="s">
        <v>831</v>
      </c>
    </row>
    <row r="429" spans="2:6" ht="24">
      <c r="B429" s="88">
        <v>515</v>
      </c>
      <c r="D429" s="90" t="s">
        <v>279</v>
      </c>
      <c r="E429" s="90" t="s">
        <v>832</v>
      </c>
      <c r="F429" s="90" t="s">
        <v>832</v>
      </c>
    </row>
    <row r="430" spans="2:6" ht="24">
      <c r="B430" s="88">
        <v>516</v>
      </c>
      <c r="D430" s="90" t="s">
        <v>280</v>
      </c>
      <c r="E430" s="90" t="s">
        <v>833</v>
      </c>
      <c r="F430" s="90" t="s">
        <v>833</v>
      </c>
    </row>
    <row r="431" spans="2:6" ht="24">
      <c r="B431" s="88">
        <v>517</v>
      </c>
      <c r="D431" s="90" t="s">
        <v>471</v>
      </c>
      <c r="E431" s="90" t="s">
        <v>834</v>
      </c>
      <c r="F431" s="90" t="s">
        <v>834</v>
      </c>
    </row>
    <row r="432" spans="2:6" ht="24">
      <c r="B432" s="88">
        <v>518</v>
      </c>
      <c r="D432" s="90" t="s">
        <v>472</v>
      </c>
      <c r="E432" s="90" t="s">
        <v>834</v>
      </c>
      <c r="F432" s="90" t="s">
        <v>834</v>
      </c>
    </row>
    <row r="433" spans="1:27" ht="24">
      <c r="B433" s="88">
        <v>519</v>
      </c>
      <c r="D433" s="90" t="s">
        <v>281</v>
      </c>
      <c r="E433" s="90" t="s">
        <v>835</v>
      </c>
      <c r="F433" s="90" t="s">
        <v>835</v>
      </c>
    </row>
    <row r="434" spans="1:27" ht="24">
      <c r="B434" s="88">
        <v>520</v>
      </c>
      <c r="D434" s="90" t="s">
        <v>282</v>
      </c>
      <c r="E434" s="90" t="s">
        <v>836</v>
      </c>
      <c r="F434" s="90" t="s">
        <v>836</v>
      </c>
    </row>
    <row r="435" spans="1:27" ht="24">
      <c r="B435" s="88">
        <v>521</v>
      </c>
      <c r="D435" s="90" t="s">
        <v>283</v>
      </c>
      <c r="E435" s="90" t="s">
        <v>837</v>
      </c>
      <c r="F435" s="90" t="s">
        <v>837</v>
      </c>
    </row>
    <row r="436" spans="1:27" ht="24">
      <c r="B436" s="88">
        <v>522</v>
      </c>
      <c r="D436" s="90" t="s">
        <v>284</v>
      </c>
      <c r="E436" s="90" t="s">
        <v>838</v>
      </c>
      <c r="F436" s="90" t="s">
        <v>838</v>
      </c>
    </row>
    <row r="437" spans="1:27" ht="24">
      <c r="B437" s="88">
        <v>523</v>
      </c>
      <c r="D437" s="90" t="s">
        <v>473</v>
      </c>
      <c r="E437" s="90" t="s">
        <v>839</v>
      </c>
      <c r="F437" s="90" t="s">
        <v>839</v>
      </c>
    </row>
    <row r="438" spans="1:27" s="175" customFormat="1" ht="24">
      <c r="A438" s="87"/>
      <c r="B438" s="88">
        <v>524</v>
      </c>
      <c r="C438" s="89"/>
      <c r="D438" s="90" t="s">
        <v>474</v>
      </c>
      <c r="E438" s="90" t="s">
        <v>840</v>
      </c>
      <c r="F438" s="90" t="s">
        <v>840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841</v>
      </c>
      <c r="F439" s="90" t="s">
        <v>841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842</v>
      </c>
      <c r="F440" s="90" t="s">
        <v>842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843</v>
      </c>
      <c r="F441" s="90" t="s">
        <v>843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844</v>
      </c>
      <c r="F442" s="90" t="s">
        <v>844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845</v>
      </c>
      <c r="F443" s="90" t="s">
        <v>845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846</v>
      </c>
      <c r="F444" s="90" t="s">
        <v>846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847</v>
      </c>
      <c r="F445" s="90" t="s">
        <v>847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848</v>
      </c>
      <c r="F446" s="90" t="s">
        <v>848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849</v>
      </c>
      <c r="F447" s="90" t="s">
        <v>849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850</v>
      </c>
      <c r="F448" s="90" t="s">
        <v>850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851</v>
      </c>
      <c r="F449" s="90" t="s">
        <v>851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852</v>
      </c>
      <c r="F450" s="90" t="s">
        <v>852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853</v>
      </c>
      <c r="F451" s="90" t="s">
        <v>853</v>
      </c>
    </row>
    <row r="452" spans="1:27">
      <c r="B452" s="88">
        <v>538</v>
      </c>
      <c r="D452" s="90" t="s">
        <v>298</v>
      </c>
      <c r="E452" s="90" t="s">
        <v>854</v>
      </c>
      <c r="F452" s="90" t="s">
        <v>854</v>
      </c>
    </row>
    <row r="453" spans="1:27" ht="24">
      <c r="B453" s="88">
        <v>539</v>
      </c>
      <c r="D453" s="90" t="s">
        <v>475</v>
      </c>
      <c r="E453" s="90" t="s">
        <v>855</v>
      </c>
      <c r="F453" s="90" t="s">
        <v>855</v>
      </c>
    </row>
    <row r="454" spans="1:27" ht="48">
      <c r="A454" s="175"/>
      <c r="B454" s="88">
        <v>540</v>
      </c>
      <c r="C454" s="181" t="s">
        <v>507</v>
      </c>
      <c r="D454" s="175" t="s">
        <v>523</v>
      </c>
      <c r="E454" s="175" t="s">
        <v>856</v>
      </c>
      <c r="F454" s="175" t="s">
        <v>856</v>
      </c>
    </row>
    <row r="455" spans="1:27" ht="36">
      <c r="B455" s="88">
        <v>541</v>
      </c>
      <c r="D455" s="90" t="s">
        <v>299</v>
      </c>
      <c r="E455" s="90" t="s">
        <v>857</v>
      </c>
      <c r="F455" s="90" t="s">
        <v>857</v>
      </c>
    </row>
    <row r="456" spans="1:27">
      <c r="B456" s="88">
        <v>542</v>
      </c>
      <c r="D456" s="90" t="s">
        <v>300</v>
      </c>
      <c r="E456" s="90" t="s">
        <v>858</v>
      </c>
      <c r="F456" s="90" t="s">
        <v>858</v>
      </c>
    </row>
    <row r="457" spans="1:27">
      <c r="B457" s="88">
        <v>543</v>
      </c>
      <c r="D457" s="90" t="s">
        <v>301</v>
      </c>
      <c r="E457" s="90" t="s">
        <v>859</v>
      </c>
      <c r="F457" s="90" t="s">
        <v>859</v>
      </c>
    </row>
    <row r="458" spans="1:27">
      <c r="B458" s="88">
        <v>544</v>
      </c>
      <c r="D458" s="90" t="s">
        <v>302</v>
      </c>
      <c r="E458" s="90" t="s">
        <v>860</v>
      </c>
      <c r="F458" s="90" t="s">
        <v>860</v>
      </c>
    </row>
    <row r="459" spans="1:27" ht="24">
      <c r="B459" s="88">
        <v>545</v>
      </c>
      <c r="D459" s="90" t="s">
        <v>976</v>
      </c>
      <c r="E459" s="90" t="s">
        <v>977</v>
      </c>
      <c r="F459" s="90" t="s">
        <v>977</v>
      </c>
    </row>
    <row r="460" spans="1:27">
      <c r="B460" s="88">
        <v>546</v>
      </c>
      <c r="D460" s="90" t="s">
        <v>303</v>
      </c>
      <c r="E460" s="90" t="s">
        <v>861</v>
      </c>
      <c r="F460" s="90" t="s">
        <v>861</v>
      </c>
    </row>
    <row r="461" spans="1:27">
      <c r="B461" s="88">
        <v>547</v>
      </c>
      <c r="D461" s="90" t="s">
        <v>304</v>
      </c>
      <c r="E461" s="90" t="s">
        <v>862</v>
      </c>
      <c r="F461" s="90" t="s">
        <v>862</v>
      </c>
    </row>
    <row r="462" spans="1:27">
      <c r="B462" s="88">
        <v>548</v>
      </c>
      <c r="D462" s="90" t="s">
        <v>305</v>
      </c>
      <c r="E462" s="90" t="s">
        <v>863</v>
      </c>
      <c r="F462" s="90" t="s">
        <v>863</v>
      </c>
    </row>
    <row r="463" spans="1:27" ht="24">
      <c r="B463" s="88">
        <v>549</v>
      </c>
      <c r="D463" s="90" t="s">
        <v>1255</v>
      </c>
      <c r="E463" s="90" t="s">
        <v>1256</v>
      </c>
      <c r="F463" s="90" t="s">
        <v>1256</v>
      </c>
    </row>
    <row r="464" spans="1:27">
      <c r="B464" s="88">
        <v>550</v>
      </c>
      <c r="D464" s="90" t="s">
        <v>1257</v>
      </c>
      <c r="E464" s="90" t="s">
        <v>1258</v>
      </c>
      <c r="F464" s="90" t="s">
        <v>1258</v>
      </c>
    </row>
    <row r="465" spans="2:6" ht="24">
      <c r="B465" s="88">
        <v>551</v>
      </c>
      <c r="D465" s="90" t="s">
        <v>306</v>
      </c>
      <c r="E465" s="90" t="s">
        <v>864</v>
      </c>
      <c r="F465" s="90" t="s">
        <v>864</v>
      </c>
    </row>
    <row r="466" spans="2:6">
      <c r="B466" s="88">
        <v>552</v>
      </c>
      <c r="D466" s="90" t="s">
        <v>476</v>
      </c>
      <c r="E466" s="90" t="s">
        <v>865</v>
      </c>
      <c r="F466" s="90" t="s">
        <v>865</v>
      </c>
    </row>
    <row r="467" spans="2:6" ht="24">
      <c r="B467" s="88">
        <v>553</v>
      </c>
      <c r="D467" s="90" t="s">
        <v>307</v>
      </c>
      <c r="E467" s="90" t="s">
        <v>866</v>
      </c>
      <c r="F467" s="90" t="s">
        <v>866</v>
      </c>
    </row>
    <row r="468" spans="2:6" ht="24">
      <c r="B468" s="88">
        <v>554</v>
      </c>
      <c r="D468" s="90" t="s">
        <v>477</v>
      </c>
      <c r="E468" s="90" t="s">
        <v>867</v>
      </c>
      <c r="F468" s="90" t="s">
        <v>867</v>
      </c>
    </row>
    <row r="469" spans="2:6" ht="24">
      <c r="B469" s="88">
        <v>555</v>
      </c>
      <c r="D469" s="90" t="s">
        <v>308</v>
      </c>
      <c r="E469" s="90" t="s">
        <v>868</v>
      </c>
      <c r="F469" s="90" t="s">
        <v>868</v>
      </c>
    </row>
    <row r="470" spans="2:6">
      <c r="B470" s="88">
        <v>556</v>
      </c>
      <c r="D470" s="90" t="s">
        <v>309</v>
      </c>
      <c r="E470" s="90" t="s">
        <v>869</v>
      </c>
      <c r="F470" s="90" t="s">
        <v>869</v>
      </c>
    </row>
    <row r="471" spans="2:6">
      <c r="B471" s="88">
        <v>557</v>
      </c>
      <c r="C471" s="89" t="s">
        <v>986</v>
      </c>
      <c r="D471" s="90" t="s">
        <v>983</v>
      </c>
      <c r="E471" s="90" t="s">
        <v>984</v>
      </c>
      <c r="F471" s="90" t="s">
        <v>984</v>
      </c>
    </row>
    <row r="472" spans="2:6" ht="24">
      <c r="B472" s="88">
        <v>558</v>
      </c>
      <c r="C472" s="89" t="s">
        <v>986</v>
      </c>
      <c r="D472" s="90" t="s">
        <v>980</v>
      </c>
      <c r="E472" s="90" t="s">
        <v>985</v>
      </c>
      <c r="F472" s="90" t="s">
        <v>985</v>
      </c>
    </row>
    <row r="473" spans="2:6">
      <c r="B473" s="88">
        <v>559</v>
      </c>
      <c r="D473" s="90" t="s">
        <v>310</v>
      </c>
      <c r="E473" s="90" t="s">
        <v>870</v>
      </c>
      <c r="F473" s="90" t="s">
        <v>870</v>
      </c>
    </row>
    <row r="474" spans="2:6">
      <c r="B474" s="88">
        <v>560</v>
      </c>
      <c r="D474" s="90" t="s">
        <v>311</v>
      </c>
      <c r="E474" s="90" t="s">
        <v>871</v>
      </c>
      <c r="F474" s="90" t="s">
        <v>871</v>
      </c>
    </row>
    <row r="475" spans="2:6" ht="36">
      <c r="B475" s="88">
        <v>561</v>
      </c>
      <c r="D475" s="90" t="s">
        <v>378</v>
      </c>
      <c r="E475" s="90" t="s">
        <v>872</v>
      </c>
      <c r="F475" s="90" t="s">
        <v>872</v>
      </c>
    </row>
    <row r="476" spans="2:6">
      <c r="B476" s="88">
        <v>562</v>
      </c>
      <c r="D476" s="90" t="s">
        <v>312</v>
      </c>
      <c r="E476" s="90" t="s">
        <v>873</v>
      </c>
      <c r="F476" s="90" t="s">
        <v>873</v>
      </c>
    </row>
    <row r="477" spans="2:6">
      <c r="B477" s="88">
        <v>563</v>
      </c>
      <c r="D477" s="90" t="s">
        <v>313</v>
      </c>
      <c r="E477" s="90" t="s">
        <v>874</v>
      </c>
      <c r="F477" s="90" t="s">
        <v>874</v>
      </c>
    </row>
    <row r="478" spans="2:6">
      <c r="B478" s="88">
        <v>564</v>
      </c>
      <c r="D478" s="90" t="s">
        <v>314</v>
      </c>
      <c r="E478" s="90" t="s">
        <v>875</v>
      </c>
      <c r="F478" s="90" t="s">
        <v>875</v>
      </c>
    </row>
    <row r="479" spans="2:6">
      <c r="B479" s="88">
        <v>565</v>
      </c>
      <c r="D479" s="90" t="s">
        <v>315</v>
      </c>
      <c r="E479" s="90" t="s">
        <v>876</v>
      </c>
      <c r="F479" s="90" t="s">
        <v>876</v>
      </c>
    </row>
    <row r="480" spans="2:6">
      <c r="B480" s="88">
        <v>566</v>
      </c>
      <c r="D480" s="90" t="s">
        <v>316</v>
      </c>
      <c r="E480" s="90" t="s">
        <v>877</v>
      </c>
      <c r="F480" s="90" t="s">
        <v>877</v>
      </c>
    </row>
    <row r="481" spans="2:6" ht="36">
      <c r="B481" s="88">
        <v>567</v>
      </c>
      <c r="D481" s="90" t="s">
        <v>317</v>
      </c>
      <c r="E481" s="90" t="s">
        <v>878</v>
      </c>
      <c r="F481" s="90" t="s">
        <v>878</v>
      </c>
    </row>
    <row r="482" spans="2:6" ht="24">
      <c r="B482" s="88">
        <v>568</v>
      </c>
      <c r="D482" s="90" t="s">
        <v>318</v>
      </c>
      <c r="E482" s="90" t="s">
        <v>879</v>
      </c>
      <c r="F482" s="90" t="s">
        <v>879</v>
      </c>
    </row>
    <row r="483" spans="2:6">
      <c r="B483" s="88">
        <v>569</v>
      </c>
      <c r="D483" s="90" t="s">
        <v>319</v>
      </c>
      <c r="E483" s="90" t="s">
        <v>880</v>
      </c>
      <c r="F483" s="90" t="s">
        <v>880</v>
      </c>
    </row>
    <row r="484" spans="2:6">
      <c r="B484" s="88">
        <v>570</v>
      </c>
      <c r="D484" s="90" t="s">
        <v>320</v>
      </c>
      <c r="E484" s="90" t="s">
        <v>881</v>
      </c>
      <c r="F484" s="90" t="s">
        <v>881</v>
      </c>
    </row>
    <row r="485" spans="2:6" ht="24">
      <c r="B485" s="88">
        <v>571</v>
      </c>
      <c r="D485" s="90" t="s">
        <v>478</v>
      </c>
      <c r="E485" s="90" t="s">
        <v>882</v>
      </c>
      <c r="F485" s="90" t="s">
        <v>882</v>
      </c>
    </row>
    <row r="486" spans="2:6">
      <c r="B486" s="88">
        <v>572</v>
      </c>
      <c r="D486" s="90" t="s">
        <v>321</v>
      </c>
      <c r="E486" s="90" t="s">
        <v>883</v>
      </c>
      <c r="F486" s="90" t="s">
        <v>883</v>
      </c>
    </row>
    <row r="487" spans="2:6">
      <c r="B487" s="88">
        <v>573</v>
      </c>
      <c r="D487" s="90" t="s">
        <v>322</v>
      </c>
      <c r="E487" s="90" t="s">
        <v>884</v>
      </c>
      <c r="F487" s="90" t="s">
        <v>884</v>
      </c>
    </row>
    <row r="488" spans="2:6">
      <c r="B488" s="88">
        <v>574</v>
      </c>
      <c r="D488" s="90" t="s">
        <v>1296</v>
      </c>
      <c r="E488" s="90" t="s">
        <v>1297</v>
      </c>
      <c r="F488" s="90" t="s">
        <v>1297</v>
      </c>
    </row>
    <row r="489" spans="2:6">
      <c r="B489" s="88">
        <v>575</v>
      </c>
      <c r="D489" s="90" t="s">
        <v>1265</v>
      </c>
      <c r="E489" s="90" t="s">
        <v>1266</v>
      </c>
      <c r="F489" s="90" t="s">
        <v>1266</v>
      </c>
    </row>
    <row r="490" spans="2:6">
      <c r="B490" s="88">
        <v>576</v>
      </c>
      <c r="D490" s="90" t="s">
        <v>323</v>
      </c>
      <c r="E490" s="90" t="s">
        <v>885</v>
      </c>
      <c r="F490" s="90" t="s">
        <v>885</v>
      </c>
    </row>
    <row r="491" spans="2:6">
      <c r="B491" s="88">
        <v>577</v>
      </c>
      <c r="D491" s="90" t="s">
        <v>479</v>
      </c>
      <c r="E491" s="90" t="s">
        <v>886</v>
      </c>
      <c r="F491" s="90" t="s">
        <v>886</v>
      </c>
    </row>
    <row r="492" spans="2:6" ht="36">
      <c r="B492" s="88">
        <v>578</v>
      </c>
      <c r="D492" s="90" t="s">
        <v>480</v>
      </c>
      <c r="E492" s="90" t="s">
        <v>887</v>
      </c>
      <c r="F492" s="90" t="s">
        <v>887</v>
      </c>
    </row>
    <row r="493" spans="2:6">
      <c r="B493" s="88">
        <v>579</v>
      </c>
      <c r="D493" s="90" t="s">
        <v>324</v>
      </c>
      <c r="E493" s="90" t="s">
        <v>888</v>
      </c>
      <c r="F493" s="90" t="s">
        <v>888</v>
      </c>
    </row>
    <row r="494" spans="2:6">
      <c r="B494" s="88">
        <v>580</v>
      </c>
      <c r="D494" s="90" t="s">
        <v>325</v>
      </c>
      <c r="E494" s="90" t="s">
        <v>889</v>
      </c>
      <c r="F494" s="90" t="s">
        <v>889</v>
      </c>
    </row>
    <row r="495" spans="2:6">
      <c r="B495" s="88">
        <v>581</v>
      </c>
      <c r="C495" s="89" t="s">
        <v>573</v>
      </c>
      <c r="D495" s="87" t="s">
        <v>568</v>
      </c>
      <c r="E495" s="179" t="s">
        <v>559</v>
      </c>
      <c r="F495" s="179" t="s">
        <v>559</v>
      </c>
    </row>
    <row r="496" spans="2:6">
      <c r="B496" s="88">
        <v>582</v>
      </c>
      <c r="C496" s="89" t="s">
        <v>573</v>
      </c>
      <c r="D496" s="90" t="s">
        <v>566</v>
      </c>
      <c r="E496" s="179" t="s">
        <v>557</v>
      </c>
      <c r="F496" s="179" t="s">
        <v>557</v>
      </c>
    </row>
    <row r="497" spans="1:6">
      <c r="B497" s="88">
        <v>583</v>
      </c>
      <c r="D497" s="90" t="s">
        <v>326</v>
      </c>
      <c r="E497" s="90" t="s">
        <v>890</v>
      </c>
      <c r="F497" s="90" t="s">
        <v>890</v>
      </c>
    </row>
    <row r="498" spans="1:6" ht="36">
      <c r="B498" s="88">
        <v>584</v>
      </c>
      <c r="D498" s="90" t="s">
        <v>327</v>
      </c>
      <c r="E498" s="90" t="s">
        <v>891</v>
      </c>
      <c r="F498" s="90" t="s">
        <v>891</v>
      </c>
    </row>
    <row r="499" spans="1:6">
      <c r="B499" s="88">
        <v>585</v>
      </c>
      <c r="D499" s="90" t="s">
        <v>328</v>
      </c>
      <c r="E499" s="90" t="s">
        <v>892</v>
      </c>
      <c r="F499" s="90" t="s">
        <v>892</v>
      </c>
    </row>
    <row r="500" spans="1:6">
      <c r="A500" s="176"/>
      <c r="B500" s="88">
        <v>586</v>
      </c>
      <c r="C500" s="177" t="s">
        <v>489</v>
      </c>
      <c r="D500" s="175" t="s">
        <v>495</v>
      </c>
      <c r="E500" s="175" t="s">
        <v>893</v>
      </c>
      <c r="F500" s="175" t="s">
        <v>893</v>
      </c>
    </row>
    <row r="501" spans="1:6">
      <c r="A501" s="176"/>
      <c r="B501" s="88">
        <v>587</v>
      </c>
      <c r="C501" s="177" t="s">
        <v>489</v>
      </c>
      <c r="D501" s="175" t="s">
        <v>524</v>
      </c>
      <c r="E501" s="175" t="s">
        <v>894</v>
      </c>
      <c r="F501" s="175" t="s">
        <v>894</v>
      </c>
    </row>
    <row r="502" spans="1:6">
      <c r="B502" s="88">
        <v>588</v>
      </c>
      <c r="D502" s="90" t="s">
        <v>329</v>
      </c>
      <c r="E502" s="175" t="s">
        <v>895</v>
      </c>
      <c r="F502" s="175" t="s">
        <v>895</v>
      </c>
    </row>
    <row r="503" spans="1:6">
      <c r="B503" s="88">
        <v>589</v>
      </c>
      <c r="D503" s="90" t="s">
        <v>330</v>
      </c>
      <c r="E503" s="90" t="s">
        <v>896</v>
      </c>
      <c r="F503" s="90" t="s">
        <v>896</v>
      </c>
    </row>
    <row r="504" spans="1:6">
      <c r="B504" s="88">
        <v>590</v>
      </c>
      <c r="D504" s="90" t="s">
        <v>331</v>
      </c>
      <c r="E504" s="90" t="s">
        <v>897</v>
      </c>
      <c r="F504" s="90" t="s">
        <v>897</v>
      </c>
    </row>
    <row r="505" spans="1:6" ht="24">
      <c r="B505" s="88">
        <v>591</v>
      </c>
      <c r="D505" s="90" t="s">
        <v>332</v>
      </c>
      <c r="E505" s="90" t="s">
        <v>898</v>
      </c>
      <c r="F505" s="90" t="s">
        <v>898</v>
      </c>
    </row>
    <row r="506" spans="1:6">
      <c r="B506" s="88">
        <v>592</v>
      </c>
      <c r="D506" s="90" t="s">
        <v>333</v>
      </c>
      <c r="E506" s="90" t="s">
        <v>899</v>
      </c>
      <c r="F506" s="90" t="s">
        <v>899</v>
      </c>
    </row>
    <row r="507" spans="1:6" ht="36">
      <c r="B507" s="88">
        <v>593</v>
      </c>
      <c r="D507" s="90" t="s">
        <v>334</v>
      </c>
      <c r="E507" s="90" t="s">
        <v>900</v>
      </c>
      <c r="F507" s="90" t="s">
        <v>900</v>
      </c>
    </row>
    <row r="508" spans="1:6">
      <c r="B508" s="88">
        <v>594</v>
      </c>
      <c r="D508" s="90" t="s">
        <v>335</v>
      </c>
      <c r="E508" s="90" t="s">
        <v>996</v>
      </c>
      <c r="F508" s="90" t="s">
        <v>996</v>
      </c>
    </row>
    <row r="509" spans="1:6">
      <c r="B509" s="88">
        <v>595</v>
      </c>
      <c r="D509" s="90" t="s">
        <v>336</v>
      </c>
      <c r="E509" s="90" t="s">
        <v>901</v>
      </c>
      <c r="F509" s="90" t="s">
        <v>901</v>
      </c>
    </row>
    <row r="510" spans="1:6">
      <c r="B510" s="88">
        <v>596</v>
      </c>
      <c r="D510" s="90" t="s">
        <v>337</v>
      </c>
      <c r="E510" s="90" t="s">
        <v>902</v>
      </c>
      <c r="F510" s="90" t="s">
        <v>902</v>
      </c>
    </row>
    <row r="511" spans="1:6">
      <c r="B511" s="88">
        <v>597</v>
      </c>
      <c r="D511" s="90" t="s">
        <v>338</v>
      </c>
      <c r="E511" s="90" t="s">
        <v>903</v>
      </c>
      <c r="F511" s="90" t="s">
        <v>903</v>
      </c>
    </row>
    <row r="512" spans="1:6">
      <c r="B512" s="88">
        <v>598</v>
      </c>
      <c r="D512" s="90" t="s">
        <v>339</v>
      </c>
      <c r="E512" s="90" t="s">
        <v>904</v>
      </c>
      <c r="F512" s="90" t="s">
        <v>904</v>
      </c>
    </row>
    <row r="513" spans="2:6">
      <c r="B513" s="88">
        <v>599</v>
      </c>
      <c r="D513" s="90" t="s">
        <v>340</v>
      </c>
      <c r="E513" s="90" t="s">
        <v>905</v>
      </c>
      <c r="F513" s="90" t="s">
        <v>905</v>
      </c>
    </row>
    <row r="514" spans="2:6">
      <c r="B514" s="88">
        <v>600</v>
      </c>
      <c r="D514" s="90" t="s">
        <v>341</v>
      </c>
      <c r="E514" s="90" t="s">
        <v>341</v>
      </c>
      <c r="F514" s="90" t="s">
        <v>341</v>
      </c>
    </row>
    <row r="515" spans="2:6">
      <c r="B515" s="88">
        <v>601</v>
      </c>
      <c r="D515" s="90" t="s">
        <v>481</v>
      </c>
      <c r="E515" s="90" t="s">
        <v>906</v>
      </c>
      <c r="F515" s="90" t="s">
        <v>906</v>
      </c>
    </row>
    <row r="516" spans="2:6" ht="24">
      <c r="B516" s="88">
        <v>602</v>
      </c>
      <c r="D516" s="90" t="s">
        <v>342</v>
      </c>
      <c r="E516" s="90" t="s">
        <v>907</v>
      </c>
      <c r="F516" s="90" t="s">
        <v>907</v>
      </c>
    </row>
    <row r="517" spans="2:6">
      <c r="B517" s="88">
        <v>603</v>
      </c>
      <c r="D517" s="90" t="s">
        <v>343</v>
      </c>
      <c r="E517" s="90" t="s">
        <v>343</v>
      </c>
      <c r="F517" s="90" t="s">
        <v>343</v>
      </c>
    </row>
    <row r="518" spans="2:6">
      <c r="B518" s="88">
        <v>604</v>
      </c>
      <c r="D518" s="90" t="s">
        <v>1225</v>
      </c>
      <c r="E518" s="90" t="s">
        <v>1227</v>
      </c>
      <c r="F518" s="90" t="s">
        <v>1227</v>
      </c>
    </row>
    <row r="519" spans="2:6">
      <c r="B519" s="88">
        <v>605</v>
      </c>
      <c r="D519" s="90" t="s">
        <v>1224</v>
      </c>
      <c r="E519" s="90" t="s">
        <v>1226</v>
      </c>
      <c r="F519" s="90" t="s">
        <v>1226</v>
      </c>
    </row>
    <row r="520" spans="2:6">
      <c r="B520" s="88">
        <v>606</v>
      </c>
      <c r="D520" s="90" t="s">
        <v>482</v>
      </c>
      <c r="F520" s="90"/>
    </row>
    <row r="521" spans="2:6">
      <c r="B521" s="88">
        <v>607</v>
      </c>
      <c r="D521" s="90" t="s">
        <v>344</v>
      </c>
      <c r="E521" s="90" t="s">
        <v>908</v>
      </c>
      <c r="F521" s="90" t="s">
        <v>908</v>
      </c>
    </row>
    <row r="522" spans="2:6">
      <c r="B522" s="88">
        <v>608</v>
      </c>
      <c r="C522" s="89" t="s">
        <v>986</v>
      </c>
      <c r="D522" s="90" t="s">
        <v>990</v>
      </c>
      <c r="E522" s="90" t="s">
        <v>991</v>
      </c>
      <c r="F522" s="90" t="s">
        <v>991</v>
      </c>
    </row>
    <row r="523" spans="2:6">
      <c r="B523" s="88">
        <v>609</v>
      </c>
      <c r="D523" s="90" t="s">
        <v>483</v>
      </c>
      <c r="E523" s="90" t="s">
        <v>909</v>
      </c>
      <c r="F523" s="90" t="s">
        <v>909</v>
      </c>
    </row>
    <row r="524" spans="2:6">
      <c r="B524" s="88">
        <v>610</v>
      </c>
      <c r="D524" s="90" t="s">
        <v>484</v>
      </c>
      <c r="E524" s="90" t="s">
        <v>910</v>
      </c>
      <c r="F524" s="90" t="s">
        <v>910</v>
      </c>
    </row>
    <row r="525" spans="2:6">
      <c r="B525" s="88">
        <v>611</v>
      </c>
      <c r="D525" s="90" t="s">
        <v>485</v>
      </c>
      <c r="E525" s="90" t="s">
        <v>909</v>
      </c>
      <c r="F525" s="90" t="s">
        <v>909</v>
      </c>
    </row>
    <row r="526" spans="2:6">
      <c r="B526" s="88">
        <v>612</v>
      </c>
      <c r="D526" s="90" t="s">
        <v>345</v>
      </c>
      <c r="E526" s="90" t="s">
        <v>530</v>
      </c>
      <c r="F526" s="90" t="s">
        <v>530</v>
      </c>
    </row>
    <row r="527" spans="2:6">
      <c r="B527" s="88">
        <v>613</v>
      </c>
      <c r="D527" s="90" t="s">
        <v>346</v>
      </c>
      <c r="E527" s="90" t="s">
        <v>911</v>
      </c>
      <c r="F527" s="90" t="s">
        <v>911</v>
      </c>
    </row>
    <row r="528" spans="2:6">
      <c r="B528" s="88">
        <v>614</v>
      </c>
      <c r="D528" s="90" t="s">
        <v>347</v>
      </c>
      <c r="E528" s="90" t="s">
        <v>912</v>
      </c>
      <c r="F528" s="90" t="s">
        <v>912</v>
      </c>
    </row>
    <row r="529" spans="1:6">
      <c r="B529" s="88">
        <v>615</v>
      </c>
      <c r="D529" s="90" t="s">
        <v>1322</v>
      </c>
      <c r="E529" s="90" t="s">
        <v>1324</v>
      </c>
      <c r="F529" s="90" t="s">
        <v>1324</v>
      </c>
    </row>
    <row r="530" spans="1:6">
      <c r="B530" s="88">
        <v>616</v>
      </c>
      <c r="D530" s="90" t="s">
        <v>1321</v>
      </c>
      <c r="E530" s="90" t="s">
        <v>1323</v>
      </c>
      <c r="F530" s="90" t="s">
        <v>1323</v>
      </c>
    </row>
    <row r="531" spans="1:6" ht="24">
      <c r="B531" s="88">
        <v>617</v>
      </c>
      <c r="C531" s="89" t="s">
        <v>1127</v>
      </c>
      <c r="D531" s="90" t="s">
        <v>1168</v>
      </c>
      <c r="E531" s="90" t="s">
        <v>1131</v>
      </c>
      <c r="F531" s="90" t="s">
        <v>1131</v>
      </c>
    </row>
    <row r="532" spans="1:6" ht="36">
      <c r="B532" s="88">
        <v>618</v>
      </c>
      <c r="C532" s="89" t="s">
        <v>1127</v>
      </c>
      <c r="D532" s="90" t="s">
        <v>1183</v>
      </c>
      <c r="E532" s="90" t="s">
        <v>1148</v>
      </c>
      <c r="F532" s="90" t="s">
        <v>1148</v>
      </c>
    </row>
    <row r="533" spans="1:6">
      <c r="B533" s="88">
        <v>619</v>
      </c>
      <c r="D533" s="90" t="s">
        <v>348</v>
      </c>
      <c r="E533" s="90" t="s">
        <v>913</v>
      </c>
      <c r="F533" s="90" t="s">
        <v>913</v>
      </c>
    </row>
    <row r="534" spans="1:6">
      <c r="B534" s="88">
        <v>620</v>
      </c>
      <c r="D534" s="90" t="s">
        <v>1231</v>
      </c>
      <c r="E534" s="90" t="s">
        <v>1232</v>
      </c>
      <c r="F534" s="90" t="s">
        <v>1232</v>
      </c>
    </row>
    <row r="535" spans="1:6">
      <c r="B535" s="88">
        <v>621</v>
      </c>
      <c r="D535" s="90" t="s">
        <v>1076</v>
      </c>
      <c r="E535" s="90" t="s">
        <v>1076</v>
      </c>
      <c r="F535" s="90" t="s">
        <v>1076</v>
      </c>
    </row>
    <row r="536" spans="1:6">
      <c r="B536" s="88">
        <v>622</v>
      </c>
      <c r="D536" s="90" t="s">
        <v>349</v>
      </c>
      <c r="F536" s="90"/>
    </row>
    <row r="537" spans="1:6">
      <c r="B537" s="88">
        <v>623</v>
      </c>
      <c r="D537" s="90" t="s">
        <v>350</v>
      </c>
      <c r="F537" s="90"/>
    </row>
    <row r="538" spans="1:6">
      <c r="B538" s="88">
        <v>624</v>
      </c>
      <c r="D538" s="90" t="s">
        <v>1074</v>
      </c>
      <c r="E538" s="90" t="s">
        <v>1075</v>
      </c>
      <c r="F538" s="90" t="s">
        <v>1075</v>
      </c>
    </row>
    <row r="539" spans="1:6">
      <c r="B539" s="88">
        <v>625</v>
      </c>
      <c r="D539" s="90" t="s">
        <v>351</v>
      </c>
      <c r="E539" s="90" t="s">
        <v>914</v>
      </c>
      <c r="F539" s="90" t="s">
        <v>914</v>
      </c>
    </row>
    <row r="540" spans="1:6">
      <c r="B540" s="88">
        <v>626</v>
      </c>
      <c r="D540" s="90" t="s">
        <v>486</v>
      </c>
      <c r="E540" s="90" t="s">
        <v>915</v>
      </c>
      <c r="F540" s="90" t="s">
        <v>915</v>
      </c>
    </row>
    <row r="541" spans="1:6">
      <c r="B541" s="88">
        <v>627</v>
      </c>
      <c r="D541" s="90" t="s">
        <v>352</v>
      </c>
      <c r="E541" s="90" t="s">
        <v>916</v>
      </c>
      <c r="F541" s="90" t="s">
        <v>916</v>
      </c>
    </row>
    <row r="542" spans="1:6">
      <c r="B542" s="88">
        <v>628</v>
      </c>
      <c r="D542" s="90" t="s">
        <v>415</v>
      </c>
      <c r="E542" s="90" t="s">
        <v>917</v>
      </c>
      <c r="F542" s="90" t="s">
        <v>917</v>
      </c>
    </row>
    <row r="543" spans="1:6">
      <c r="B543" s="88">
        <v>629</v>
      </c>
      <c r="D543" s="90" t="s">
        <v>353</v>
      </c>
      <c r="E543" s="90" t="s">
        <v>916</v>
      </c>
      <c r="F543" s="90" t="s">
        <v>916</v>
      </c>
    </row>
    <row r="544" spans="1:6" ht="24">
      <c r="A544" s="175"/>
      <c r="B544" s="88">
        <v>630</v>
      </c>
      <c r="C544" s="175"/>
      <c r="D544" s="175" t="s">
        <v>525</v>
      </c>
      <c r="E544" s="175" t="s">
        <v>918</v>
      </c>
      <c r="F544" s="175" t="s">
        <v>918</v>
      </c>
    </row>
    <row r="545" spans="2:6">
      <c r="B545" s="88">
        <v>631</v>
      </c>
      <c r="C545" s="89" t="s">
        <v>1127</v>
      </c>
      <c r="D545" s="90" t="s">
        <v>1165</v>
      </c>
      <c r="E545" s="90" t="s">
        <v>1126</v>
      </c>
      <c r="F545" s="90" t="s">
        <v>1126</v>
      </c>
    </row>
    <row r="546" spans="2:6">
      <c r="B546" s="88">
        <v>632</v>
      </c>
      <c r="C546" s="89" t="s">
        <v>1127</v>
      </c>
      <c r="D546" s="90" t="s">
        <v>1369</v>
      </c>
      <c r="E546" s="90" t="s">
        <v>1370</v>
      </c>
      <c r="F546" s="90" t="s">
        <v>1370</v>
      </c>
    </row>
    <row r="547" spans="2:6">
      <c r="B547" s="88">
        <v>633</v>
      </c>
      <c r="D547" s="90" t="s">
        <v>354</v>
      </c>
      <c r="E547" s="90" t="s">
        <v>354</v>
      </c>
      <c r="F547" s="90" t="s">
        <v>354</v>
      </c>
    </row>
    <row r="548" spans="2:6">
      <c r="B548" s="88">
        <v>634</v>
      </c>
      <c r="D548" s="90" t="s">
        <v>355</v>
      </c>
      <c r="E548" s="90" t="s">
        <v>919</v>
      </c>
      <c r="F548" s="90" t="s">
        <v>919</v>
      </c>
    </row>
    <row r="549" spans="2:6">
      <c r="B549" s="88">
        <v>635</v>
      </c>
      <c r="D549" s="90" t="s">
        <v>356</v>
      </c>
      <c r="E549" s="90" t="s">
        <v>920</v>
      </c>
      <c r="F549" s="90" t="s">
        <v>920</v>
      </c>
    </row>
    <row r="550" spans="2:6">
      <c r="B550" s="88">
        <v>636</v>
      </c>
      <c r="D550" s="90" t="s">
        <v>487</v>
      </c>
      <c r="E550" s="90" t="s">
        <v>921</v>
      </c>
      <c r="F550" s="90" t="s">
        <v>921</v>
      </c>
    </row>
    <row r="551" spans="2:6" ht="24">
      <c r="B551" s="88">
        <v>637</v>
      </c>
      <c r="C551" s="89" t="s">
        <v>1127</v>
      </c>
      <c r="D551" s="90" t="s">
        <v>1185</v>
      </c>
      <c r="E551" s="90" t="s">
        <v>1184</v>
      </c>
      <c r="F551" s="90" t="s">
        <v>1184</v>
      </c>
    </row>
    <row r="552" spans="2:6">
      <c r="B552" s="88">
        <v>638</v>
      </c>
      <c r="D552" s="90" t="s">
        <v>357</v>
      </c>
      <c r="E552" s="90" t="s">
        <v>922</v>
      </c>
      <c r="F552" s="90" t="s">
        <v>922</v>
      </c>
    </row>
    <row r="553" spans="2:6" ht="36">
      <c r="B553" s="88">
        <v>639</v>
      </c>
      <c r="C553" s="89" t="s">
        <v>1127</v>
      </c>
      <c r="D553" s="90" t="s">
        <v>1194</v>
      </c>
      <c r="E553" s="90" t="s">
        <v>1155</v>
      </c>
      <c r="F553" s="90" t="s">
        <v>1155</v>
      </c>
    </row>
    <row r="554" spans="2:6">
      <c r="B554" s="88">
        <v>640</v>
      </c>
      <c r="D554" s="90" t="s">
        <v>358</v>
      </c>
      <c r="E554" s="90" t="s">
        <v>923</v>
      </c>
      <c r="F554" s="90" t="s">
        <v>923</v>
      </c>
    </row>
    <row r="555" spans="2:6">
      <c r="B555" s="88">
        <v>641</v>
      </c>
      <c r="D555" s="90" t="s">
        <v>359</v>
      </c>
      <c r="E555" s="90" t="s">
        <v>924</v>
      </c>
      <c r="F555" s="90" t="s">
        <v>924</v>
      </c>
    </row>
    <row r="556" spans="2:6">
      <c r="B556" s="88">
        <v>642</v>
      </c>
      <c r="D556" s="90" t="s">
        <v>488</v>
      </c>
      <c r="E556" s="90" t="s">
        <v>925</v>
      </c>
      <c r="F556" s="90" t="s">
        <v>925</v>
      </c>
    </row>
    <row r="557" spans="2:6" ht="24">
      <c r="B557" s="88">
        <v>643</v>
      </c>
      <c r="D557" s="90" t="s">
        <v>360</v>
      </c>
      <c r="E557" s="90" t="s">
        <v>926</v>
      </c>
      <c r="F557" s="90" t="s">
        <v>926</v>
      </c>
    </row>
    <row r="558" spans="2:6">
      <c r="B558" s="88">
        <v>644</v>
      </c>
      <c r="D558" s="90" t="s">
        <v>361</v>
      </c>
      <c r="E558" s="90" t="s">
        <v>924</v>
      </c>
      <c r="F558" s="90" t="s">
        <v>924</v>
      </c>
    </row>
    <row r="559" spans="2:6">
      <c r="B559" s="88">
        <v>645</v>
      </c>
      <c r="D559" s="90" t="s">
        <v>362</v>
      </c>
      <c r="E559" s="90" t="s">
        <v>927</v>
      </c>
      <c r="F559" s="90" t="s">
        <v>927</v>
      </c>
    </row>
    <row r="560" spans="2:6">
      <c r="B560" s="88">
        <v>646</v>
      </c>
      <c r="D560" s="90" t="s">
        <v>363</v>
      </c>
      <c r="E560" s="90" t="s">
        <v>928</v>
      </c>
      <c r="F560" s="90" t="s">
        <v>928</v>
      </c>
    </row>
    <row r="561" spans="2:27">
      <c r="B561" s="88">
        <v>647</v>
      </c>
      <c r="D561" s="90" t="s">
        <v>364</v>
      </c>
      <c r="E561" s="90" t="s">
        <v>929</v>
      </c>
      <c r="F561" s="90" t="s">
        <v>929</v>
      </c>
    </row>
    <row r="562" spans="2:27">
      <c r="B562" s="88">
        <v>648</v>
      </c>
      <c r="D562" s="90" t="s">
        <v>365</v>
      </c>
      <c r="E562" s="90" t="s">
        <v>930</v>
      </c>
      <c r="F562" s="90" t="s">
        <v>930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931</v>
      </c>
      <c r="F563" s="90" t="s">
        <v>931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923</v>
      </c>
      <c r="F564" s="90" t="s">
        <v>923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1127</v>
      </c>
      <c r="D565" s="90" t="s">
        <v>1186</v>
      </c>
      <c r="E565" s="90" t="s">
        <v>1149</v>
      </c>
      <c r="F565" s="90" t="s">
        <v>1149</v>
      </c>
    </row>
    <row r="566" spans="2:27" ht="24">
      <c r="B566" s="88">
        <v>652</v>
      </c>
      <c r="D566" s="90" t="s">
        <v>368</v>
      </c>
      <c r="E566" s="90" t="s">
        <v>932</v>
      </c>
      <c r="F566" s="90" t="s">
        <v>932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933</v>
      </c>
      <c r="F567" s="90" t="s">
        <v>933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934</v>
      </c>
      <c r="F568" s="90" t="s">
        <v>934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935</v>
      </c>
      <c r="F569" s="90" t="s">
        <v>935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936</v>
      </c>
      <c r="F570" s="90" t="s">
        <v>936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937</v>
      </c>
      <c r="F571" s="90" t="s">
        <v>937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938</v>
      </c>
      <c r="F572" s="90" t="s">
        <v>938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939</v>
      </c>
      <c r="F573" s="90" t="s">
        <v>939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940</v>
      </c>
      <c r="F574" s="90" t="s">
        <v>940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941</v>
      </c>
      <c r="F575" s="90" t="s">
        <v>941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1386</v>
      </c>
      <c r="E576" s="90" t="s">
        <v>1371</v>
      </c>
      <c r="F576" s="90" t="s">
        <v>1371</v>
      </c>
    </row>
    <row r="577" spans="2:6">
      <c r="B577" s="88">
        <v>663</v>
      </c>
      <c r="D577" s="90" t="s">
        <v>1387</v>
      </c>
      <c r="E577" s="90" t="s">
        <v>1372</v>
      </c>
      <c r="F577" s="90" t="s">
        <v>1372</v>
      </c>
    </row>
    <row r="578" spans="2:6">
      <c r="B578" s="88">
        <v>664</v>
      </c>
      <c r="D578" s="90" t="s">
        <v>1373</v>
      </c>
      <c r="E578" s="90" t="s">
        <v>1374</v>
      </c>
      <c r="F578" s="90" t="s">
        <v>1374</v>
      </c>
    </row>
    <row r="579" spans="2:6">
      <c r="B579" s="88">
        <v>665</v>
      </c>
      <c r="D579" s="90" t="s">
        <v>1383</v>
      </c>
      <c r="E579" s="90" t="s">
        <v>1384</v>
      </c>
      <c r="F579" s="90" t="s">
        <v>1384</v>
      </c>
    </row>
    <row r="580" spans="2:6">
      <c r="B580" s="88">
        <v>666</v>
      </c>
      <c r="D580" s="90" t="s">
        <v>1377</v>
      </c>
      <c r="E580" s="90" t="s">
        <v>1380</v>
      </c>
      <c r="F580" s="90" t="s">
        <v>1380</v>
      </c>
    </row>
    <row r="581" spans="2:6">
      <c r="B581" s="88">
        <v>667</v>
      </c>
      <c r="D581" s="90" t="s">
        <v>1378</v>
      </c>
      <c r="E581" s="90" t="s">
        <v>1381</v>
      </c>
      <c r="F581" s="90" t="s">
        <v>1381</v>
      </c>
    </row>
    <row r="582" spans="2:6">
      <c r="B582" s="88">
        <v>667</v>
      </c>
      <c r="D582" s="90" t="s">
        <v>1379</v>
      </c>
      <c r="E582" s="90" t="s">
        <v>1382</v>
      </c>
      <c r="F582" s="90" t="s">
        <v>1382</v>
      </c>
    </row>
    <row r="583" spans="2:6">
      <c r="B583" s="88">
        <v>667</v>
      </c>
      <c r="D583" s="90" t="s">
        <v>1391</v>
      </c>
      <c r="E583" s="90" t="s">
        <v>1390</v>
      </c>
      <c r="F583" s="90" t="s">
        <v>1390</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1073</v>
      </c>
      <c r="B1" s="132" t="s">
        <v>379</v>
      </c>
      <c r="C1" s="132" t="s">
        <v>1061</v>
      </c>
      <c r="D1" s="132" t="s">
        <v>1062</v>
      </c>
      <c r="E1" s="132" t="s">
        <v>1063</v>
      </c>
      <c r="F1" s="132" t="s">
        <v>1064</v>
      </c>
      <c r="G1" s="132" t="s">
        <v>1065</v>
      </c>
      <c r="H1" s="132" t="s">
        <v>1066</v>
      </c>
      <c r="I1" s="132" t="s">
        <v>1067</v>
      </c>
      <c r="J1" s="132" t="s">
        <v>1068</v>
      </c>
      <c r="K1" s="132" t="s">
        <v>1069</v>
      </c>
      <c r="L1" s="132" t="s">
        <v>1070</v>
      </c>
      <c r="M1" s="132" t="s">
        <v>380</v>
      </c>
      <c r="N1" s="132" t="s">
        <v>381</v>
      </c>
      <c r="O1" s="132" t="s">
        <v>382</v>
      </c>
      <c r="P1" s="132" t="s">
        <v>383</v>
      </c>
      <c r="Q1" s="132" t="s">
        <v>1022</v>
      </c>
      <c r="R1" s="132" t="s">
        <v>1023</v>
      </c>
      <c r="S1" s="132" t="s">
        <v>1072</v>
      </c>
      <c r="T1" s="132" t="s">
        <v>1269</v>
      </c>
      <c r="U1" s="132" t="s">
        <v>1000</v>
      </c>
      <c r="V1" s="133" t="s">
        <v>1001</v>
      </c>
      <c r="W1" s="132" t="s">
        <v>1003</v>
      </c>
      <c r="X1" s="134" t="s">
        <v>1248</v>
      </c>
      <c r="Y1" s="134" t="s">
        <v>1004</v>
      </c>
      <c r="Z1" s="134" t="s">
        <v>1005</v>
      </c>
      <c r="AA1" s="133" t="s">
        <v>1024</v>
      </c>
      <c r="AB1" s="133" t="s">
        <v>1025</v>
      </c>
      <c r="AC1" s="133" t="s">
        <v>1058</v>
      </c>
      <c r="AD1" s="132" t="s">
        <v>1002</v>
      </c>
    </row>
    <row r="2" spans="1:30">
      <c r="A2" s="131" t="s">
        <v>1088</v>
      </c>
      <c r="B2" s="131" t="s">
        <v>1082</v>
      </c>
      <c r="C2" s="131" t="s">
        <v>1007</v>
      </c>
      <c r="D2" s="131" t="s">
        <v>1081</v>
      </c>
      <c r="E2" s="131" t="s">
        <v>1082</v>
      </c>
      <c r="M2" s="131" t="s">
        <v>1450</v>
      </c>
      <c r="N2" s="131" t="s">
        <v>1317</v>
      </c>
      <c r="O2" s="127">
        <v>44336</v>
      </c>
      <c r="P2" s="127">
        <v>44337</v>
      </c>
      <c r="Q2" s="127">
        <v>44336</v>
      </c>
      <c r="R2" s="127">
        <v>44338</v>
      </c>
      <c r="S2" s="128">
        <v>21</v>
      </c>
      <c r="T2" s="128">
        <v>1</v>
      </c>
      <c r="U2" s="128">
        <v>2</v>
      </c>
      <c r="V2" s="129">
        <v>2</v>
      </c>
      <c r="W2" s="128">
        <v>0</v>
      </c>
      <c r="X2" s="130">
        <v>1</v>
      </c>
      <c r="Y2" s="130">
        <v>1</v>
      </c>
      <c r="Z2" s="130">
        <v>1</v>
      </c>
      <c r="AC2" s="129">
        <v>0</v>
      </c>
    </row>
    <row r="3" spans="1:30">
      <c r="A3" s="131" t="s">
        <v>1088</v>
      </c>
      <c r="B3" s="131" t="s">
        <v>1082</v>
      </c>
      <c r="C3" s="131" t="s">
        <v>1007</v>
      </c>
      <c r="D3" s="131" t="s">
        <v>1081</v>
      </c>
      <c r="E3" s="131" t="s">
        <v>1082</v>
      </c>
      <c r="M3" s="131" t="s">
        <v>1450</v>
      </c>
      <c r="N3" s="131" t="s">
        <v>1318</v>
      </c>
      <c r="O3" s="127">
        <v>44336</v>
      </c>
      <c r="P3" s="127">
        <v>44337</v>
      </c>
      <c r="Q3" s="127">
        <v>44336</v>
      </c>
      <c r="R3" s="127">
        <v>44338</v>
      </c>
      <c r="S3" s="128">
        <v>21</v>
      </c>
      <c r="T3" s="128">
        <v>1</v>
      </c>
      <c r="U3" s="128">
        <v>2</v>
      </c>
      <c r="V3" s="129">
        <v>2</v>
      </c>
      <c r="W3" s="128">
        <v>0</v>
      </c>
      <c r="X3" s="130">
        <v>1</v>
      </c>
      <c r="Y3" s="130">
        <v>1</v>
      </c>
      <c r="Z3" s="130">
        <v>1</v>
      </c>
      <c r="AC3" s="129">
        <v>0</v>
      </c>
    </row>
    <row r="4" spans="1:30">
      <c r="A4" s="131" t="s">
        <v>1089</v>
      </c>
      <c r="B4" s="131" t="s">
        <v>1451</v>
      </c>
      <c r="C4" s="131" t="s">
        <v>1007</v>
      </c>
      <c r="D4" s="131" t="s">
        <v>1081</v>
      </c>
      <c r="E4" s="131" t="s">
        <v>1083</v>
      </c>
      <c r="F4" s="131" t="s">
        <v>1451</v>
      </c>
      <c r="M4" s="131" t="s">
        <v>1452</v>
      </c>
      <c r="N4" s="131" t="s">
        <v>1317</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1089</v>
      </c>
      <c r="B5" s="131" t="s">
        <v>1451</v>
      </c>
      <c r="C5" s="131" t="s">
        <v>1007</v>
      </c>
      <c r="D5" s="131" t="s">
        <v>1081</v>
      </c>
      <c r="E5" s="131" t="s">
        <v>1083</v>
      </c>
      <c r="F5" s="131" t="s">
        <v>1451</v>
      </c>
      <c r="M5" s="131" t="s">
        <v>1452</v>
      </c>
      <c r="N5" s="131" t="s">
        <v>1317</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1089</v>
      </c>
      <c r="B6" s="131" t="s">
        <v>1451</v>
      </c>
      <c r="C6" s="131" t="s">
        <v>1007</v>
      </c>
      <c r="D6" s="131" t="s">
        <v>1081</v>
      </c>
      <c r="E6" s="131" t="s">
        <v>1083</v>
      </c>
      <c r="F6" s="131" t="s">
        <v>1451</v>
      </c>
      <c r="M6" s="131" t="s">
        <v>1452</v>
      </c>
      <c r="N6" s="131" t="s">
        <v>1317</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1089</v>
      </c>
      <c r="B7" s="131" t="s">
        <v>1453</v>
      </c>
      <c r="C7" s="131" t="s">
        <v>1007</v>
      </c>
      <c r="D7" s="131" t="s">
        <v>1081</v>
      </c>
      <c r="E7" s="131" t="s">
        <v>1083</v>
      </c>
      <c r="F7" s="131" t="s">
        <v>1453</v>
      </c>
      <c r="M7" s="131" t="s">
        <v>1454</v>
      </c>
      <c r="N7" s="131" t="s">
        <v>1317</v>
      </c>
      <c r="O7" s="127">
        <v>44358</v>
      </c>
      <c r="P7" s="127">
        <v>44358</v>
      </c>
      <c r="Q7" s="127">
        <v>44353</v>
      </c>
      <c r="R7" s="127">
        <v>44359</v>
      </c>
      <c r="S7" s="128">
        <v>24</v>
      </c>
      <c r="T7" s="128">
        <v>4</v>
      </c>
      <c r="U7" s="128">
        <v>0</v>
      </c>
      <c r="V7" s="129">
        <v>0</v>
      </c>
      <c r="W7" s="128">
        <v>0</v>
      </c>
      <c r="X7" s="130">
        <v>0</v>
      </c>
      <c r="Y7" s="130">
        <v>0</v>
      </c>
      <c r="Z7" s="130">
        <v>0</v>
      </c>
      <c r="AC7" s="129">
        <v>0</v>
      </c>
    </row>
    <row r="8" spans="1:30">
      <c r="A8" s="131" t="s">
        <v>1088</v>
      </c>
      <c r="B8" s="131" t="s">
        <v>1085</v>
      </c>
      <c r="C8" s="131" t="s">
        <v>1007</v>
      </c>
      <c r="D8" s="131" t="s">
        <v>1084</v>
      </c>
      <c r="E8" s="131" t="s">
        <v>1085</v>
      </c>
      <c r="M8" s="131" t="s">
        <v>1455</v>
      </c>
      <c r="N8" s="131" t="s">
        <v>1526</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1088</v>
      </c>
      <c r="B9" s="131" t="s">
        <v>1085</v>
      </c>
      <c r="C9" s="131" t="s">
        <v>1007</v>
      </c>
      <c r="D9" s="131" t="s">
        <v>1084</v>
      </c>
      <c r="E9" s="131" t="s">
        <v>1085</v>
      </c>
      <c r="M9" s="131" t="s">
        <v>1455</v>
      </c>
      <c r="N9" s="131" t="s">
        <v>1526</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1088</v>
      </c>
      <c r="B10" s="131" t="s">
        <v>1085</v>
      </c>
      <c r="C10" s="131" t="s">
        <v>1007</v>
      </c>
      <c r="D10" s="131" t="s">
        <v>1084</v>
      </c>
      <c r="E10" s="131" t="s">
        <v>1085</v>
      </c>
      <c r="M10" s="131" t="s">
        <v>1455</v>
      </c>
      <c r="N10" s="131" t="s">
        <v>1526</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1088</v>
      </c>
      <c r="B11" s="131" t="s">
        <v>1085</v>
      </c>
      <c r="C11" s="131" t="s">
        <v>1007</v>
      </c>
      <c r="D11" s="131" t="s">
        <v>1084</v>
      </c>
      <c r="E11" s="131" t="s">
        <v>1085</v>
      </c>
      <c r="M11" s="131" t="s">
        <v>1455</v>
      </c>
      <c r="N11" s="131" t="s">
        <v>1526</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1088</v>
      </c>
      <c r="B12" s="131" t="s">
        <v>1085</v>
      </c>
      <c r="C12" s="131" t="s">
        <v>1007</v>
      </c>
      <c r="D12" s="131" t="s">
        <v>1084</v>
      </c>
      <c r="E12" s="131" t="s">
        <v>1085</v>
      </c>
      <c r="M12" s="131" t="s">
        <v>1455</v>
      </c>
      <c r="N12" s="131" t="s">
        <v>1526</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1088</v>
      </c>
      <c r="B13" s="131" t="s">
        <v>1106</v>
      </c>
      <c r="C13" s="131" t="s">
        <v>1007</v>
      </c>
      <c r="D13" s="131" t="s">
        <v>1084</v>
      </c>
      <c r="E13" s="131" t="s">
        <v>1106</v>
      </c>
      <c r="M13" s="131" t="s">
        <v>1456</v>
      </c>
      <c r="N13" s="131" t="s">
        <v>1526</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1088</v>
      </c>
      <c r="B14" s="131" t="s">
        <v>1457</v>
      </c>
      <c r="C14" s="131" t="s">
        <v>1007</v>
      </c>
      <c r="D14" s="131" t="s">
        <v>1084</v>
      </c>
      <c r="E14" s="131" t="s">
        <v>1457</v>
      </c>
      <c r="M14" s="131" t="s">
        <v>1458</v>
      </c>
      <c r="N14" s="131" t="s">
        <v>1526</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1088</v>
      </c>
      <c r="B15" s="131" t="s">
        <v>1457</v>
      </c>
      <c r="C15" s="131" t="s">
        <v>1007</v>
      </c>
      <c r="D15" s="131" t="s">
        <v>1084</v>
      </c>
      <c r="E15" s="131" t="s">
        <v>1457</v>
      </c>
      <c r="M15" s="131" t="s">
        <v>1458</v>
      </c>
      <c r="N15" s="131" t="s">
        <v>1526</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1088</v>
      </c>
      <c r="B16" s="131" t="s">
        <v>1457</v>
      </c>
      <c r="C16" s="131" t="s">
        <v>1007</v>
      </c>
      <c r="D16" s="131" t="s">
        <v>1084</v>
      </c>
      <c r="E16" s="131" t="s">
        <v>1457</v>
      </c>
      <c r="M16" s="131" t="s">
        <v>1458</v>
      </c>
      <c r="N16" s="131" t="s">
        <v>1526</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1088</v>
      </c>
      <c r="B17" s="131" t="s">
        <v>1457</v>
      </c>
      <c r="C17" s="131" t="s">
        <v>1007</v>
      </c>
      <c r="D17" s="131" t="s">
        <v>1084</v>
      </c>
      <c r="E17" s="131" t="s">
        <v>1457</v>
      </c>
      <c r="M17" s="131" t="s">
        <v>1458</v>
      </c>
      <c r="N17" s="131" t="s">
        <v>1526</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1088</v>
      </c>
      <c r="B18" s="131" t="s">
        <v>1457</v>
      </c>
      <c r="C18" s="131" t="s">
        <v>1007</v>
      </c>
      <c r="D18" s="131" t="s">
        <v>1084</v>
      </c>
      <c r="E18" s="131" t="s">
        <v>1457</v>
      </c>
      <c r="M18" s="131" t="s">
        <v>1458</v>
      </c>
      <c r="N18" s="131" t="s">
        <v>1526</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1088</v>
      </c>
      <c r="B19" s="131" t="s">
        <v>1459</v>
      </c>
      <c r="C19" s="131" t="s">
        <v>1007</v>
      </c>
      <c r="D19" s="131" t="s">
        <v>1084</v>
      </c>
      <c r="E19" s="131" t="s">
        <v>1459</v>
      </c>
      <c r="M19" s="131" t="s">
        <v>1460</v>
      </c>
      <c r="N19" s="131" t="s">
        <v>1441</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1088</v>
      </c>
      <c r="B20" s="131" t="s">
        <v>1087</v>
      </c>
      <c r="C20" s="131" t="s">
        <v>1007</v>
      </c>
      <c r="D20" s="131" t="s">
        <v>1086</v>
      </c>
      <c r="E20" s="131" t="s">
        <v>1087</v>
      </c>
      <c r="M20" s="131" t="s">
        <v>1461</v>
      </c>
      <c r="N20" s="131" t="s">
        <v>1318</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1088</v>
      </c>
      <c r="B21" s="131" t="s">
        <v>1087</v>
      </c>
      <c r="C21" s="131" t="s">
        <v>1007</v>
      </c>
      <c r="D21" s="131" t="s">
        <v>1086</v>
      </c>
      <c r="E21" s="131" t="s">
        <v>1087</v>
      </c>
      <c r="M21" s="131" t="s">
        <v>1461</v>
      </c>
      <c r="N21" s="131" t="s">
        <v>1317</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1088</v>
      </c>
      <c r="B22" s="131" t="s">
        <v>1087</v>
      </c>
      <c r="C22" s="131" t="s">
        <v>1007</v>
      </c>
      <c r="D22" s="131" t="s">
        <v>1086</v>
      </c>
      <c r="E22" s="131" t="s">
        <v>1087</v>
      </c>
      <c r="M22" s="131" t="s">
        <v>1461</v>
      </c>
      <c r="N22" s="131" t="s">
        <v>1318</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1088</v>
      </c>
      <c r="B23" s="131" t="s">
        <v>1087</v>
      </c>
      <c r="C23" s="131" t="s">
        <v>1007</v>
      </c>
      <c r="D23" s="131" t="s">
        <v>1086</v>
      </c>
      <c r="E23" s="131" t="s">
        <v>1087</v>
      </c>
      <c r="M23" s="131" t="s">
        <v>1461</v>
      </c>
      <c r="N23" s="131" t="s">
        <v>1317</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1088</v>
      </c>
      <c r="B24" s="131" t="s">
        <v>1107</v>
      </c>
      <c r="C24" s="131" t="s">
        <v>1007</v>
      </c>
      <c r="D24" s="131" t="s">
        <v>1086</v>
      </c>
      <c r="E24" s="131" t="s">
        <v>1107</v>
      </c>
      <c r="M24" s="131" t="s">
        <v>1462</v>
      </c>
      <c r="N24" s="131" t="s">
        <v>729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1088</v>
      </c>
      <c r="B25" s="131" t="s">
        <v>1107</v>
      </c>
      <c r="C25" s="131" t="s">
        <v>1007</v>
      </c>
      <c r="D25" s="131" t="s">
        <v>1086</v>
      </c>
      <c r="E25" s="131" t="s">
        <v>1107</v>
      </c>
      <c r="M25" s="131" t="s">
        <v>1462</v>
      </c>
      <c r="N25" s="131" t="s">
        <v>729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1088</v>
      </c>
      <c r="B26" s="131" t="s">
        <v>1107</v>
      </c>
      <c r="C26" s="131" t="s">
        <v>1007</v>
      </c>
      <c r="D26" s="131" t="s">
        <v>1086</v>
      </c>
      <c r="E26" s="131" t="s">
        <v>1107</v>
      </c>
      <c r="M26" s="131" t="s">
        <v>1462</v>
      </c>
      <c r="N26" s="131" t="s">
        <v>729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1088</v>
      </c>
      <c r="B27" s="131" t="s">
        <v>1107</v>
      </c>
      <c r="C27" s="131" t="s">
        <v>1007</v>
      </c>
      <c r="D27" s="131" t="s">
        <v>1086</v>
      </c>
      <c r="E27" s="131" t="s">
        <v>1107</v>
      </c>
      <c r="M27" s="131" t="s">
        <v>1462</v>
      </c>
      <c r="N27" s="131" t="s">
        <v>729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1088</v>
      </c>
      <c r="B28" s="131" t="s">
        <v>1463</v>
      </c>
      <c r="C28" s="131" t="s">
        <v>1007</v>
      </c>
      <c r="D28" s="131" t="s">
        <v>1086</v>
      </c>
      <c r="E28" s="131" t="s">
        <v>1463</v>
      </c>
      <c r="M28" s="131" t="s">
        <v>1464</v>
      </c>
      <c r="N28" s="131" t="s">
        <v>1349</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1088</v>
      </c>
      <c r="B29" s="131" t="s">
        <v>1463</v>
      </c>
      <c r="C29" s="131" t="s">
        <v>1007</v>
      </c>
      <c r="D29" s="131" t="s">
        <v>1086</v>
      </c>
      <c r="E29" s="131" t="s">
        <v>1463</v>
      </c>
      <c r="M29" s="131" t="s">
        <v>1464</v>
      </c>
      <c r="N29" s="131" t="s">
        <v>1350</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1088</v>
      </c>
      <c r="B30" s="131" t="s">
        <v>1465</v>
      </c>
      <c r="C30" s="131" t="s">
        <v>1007</v>
      </c>
      <c r="D30" s="131" t="s">
        <v>1086</v>
      </c>
      <c r="E30" s="131" t="s">
        <v>1465</v>
      </c>
      <c r="M30" s="131" t="s">
        <v>1466</v>
      </c>
      <c r="N30" s="131" t="s">
        <v>1441</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1088</v>
      </c>
      <c r="B31" s="131" t="s">
        <v>1467</v>
      </c>
      <c r="C31" s="131" t="s">
        <v>1071</v>
      </c>
      <c r="D31" s="131" t="s">
        <v>1519</v>
      </c>
      <c r="E31" s="131" t="s">
        <v>1467</v>
      </c>
      <c r="M31" s="131" t="s">
        <v>1468</v>
      </c>
      <c r="N31" s="131" t="s">
        <v>1441</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1088</v>
      </c>
      <c r="B32" s="131" t="s">
        <v>1467</v>
      </c>
      <c r="C32" s="131" t="s">
        <v>1071</v>
      </c>
      <c r="D32" s="131" t="s">
        <v>1519</v>
      </c>
      <c r="E32" s="131" t="s">
        <v>1467</v>
      </c>
      <c r="M32" s="131" t="s">
        <v>1468</v>
      </c>
      <c r="N32" s="131" t="s">
        <v>1441</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1088</v>
      </c>
      <c r="B33" s="131" t="s">
        <v>1467</v>
      </c>
      <c r="C33" s="131" t="s">
        <v>1071</v>
      </c>
      <c r="D33" s="131" t="s">
        <v>1519</v>
      </c>
      <c r="E33" s="131" t="s">
        <v>1467</v>
      </c>
      <c r="M33" s="131" t="s">
        <v>1468</v>
      </c>
      <c r="N33" s="131" t="s">
        <v>1441</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1088</v>
      </c>
      <c r="B34" s="131" t="s">
        <v>1467</v>
      </c>
      <c r="C34" s="131" t="s">
        <v>1071</v>
      </c>
      <c r="D34" s="131" t="s">
        <v>1519</v>
      </c>
      <c r="E34" s="131" t="s">
        <v>1467</v>
      </c>
      <c r="M34" s="131" t="s">
        <v>1468</v>
      </c>
      <c r="N34" s="131" t="s">
        <v>1441</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1089</v>
      </c>
      <c r="B35" s="131" t="s">
        <v>1470</v>
      </c>
      <c r="C35" s="131" t="s">
        <v>1071</v>
      </c>
      <c r="D35" s="131" t="s">
        <v>1519</v>
      </c>
      <c r="E35" s="131" t="s">
        <v>1469</v>
      </c>
      <c r="F35" s="131" t="s">
        <v>1470</v>
      </c>
      <c r="M35" s="131" t="s">
        <v>1471</v>
      </c>
      <c r="N35" s="131" t="s">
        <v>1441</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1089</v>
      </c>
      <c r="B36" s="131" t="s">
        <v>1470</v>
      </c>
      <c r="C36" s="131" t="s">
        <v>1071</v>
      </c>
      <c r="D36" s="131" t="s">
        <v>1519</v>
      </c>
      <c r="E36" s="131" t="s">
        <v>1469</v>
      </c>
      <c r="F36" s="131" t="s">
        <v>1470</v>
      </c>
      <c r="M36" s="131" t="s">
        <v>1471</v>
      </c>
      <c r="N36" s="131" t="s">
        <v>1441</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1089</v>
      </c>
      <c r="B37" s="131" t="s">
        <v>1470</v>
      </c>
      <c r="C37" s="131" t="s">
        <v>1071</v>
      </c>
      <c r="D37" s="131" t="s">
        <v>1519</v>
      </c>
      <c r="E37" s="131" t="s">
        <v>1469</v>
      </c>
      <c r="F37" s="131" t="s">
        <v>1470</v>
      </c>
      <c r="M37" s="131" t="s">
        <v>1471</v>
      </c>
      <c r="N37" s="131" t="s">
        <v>1441</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1089</v>
      </c>
      <c r="B38" s="131" t="s">
        <v>1470</v>
      </c>
      <c r="C38" s="131" t="s">
        <v>1071</v>
      </c>
      <c r="D38" s="131" t="s">
        <v>1519</v>
      </c>
      <c r="E38" s="131" t="s">
        <v>1469</v>
      </c>
      <c r="F38" s="131" t="s">
        <v>1470</v>
      </c>
      <c r="M38" s="131" t="s">
        <v>1471</v>
      </c>
      <c r="N38" s="131" t="s">
        <v>1441</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1089</v>
      </c>
      <c r="B39" s="131" t="s">
        <v>1472</v>
      </c>
      <c r="C39" s="131" t="s">
        <v>1071</v>
      </c>
      <c r="D39" s="131" t="s">
        <v>1519</v>
      </c>
      <c r="E39" s="131" t="s">
        <v>1469</v>
      </c>
      <c r="F39" s="131" t="s">
        <v>1472</v>
      </c>
      <c r="M39" s="131" t="s">
        <v>1473</v>
      </c>
      <c r="N39" s="131" t="s">
        <v>1319</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1089</v>
      </c>
      <c r="B40" s="131" t="s">
        <v>1472</v>
      </c>
      <c r="C40" s="131" t="s">
        <v>1071</v>
      </c>
      <c r="D40" s="131" t="s">
        <v>1519</v>
      </c>
      <c r="E40" s="131" t="s">
        <v>1469</v>
      </c>
      <c r="F40" s="131" t="s">
        <v>1472</v>
      </c>
      <c r="M40" s="131" t="s">
        <v>1473</v>
      </c>
      <c r="N40" s="131" t="s">
        <v>1317</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1089</v>
      </c>
      <c r="B41" s="131" t="s">
        <v>1472</v>
      </c>
      <c r="C41" s="131" t="s">
        <v>1071</v>
      </c>
      <c r="D41" s="131" t="s">
        <v>1519</v>
      </c>
      <c r="E41" s="131" t="s">
        <v>1469</v>
      </c>
      <c r="F41" s="131" t="s">
        <v>1472</v>
      </c>
      <c r="M41" s="131" t="s">
        <v>1473</v>
      </c>
      <c r="N41" s="131" t="s">
        <v>1319</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1089</v>
      </c>
      <c r="B42" s="131" t="s">
        <v>1472</v>
      </c>
      <c r="C42" s="131" t="s">
        <v>1071</v>
      </c>
      <c r="D42" s="131" t="s">
        <v>1519</v>
      </c>
      <c r="E42" s="131" t="s">
        <v>1469</v>
      </c>
      <c r="F42" s="131" t="s">
        <v>1472</v>
      </c>
      <c r="M42" s="131" t="s">
        <v>1473</v>
      </c>
      <c r="N42" s="131" t="s">
        <v>1317</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1089</v>
      </c>
      <c r="B43" s="131" t="s">
        <v>1472</v>
      </c>
      <c r="C43" s="131" t="s">
        <v>1071</v>
      </c>
      <c r="D43" s="131" t="s">
        <v>1519</v>
      </c>
      <c r="E43" s="131" t="s">
        <v>1469</v>
      </c>
      <c r="F43" s="131" t="s">
        <v>1472</v>
      </c>
      <c r="M43" s="131" t="s">
        <v>1473</v>
      </c>
      <c r="N43" s="131" t="s">
        <v>1319</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1089</v>
      </c>
      <c r="B44" s="131" t="s">
        <v>1472</v>
      </c>
      <c r="C44" s="131" t="s">
        <v>1071</v>
      </c>
      <c r="D44" s="131" t="s">
        <v>1519</v>
      </c>
      <c r="E44" s="131" t="s">
        <v>1469</v>
      </c>
      <c r="F44" s="131" t="s">
        <v>1472</v>
      </c>
      <c r="M44" s="131" t="s">
        <v>1473</v>
      </c>
      <c r="N44" s="131" t="s">
        <v>1317</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1089</v>
      </c>
      <c r="B45" s="131" t="s">
        <v>1472</v>
      </c>
      <c r="C45" s="131" t="s">
        <v>1071</v>
      </c>
      <c r="D45" s="131" t="s">
        <v>1519</v>
      </c>
      <c r="E45" s="131" t="s">
        <v>1469</v>
      </c>
      <c r="F45" s="131" t="s">
        <v>1472</v>
      </c>
      <c r="M45" s="131" t="s">
        <v>1473</v>
      </c>
      <c r="N45" s="131" t="s">
        <v>1319</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1089</v>
      </c>
      <c r="B46" s="131" t="s">
        <v>1472</v>
      </c>
      <c r="C46" s="131" t="s">
        <v>1071</v>
      </c>
      <c r="D46" s="131" t="s">
        <v>1519</v>
      </c>
      <c r="E46" s="131" t="s">
        <v>1469</v>
      </c>
      <c r="F46" s="131" t="s">
        <v>1472</v>
      </c>
      <c r="M46" s="131" t="s">
        <v>1473</v>
      </c>
      <c r="N46" s="131" t="s">
        <v>1317</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1088</v>
      </c>
      <c r="B47" s="131" t="s">
        <v>1474</v>
      </c>
      <c r="C47" s="131" t="s">
        <v>1071</v>
      </c>
      <c r="D47" s="131" t="s">
        <v>1520</v>
      </c>
      <c r="E47" s="131" t="s">
        <v>1474</v>
      </c>
      <c r="M47" s="131" t="s">
        <v>1475</v>
      </c>
      <c r="N47" s="131" t="s">
        <v>1441</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1088</v>
      </c>
      <c r="B48" s="131" t="s">
        <v>1474</v>
      </c>
      <c r="C48" s="131" t="s">
        <v>1071</v>
      </c>
      <c r="D48" s="131" t="s">
        <v>1520</v>
      </c>
      <c r="E48" s="131" t="s">
        <v>1474</v>
      </c>
      <c r="M48" s="131" t="s">
        <v>1475</v>
      </c>
      <c r="N48" s="131" t="s">
        <v>1441</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1088</v>
      </c>
      <c r="B49" s="131" t="s">
        <v>1474</v>
      </c>
      <c r="C49" s="131" t="s">
        <v>1071</v>
      </c>
      <c r="D49" s="131" t="s">
        <v>1520</v>
      </c>
      <c r="E49" s="131" t="s">
        <v>1474</v>
      </c>
      <c r="M49" s="131" t="s">
        <v>1475</v>
      </c>
      <c r="N49" s="131" t="s">
        <v>1441</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1089</v>
      </c>
      <c r="B50" s="131" t="s">
        <v>1477</v>
      </c>
      <c r="C50" s="131" t="s">
        <v>1071</v>
      </c>
      <c r="D50" s="131" t="s">
        <v>1520</v>
      </c>
      <c r="E50" s="131" t="s">
        <v>1476</v>
      </c>
      <c r="F50" s="131" t="s">
        <v>1477</v>
      </c>
      <c r="M50" s="131" t="s">
        <v>1478</v>
      </c>
      <c r="N50" s="131" t="s">
        <v>1441</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1089</v>
      </c>
      <c r="B51" s="131" t="s">
        <v>1477</v>
      </c>
      <c r="C51" s="131" t="s">
        <v>1071</v>
      </c>
      <c r="D51" s="131" t="s">
        <v>1520</v>
      </c>
      <c r="E51" s="131" t="s">
        <v>1476</v>
      </c>
      <c r="F51" s="131" t="s">
        <v>1477</v>
      </c>
      <c r="M51" s="131" t="s">
        <v>1478</v>
      </c>
      <c r="N51" s="131" t="s">
        <v>1441</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1089</v>
      </c>
      <c r="B52" s="131" t="s">
        <v>1479</v>
      </c>
      <c r="C52" s="131" t="s">
        <v>1071</v>
      </c>
      <c r="D52" s="131" t="s">
        <v>1520</v>
      </c>
      <c r="E52" s="131" t="s">
        <v>1476</v>
      </c>
      <c r="F52" s="131" t="s">
        <v>1479</v>
      </c>
      <c r="M52" s="131" t="s">
        <v>1480</v>
      </c>
      <c r="N52" s="131" t="s">
        <v>1441</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1089</v>
      </c>
      <c r="B53" s="131" t="s">
        <v>1479</v>
      </c>
      <c r="C53" s="131" t="s">
        <v>1071</v>
      </c>
      <c r="D53" s="131" t="s">
        <v>1520</v>
      </c>
      <c r="E53" s="131" t="s">
        <v>1476</v>
      </c>
      <c r="F53" s="131" t="s">
        <v>1479</v>
      </c>
      <c r="M53" s="131" t="s">
        <v>1480</v>
      </c>
      <c r="N53" s="131" t="s">
        <v>1441</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1089</v>
      </c>
      <c r="B54" s="131" t="s">
        <v>1481</v>
      </c>
      <c r="C54" s="131" t="s">
        <v>1071</v>
      </c>
      <c r="D54" s="131" t="s">
        <v>1520</v>
      </c>
      <c r="E54" s="131" t="s">
        <v>1476</v>
      </c>
      <c r="F54" s="131" t="s">
        <v>1481</v>
      </c>
      <c r="M54" s="131" t="s">
        <v>1482</v>
      </c>
      <c r="N54" s="131" t="s">
        <v>1441</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1089</v>
      </c>
      <c r="B55" s="131" t="s">
        <v>1481</v>
      </c>
      <c r="C55" s="131" t="s">
        <v>1071</v>
      </c>
      <c r="D55" s="131" t="s">
        <v>1520</v>
      </c>
      <c r="E55" s="131" t="s">
        <v>1476</v>
      </c>
      <c r="F55" s="131" t="s">
        <v>1481</v>
      </c>
      <c r="M55" s="131" t="s">
        <v>1482</v>
      </c>
      <c r="N55" s="131" t="s">
        <v>1441</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1089</v>
      </c>
      <c r="B56" s="131" t="s">
        <v>1481</v>
      </c>
      <c r="C56" s="131" t="s">
        <v>1071</v>
      </c>
      <c r="D56" s="131" t="s">
        <v>1520</v>
      </c>
      <c r="E56" s="131" t="s">
        <v>1476</v>
      </c>
      <c r="F56" s="131" t="s">
        <v>1481</v>
      </c>
      <c r="M56" s="131" t="s">
        <v>1482</v>
      </c>
      <c r="N56" s="131" t="s">
        <v>1441</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1088</v>
      </c>
      <c r="B57" s="131" t="s">
        <v>1483</v>
      </c>
      <c r="C57" s="131" t="s">
        <v>1071</v>
      </c>
      <c r="D57" s="131" t="s">
        <v>1520</v>
      </c>
      <c r="E57" s="131" t="s">
        <v>1483</v>
      </c>
      <c r="M57" s="131" t="s">
        <v>1484</v>
      </c>
      <c r="N57" s="131" t="s">
        <v>1441</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1089</v>
      </c>
      <c r="B58" s="131" t="s">
        <v>1486</v>
      </c>
      <c r="C58" s="131" t="s">
        <v>1071</v>
      </c>
      <c r="D58" s="131" t="s">
        <v>1521</v>
      </c>
      <c r="E58" s="131" t="s">
        <v>1485</v>
      </c>
      <c r="F58" s="131" t="s">
        <v>1486</v>
      </c>
      <c r="M58" s="131" t="s">
        <v>1487</v>
      </c>
      <c r="N58" s="131" t="s">
        <v>1441</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1091</v>
      </c>
      <c r="B59" s="131" t="s">
        <v>1490</v>
      </c>
      <c r="C59" s="131" t="s">
        <v>1071</v>
      </c>
      <c r="D59" s="131" t="s">
        <v>1521</v>
      </c>
      <c r="E59" s="131" t="s">
        <v>1485</v>
      </c>
      <c r="F59" s="131" t="s">
        <v>1488</v>
      </c>
      <c r="G59" s="131" t="s">
        <v>1489</v>
      </c>
      <c r="H59" s="131" t="s">
        <v>1490</v>
      </c>
      <c r="M59" s="131" t="s">
        <v>1491</v>
      </c>
      <c r="N59" s="131" t="s">
        <v>1441</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1091</v>
      </c>
      <c r="B60" s="131" t="s">
        <v>1492</v>
      </c>
      <c r="C60" s="131" t="s">
        <v>1071</v>
      </c>
      <c r="D60" s="131" t="s">
        <v>1521</v>
      </c>
      <c r="E60" s="131" t="s">
        <v>1485</v>
      </c>
      <c r="F60" s="131" t="s">
        <v>1488</v>
      </c>
      <c r="G60" s="131" t="s">
        <v>1489</v>
      </c>
      <c r="H60" s="131" t="s">
        <v>1492</v>
      </c>
      <c r="M60" s="131" t="s">
        <v>1493</v>
      </c>
      <c r="N60" s="131" t="s">
        <v>1441</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1091</v>
      </c>
      <c r="B61" s="131" t="s">
        <v>1494</v>
      </c>
      <c r="C61" s="131" t="s">
        <v>1071</v>
      </c>
      <c r="D61" s="131" t="s">
        <v>1521</v>
      </c>
      <c r="E61" s="131" t="s">
        <v>1485</v>
      </c>
      <c r="F61" s="131" t="s">
        <v>1488</v>
      </c>
      <c r="G61" s="131" t="s">
        <v>1489</v>
      </c>
      <c r="H61" s="131" t="s">
        <v>1494</v>
      </c>
      <c r="M61" s="131" t="s">
        <v>1495</v>
      </c>
      <c r="N61" s="131" t="s">
        <v>1441</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1091</v>
      </c>
      <c r="B62" s="131" t="s">
        <v>1494</v>
      </c>
      <c r="C62" s="131" t="s">
        <v>1071</v>
      </c>
      <c r="D62" s="131" t="s">
        <v>1521</v>
      </c>
      <c r="E62" s="131" t="s">
        <v>1485</v>
      </c>
      <c r="F62" s="131" t="s">
        <v>1488</v>
      </c>
      <c r="G62" s="131" t="s">
        <v>1489</v>
      </c>
      <c r="H62" s="131" t="s">
        <v>1494</v>
      </c>
      <c r="M62" s="131" t="s">
        <v>1495</v>
      </c>
      <c r="N62" s="131" t="s">
        <v>1441</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1090</v>
      </c>
      <c r="B63" s="131" t="s">
        <v>1496</v>
      </c>
      <c r="C63" s="131" t="s">
        <v>1071</v>
      </c>
      <c r="D63" s="131" t="s">
        <v>1521</v>
      </c>
      <c r="E63" s="131" t="s">
        <v>1485</v>
      </c>
      <c r="F63" s="131" t="s">
        <v>1488</v>
      </c>
      <c r="G63" s="131" t="s">
        <v>1496</v>
      </c>
      <c r="M63" s="131" t="s">
        <v>1497</v>
      </c>
      <c r="N63" s="131" t="s">
        <v>1441</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1090</v>
      </c>
      <c r="B64" s="131" t="s">
        <v>1496</v>
      </c>
      <c r="C64" s="131" t="s">
        <v>1071</v>
      </c>
      <c r="D64" s="131" t="s">
        <v>1521</v>
      </c>
      <c r="E64" s="131" t="s">
        <v>1485</v>
      </c>
      <c r="F64" s="131" t="s">
        <v>1488</v>
      </c>
      <c r="G64" s="131" t="s">
        <v>1496</v>
      </c>
      <c r="M64" s="131" t="s">
        <v>1497</v>
      </c>
      <c r="N64" s="131" t="s">
        <v>1441</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1090</v>
      </c>
      <c r="B65" s="131" t="s">
        <v>1496</v>
      </c>
      <c r="C65" s="131" t="s">
        <v>1071</v>
      </c>
      <c r="D65" s="131" t="s">
        <v>1521</v>
      </c>
      <c r="E65" s="131" t="s">
        <v>1485</v>
      </c>
      <c r="F65" s="131" t="s">
        <v>1488</v>
      </c>
      <c r="G65" s="131" t="s">
        <v>1496</v>
      </c>
      <c r="M65" s="131" t="s">
        <v>1497</v>
      </c>
      <c r="N65" s="131" t="s">
        <v>1441</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1090</v>
      </c>
      <c r="B66" s="131" t="s">
        <v>1496</v>
      </c>
      <c r="C66" s="131" t="s">
        <v>1071</v>
      </c>
      <c r="D66" s="131" t="s">
        <v>1521</v>
      </c>
      <c r="E66" s="131" t="s">
        <v>1485</v>
      </c>
      <c r="F66" s="131" t="s">
        <v>1488</v>
      </c>
      <c r="G66" s="131" t="s">
        <v>1496</v>
      </c>
      <c r="M66" s="131" t="s">
        <v>1497</v>
      </c>
      <c r="N66" s="131" t="s">
        <v>1441</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1090</v>
      </c>
      <c r="B67" s="131" t="s">
        <v>1496</v>
      </c>
      <c r="C67" s="131" t="s">
        <v>1071</v>
      </c>
      <c r="D67" s="131" t="s">
        <v>1521</v>
      </c>
      <c r="E67" s="131" t="s">
        <v>1485</v>
      </c>
      <c r="F67" s="131" t="s">
        <v>1488</v>
      </c>
      <c r="G67" s="131" t="s">
        <v>1496</v>
      </c>
      <c r="M67" s="131" t="s">
        <v>1497</v>
      </c>
      <c r="N67" s="131" t="s">
        <v>1441</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1090</v>
      </c>
      <c r="B68" s="131" t="s">
        <v>1496</v>
      </c>
      <c r="C68" s="131" t="s">
        <v>1071</v>
      </c>
      <c r="D68" s="131" t="s">
        <v>1521</v>
      </c>
      <c r="E68" s="131" t="s">
        <v>1485</v>
      </c>
      <c r="F68" s="131" t="s">
        <v>1488</v>
      </c>
      <c r="G68" s="131" t="s">
        <v>1496</v>
      </c>
      <c r="M68" s="131" t="s">
        <v>1497</v>
      </c>
      <c r="N68" s="131" t="s">
        <v>1441</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1090</v>
      </c>
      <c r="B69" s="131" t="s">
        <v>1496</v>
      </c>
      <c r="C69" s="131" t="s">
        <v>1071</v>
      </c>
      <c r="D69" s="131" t="s">
        <v>1521</v>
      </c>
      <c r="E69" s="131" t="s">
        <v>1485</v>
      </c>
      <c r="F69" s="131" t="s">
        <v>1488</v>
      </c>
      <c r="G69" s="131" t="s">
        <v>1496</v>
      </c>
      <c r="M69" s="131" t="s">
        <v>1497</v>
      </c>
      <c r="N69" s="131" t="s">
        <v>1441</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1090</v>
      </c>
      <c r="B70" s="131" t="s">
        <v>1496</v>
      </c>
      <c r="C70" s="131" t="s">
        <v>1071</v>
      </c>
      <c r="D70" s="131" t="s">
        <v>1521</v>
      </c>
      <c r="E70" s="131" t="s">
        <v>1485</v>
      </c>
      <c r="F70" s="131" t="s">
        <v>1488</v>
      </c>
      <c r="G70" s="131" t="s">
        <v>1496</v>
      </c>
      <c r="M70" s="131" t="s">
        <v>1497</v>
      </c>
      <c r="N70" s="131" t="s">
        <v>1441</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1090</v>
      </c>
      <c r="B71" s="131" t="s">
        <v>1496</v>
      </c>
      <c r="C71" s="131" t="s">
        <v>1071</v>
      </c>
      <c r="D71" s="131" t="s">
        <v>1521</v>
      </c>
      <c r="E71" s="131" t="s">
        <v>1485</v>
      </c>
      <c r="F71" s="131" t="s">
        <v>1488</v>
      </c>
      <c r="G71" s="131" t="s">
        <v>1496</v>
      </c>
      <c r="M71" s="131" t="s">
        <v>1497</v>
      </c>
      <c r="N71" s="131" t="s">
        <v>1441</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1090</v>
      </c>
      <c r="B72" s="131" t="s">
        <v>1498</v>
      </c>
      <c r="C72" s="131" t="s">
        <v>1071</v>
      </c>
      <c r="D72" s="131" t="s">
        <v>1521</v>
      </c>
      <c r="E72" s="131" t="s">
        <v>1485</v>
      </c>
      <c r="F72" s="131" t="s">
        <v>1488</v>
      </c>
      <c r="G72" s="131" t="s">
        <v>1498</v>
      </c>
      <c r="M72" s="131" t="s">
        <v>1499</v>
      </c>
      <c r="N72" s="131" t="s">
        <v>1441</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1090</v>
      </c>
      <c r="B73" s="131" t="s">
        <v>1498</v>
      </c>
      <c r="C73" s="131" t="s">
        <v>1071</v>
      </c>
      <c r="D73" s="131" t="s">
        <v>1521</v>
      </c>
      <c r="E73" s="131" t="s">
        <v>1485</v>
      </c>
      <c r="F73" s="131" t="s">
        <v>1488</v>
      </c>
      <c r="G73" s="131" t="s">
        <v>1498</v>
      </c>
      <c r="M73" s="131" t="s">
        <v>1499</v>
      </c>
      <c r="N73" s="131" t="s">
        <v>1441</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1090</v>
      </c>
      <c r="B74" s="131" t="s">
        <v>1498</v>
      </c>
      <c r="C74" s="131" t="s">
        <v>1071</v>
      </c>
      <c r="D74" s="131" t="s">
        <v>1521</v>
      </c>
      <c r="E74" s="131" t="s">
        <v>1485</v>
      </c>
      <c r="F74" s="131" t="s">
        <v>1488</v>
      </c>
      <c r="G74" s="131" t="s">
        <v>1498</v>
      </c>
      <c r="M74" s="131" t="s">
        <v>1499</v>
      </c>
      <c r="N74" s="131" t="s">
        <v>1441</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1090</v>
      </c>
      <c r="B75" s="131" t="s">
        <v>1498</v>
      </c>
      <c r="C75" s="131" t="s">
        <v>1071</v>
      </c>
      <c r="D75" s="131" t="s">
        <v>1521</v>
      </c>
      <c r="E75" s="131" t="s">
        <v>1485</v>
      </c>
      <c r="F75" s="131" t="s">
        <v>1488</v>
      </c>
      <c r="G75" s="131" t="s">
        <v>1498</v>
      </c>
      <c r="M75" s="131" t="s">
        <v>1499</v>
      </c>
      <c r="N75" s="131" t="s">
        <v>1441</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1090</v>
      </c>
      <c r="B76" s="131" t="s">
        <v>1498</v>
      </c>
      <c r="C76" s="131" t="s">
        <v>1071</v>
      </c>
      <c r="D76" s="131" t="s">
        <v>1521</v>
      </c>
      <c r="E76" s="131" t="s">
        <v>1485</v>
      </c>
      <c r="F76" s="131" t="s">
        <v>1488</v>
      </c>
      <c r="G76" s="131" t="s">
        <v>1498</v>
      </c>
      <c r="M76" s="131" t="s">
        <v>1499</v>
      </c>
      <c r="N76" s="131" t="s">
        <v>1441</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1090</v>
      </c>
      <c r="B77" s="131" t="s">
        <v>1498</v>
      </c>
      <c r="C77" s="131" t="s">
        <v>1071</v>
      </c>
      <c r="D77" s="131" t="s">
        <v>1521</v>
      </c>
      <c r="E77" s="131" t="s">
        <v>1485</v>
      </c>
      <c r="F77" s="131" t="s">
        <v>1488</v>
      </c>
      <c r="G77" s="131" t="s">
        <v>1498</v>
      </c>
      <c r="M77" s="131" t="s">
        <v>1499</v>
      </c>
      <c r="N77" s="131" t="s">
        <v>1441</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1090</v>
      </c>
      <c r="B78" s="131" t="s">
        <v>1498</v>
      </c>
      <c r="C78" s="131" t="s">
        <v>1071</v>
      </c>
      <c r="D78" s="131" t="s">
        <v>1521</v>
      </c>
      <c r="E78" s="131" t="s">
        <v>1485</v>
      </c>
      <c r="F78" s="131" t="s">
        <v>1488</v>
      </c>
      <c r="G78" s="131" t="s">
        <v>1498</v>
      </c>
      <c r="M78" s="131" t="s">
        <v>1499</v>
      </c>
      <c r="N78" s="131" t="s">
        <v>1441</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1090</v>
      </c>
      <c r="B79" s="131" t="s">
        <v>1498</v>
      </c>
      <c r="C79" s="131" t="s">
        <v>1071</v>
      </c>
      <c r="D79" s="131" t="s">
        <v>1521</v>
      </c>
      <c r="E79" s="131" t="s">
        <v>1485</v>
      </c>
      <c r="F79" s="131" t="s">
        <v>1488</v>
      </c>
      <c r="G79" s="131" t="s">
        <v>1498</v>
      </c>
      <c r="M79" s="131" t="s">
        <v>1499</v>
      </c>
      <c r="N79" s="131" t="s">
        <v>1441</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1090</v>
      </c>
      <c r="B80" s="131" t="s">
        <v>1498</v>
      </c>
      <c r="C80" s="131" t="s">
        <v>1071</v>
      </c>
      <c r="D80" s="131" t="s">
        <v>1521</v>
      </c>
      <c r="E80" s="131" t="s">
        <v>1485</v>
      </c>
      <c r="F80" s="131" t="s">
        <v>1488</v>
      </c>
      <c r="G80" s="131" t="s">
        <v>1498</v>
      </c>
      <c r="M80" s="131" t="s">
        <v>1499</v>
      </c>
      <c r="N80" s="131" t="s">
        <v>1441</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1090</v>
      </c>
      <c r="B81" s="131" t="s">
        <v>1500</v>
      </c>
      <c r="C81" s="131" t="s">
        <v>1071</v>
      </c>
      <c r="D81" s="131" t="s">
        <v>1521</v>
      </c>
      <c r="E81" s="131" t="s">
        <v>1485</v>
      </c>
      <c r="F81" s="131" t="s">
        <v>1488</v>
      </c>
      <c r="G81" s="131" t="s">
        <v>1500</v>
      </c>
      <c r="M81" s="131" t="s">
        <v>1501</v>
      </c>
      <c r="N81" s="131" t="s">
        <v>1441</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1090</v>
      </c>
      <c r="B82" s="131" t="s">
        <v>1500</v>
      </c>
      <c r="C82" s="131" t="s">
        <v>1071</v>
      </c>
      <c r="D82" s="131" t="s">
        <v>1521</v>
      </c>
      <c r="E82" s="131" t="s">
        <v>1485</v>
      </c>
      <c r="F82" s="131" t="s">
        <v>1488</v>
      </c>
      <c r="G82" s="131" t="s">
        <v>1500</v>
      </c>
      <c r="M82" s="131" t="s">
        <v>1501</v>
      </c>
      <c r="N82" s="131" t="s">
        <v>1441</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1090</v>
      </c>
      <c r="B83" s="131" t="s">
        <v>1500</v>
      </c>
      <c r="C83" s="131" t="s">
        <v>1071</v>
      </c>
      <c r="D83" s="131" t="s">
        <v>1521</v>
      </c>
      <c r="E83" s="131" t="s">
        <v>1485</v>
      </c>
      <c r="F83" s="131" t="s">
        <v>1488</v>
      </c>
      <c r="G83" s="131" t="s">
        <v>1500</v>
      </c>
      <c r="M83" s="131" t="s">
        <v>1501</v>
      </c>
      <c r="N83" s="131" t="s">
        <v>1441</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1090</v>
      </c>
      <c r="B84" s="131" t="s">
        <v>1500</v>
      </c>
      <c r="C84" s="131" t="s">
        <v>1071</v>
      </c>
      <c r="D84" s="131" t="s">
        <v>1521</v>
      </c>
      <c r="E84" s="131" t="s">
        <v>1485</v>
      </c>
      <c r="F84" s="131" t="s">
        <v>1488</v>
      </c>
      <c r="G84" s="131" t="s">
        <v>1500</v>
      </c>
      <c r="M84" s="131" t="s">
        <v>1501</v>
      </c>
      <c r="N84" s="131" t="s">
        <v>1441</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1090</v>
      </c>
      <c r="B85" s="131" t="s">
        <v>1500</v>
      </c>
      <c r="C85" s="131" t="s">
        <v>1071</v>
      </c>
      <c r="D85" s="131" t="s">
        <v>1521</v>
      </c>
      <c r="E85" s="131" t="s">
        <v>1485</v>
      </c>
      <c r="F85" s="131" t="s">
        <v>1488</v>
      </c>
      <c r="G85" s="131" t="s">
        <v>1500</v>
      </c>
      <c r="M85" s="131" t="s">
        <v>1501</v>
      </c>
      <c r="N85" s="131" t="s">
        <v>1441</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1090</v>
      </c>
      <c r="B86" s="131" t="s">
        <v>1500</v>
      </c>
      <c r="C86" s="131" t="s">
        <v>1071</v>
      </c>
      <c r="D86" s="131" t="s">
        <v>1521</v>
      </c>
      <c r="E86" s="131" t="s">
        <v>1485</v>
      </c>
      <c r="F86" s="131" t="s">
        <v>1488</v>
      </c>
      <c r="G86" s="131" t="s">
        <v>1500</v>
      </c>
      <c r="M86" s="131" t="s">
        <v>1501</v>
      </c>
      <c r="N86" s="131" t="s">
        <v>1441</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1090</v>
      </c>
      <c r="B87" s="131" t="s">
        <v>1500</v>
      </c>
      <c r="C87" s="131" t="s">
        <v>1071</v>
      </c>
      <c r="D87" s="131" t="s">
        <v>1521</v>
      </c>
      <c r="E87" s="131" t="s">
        <v>1485</v>
      </c>
      <c r="F87" s="131" t="s">
        <v>1488</v>
      </c>
      <c r="G87" s="131" t="s">
        <v>1500</v>
      </c>
      <c r="M87" s="131" t="s">
        <v>1501</v>
      </c>
      <c r="N87" s="131" t="s">
        <v>1441</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1089</v>
      </c>
      <c r="B88" s="131" t="s">
        <v>1503</v>
      </c>
      <c r="C88" s="131" t="s">
        <v>1071</v>
      </c>
      <c r="D88" s="131" t="s">
        <v>1521</v>
      </c>
      <c r="E88" s="131" t="s">
        <v>1502</v>
      </c>
      <c r="F88" s="131" t="s">
        <v>1503</v>
      </c>
      <c r="M88" s="131" t="s">
        <v>1504</v>
      </c>
      <c r="N88" s="131" t="s">
        <v>1441</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1089</v>
      </c>
      <c r="B89" s="131" t="s">
        <v>1503</v>
      </c>
      <c r="C89" s="131" t="s">
        <v>1071</v>
      </c>
      <c r="D89" s="131" t="s">
        <v>1521</v>
      </c>
      <c r="E89" s="131" t="s">
        <v>1502</v>
      </c>
      <c r="F89" s="131" t="s">
        <v>1503</v>
      </c>
      <c r="M89" s="131" t="s">
        <v>1504</v>
      </c>
      <c r="N89" s="131" t="s">
        <v>1441</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1089</v>
      </c>
      <c r="B90" s="131" t="s">
        <v>1503</v>
      </c>
      <c r="C90" s="131" t="s">
        <v>1071</v>
      </c>
      <c r="D90" s="131" t="s">
        <v>1521</v>
      </c>
      <c r="E90" s="131" t="s">
        <v>1502</v>
      </c>
      <c r="F90" s="131" t="s">
        <v>1503</v>
      </c>
      <c r="M90" s="131" t="s">
        <v>1504</v>
      </c>
      <c r="N90" s="131" t="s">
        <v>1441</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1089</v>
      </c>
      <c r="B91" s="131" t="s">
        <v>1505</v>
      </c>
      <c r="C91" s="131" t="s">
        <v>1071</v>
      </c>
      <c r="D91" s="131" t="s">
        <v>1521</v>
      </c>
      <c r="E91" s="131" t="s">
        <v>1502</v>
      </c>
      <c r="F91" s="131" t="s">
        <v>1505</v>
      </c>
      <c r="M91" s="131" t="s">
        <v>1506</v>
      </c>
      <c r="N91" s="131" t="s">
        <v>1441</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1089</v>
      </c>
      <c r="B92" s="131" t="s">
        <v>1508</v>
      </c>
      <c r="C92" s="131" t="s">
        <v>1071</v>
      </c>
      <c r="D92" s="131" t="s">
        <v>1522</v>
      </c>
      <c r="E92" s="131" t="s">
        <v>1507</v>
      </c>
      <c r="F92" s="131" t="s">
        <v>1508</v>
      </c>
      <c r="M92" s="131" t="s">
        <v>1509</v>
      </c>
      <c r="N92" s="131" t="s">
        <v>1441</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1089</v>
      </c>
      <c r="B93" s="131" t="s">
        <v>1511</v>
      </c>
      <c r="C93" s="131" t="s">
        <v>1071</v>
      </c>
      <c r="D93" s="131" t="s">
        <v>1522</v>
      </c>
      <c r="E93" s="131" t="s">
        <v>1510</v>
      </c>
      <c r="F93" s="131" t="s">
        <v>1511</v>
      </c>
      <c r="M93" s="131" t="s">
        <v>1512</v>
      </c>
      <c r="N93" s="131" t="s">
        <v>1441</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1089</v>
      </c>
      <c r="B94" s="131" t="s">
        <v>1513</v>
      </c>
      <c r="C94" s="131" t="s">
        <v>1071</v>
      </c>
      <c r="D94" s="131" t="s">
        <v>1522</v>
      </c>
      <c r="E94" s="131" t="s">
        <v>1510</v>
      </c>
      <c r="F94" s="131" t="s">
        <v>1513</v>
      </c>
      <c r="M94" s="131" t="s">
        <v>1514</v>
      </c>
      <c r="N94" s="131" t="s">
        <v>1441</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1089</v>
      </c>
      <c r="B95" s="131" t="s">
        <v>1515</v>
      </c>
      <c r="C95" s="131" t="s">
        <v>1071</v>
      </c>
      <c r="D95" s="131" t="s">
        <v>1522</v>
      </c>
      <c r="E95" s="131" t="s">
        <v>1510</v>
      </c>
      <c r="F95" s="131" t="s">
        <v>1515</v>
      </c>
      <c r="M95" s="131" t="s">
        <v>1516</v>
      </c>
      <c r="N95" s="131" t="s">
        <v>1441</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1089</v>
      </c>
      <c r="B96" s="131" t="s">
        <v>1517</v>
      </c>
      <c r="C96" s="131" t="s">
        <v>1071</v>
      </c>
      <c r="D96" s="131" t="s">
        <v>1522</v>
      </c>
      <c r="E96" s="131" t="s">
        <v>1510</v>
      </c>
      <c r="F96" s="131" t="s">
        <v>1517</v>
      </c>
      <c r="M96" s="131" t="s">
        <v>1518</v>
      </c>
      <c r="N96" s="131" t="s">
        <v>1441</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964</v>
      </c>
      <c r="B1" s="94" t="s">
        <v>967</v>
      </c>
      <c r="C1" s="94" t="s">
        <v>965</v>
      </c>
      <c r="D1" s="94" t="s">
        <v>1292</v>
      </c>
      <c r="E1" s="94" t="s">
        <v>963</v>
      </c>
      <c r="F1" s="94" t="s">
        <v>341</v>
      </c>
      <c r="G1" s="94" t="s">
        <v>1268</v>
      </c>
      <c r="H1" s="94" t="s">
        <v>529</v>
      </c>
      <c r="I1" s="137" t="s">
        <v>1389</v>
      </c>
      <c r="J1" s="137" t="s">
        <v>548</v>
      </c>
      <c r="K1" s="137" t="s">
        <v>1293</v>
      </c>
      <c r="L1" s="94" t="s">
        <v>123</v>
      </c>
      <c r="M1" s="94" t="s">
        <v>1388</v>
      </c>
      <c r="N1" s="137" t="s">
        <v>1392</v>
      </c>
      <c r="O1" s="94" t="s">
        <v>558</v>
      </c>
      <c r="P1" s="94" t="s">
        <v>559</v>
      </c>
      <c r="Q1" s="94" t="s">
        <v>560</v>
      </c>
      <c r="R1" s="94" t="s">
        <v>561</v>
      </c>
      <c r="S1" s="94" t="s">
        <v>562</v>
      </c>
      <c r="T1" s="94" t="s">
        <v>563</v>
      </c>
      <c r="U1" s="94" t="s">
        <v>564</v>
      </c>
      <c r="V1" s="94" t="s">
        <v>530</v>
      </c>
      <c r="W1" s="94" t="s">
        <v>1267</v>
      </c>
      <c r="X1" s="94" t="s">
        <v>531</v>
      </c>
      <c r="Y1" s="94" t="s">
        <v>762</v>
      </c>
      <c r="Z1" s="94" t="s">
        <v>589</v>
      </c>
    </row>
    <row r="2" spans="1:26">
      <c r="A2" s="212"/>
      <c r="B2" t="s">
        <v>1270</v>
      </c>
      <c r="C2" t="s">
        <v>1117</v>
      </c>
      <c r="D2" t="s">
        <v>1007</v>
      </c>
      <c r="E2">
        <v>1</v>
      </c>
      <c r="F2" t="s">
        <v>1007</v>
      </c>
      <c r="G2" t="s">
        <v>1271</v>
      </c>
      <c r="I2" s="83">
        <v>44340</v>
      </c>
      <c r="J2" s="83">
        <v>44407</v>
      </c>
      <c r="Y2">
        <v>0</v>
      </c>
      <c r="Z2">
        <v>0</v>
      </c>
    </row>
    <row r="3" spans="1:26">
      <c r="B3" s="83">
        <v>44317</v>
      </c>
      <c r="C3" t="s">
        <v>1118</v>
      </c>
      <c r="D3" t="s">
        <v>1071</v>
      </c>
      <c r="E3">
        <v>2</v>
      </c>
      <c r="F3" t="s">
        <v>1081</v>
      </c>
      <c r="G3" t="s">
        <v>640</v>
      </c>
      <c r="I3" s="83">
        <v>44340</v>
      </c>
      <c r="J3" s="83">
        <v>44344</v>
      </c>
      <c r="Y3">
        <v>0</v>
      </c>
      <c r="Z3">
        <v>0</v>
      </c>
    </row>
    <row r="4" spans="1:26">
      <c r="B4" s="83">
        <v>44439</v>
      </c>
      <c r="C4" t="s">
        <v>1119</v>
      </c>
      <c r="D4" t="s">
        <v>1088</v>
      </c>
      <c r="E4">
        <v>3</v>
      </c>
      <c r="F4" t="s">
        <v>1082</v>
      </c>
      <c r="G4" t="s">
        <v>1272</v>
      </c>
      <c r="I4" s="83">
        <v>44340</v>
      </c>
      <c r="J4" s="83">
        <v>44343</v>
      </c>
      <c r="W4" t="s">
        <v>1273</v>
      </c>
      <c r="Y4" s="84">
        <v>1</v>
      </c>
      <c r="Z4" s="84">
        <v>1</v>
      </c>
    </row>
    <row r="5" spans="1:26">
      <c r="B5" s="84">
        <v>0.45</v>
      </c>
      <c r="C5" t="s">
        <v>1120</v>
      </c>
      <c r="D5" t="s">
        <v>1089</v>
      </c>
      <c r="E5">
        <v>3</v>
      </c>
      <c r="F5" t="s">
        <v>1083</v>
      </c>
      <c r="G5" t="s">
        <v>1274</v>
      </c>
      <c r="I5" s="83">
        <v>44344</v>
      </c>
      <c r="J5" s="83">
        <v>44344</v>
      </c>
      <c r="K5" s="83" t="s">
        <v>1294</v>
      </c>
      <c r="N5" s="83" t="s">
        <v>1294</v>
      </c>
      <c r="R5" s="83"/>
      <c r="Y5" s="84">
        <v>1</v>
      </c>
      <c r="Z5" s="84">
        <v>1</v>
      </c>
    </row>
    <row r="6" spans="1:26">
      <c r="B6" s="93">
        <v>0.43330000000000002</v>
      </c>
      <c r="C6" t="s">
        <v>1121</v>
      </c>
      <c r="D6" t="s">
        <v>1090</v>
      </c>
      <c r="E6">
        <v>3</v>
      </c>
      <c r="F6" t="s">
        <v>1104</v>
      </c>
      <c r="G6" t="s">
        <v>1102</v>
      </c>
      <c r="I6" s="83">
        <v>44340</v>
      </c>
      <c r="J6" s="83">
        <v>44342</v>
      </c>
      <c r="W6" t="s">
        <v>1275</v>
      </c>
      <c r="Y6">
        <v>0</v>
      </c>
      <c r="Z6">
        <v>0</v>
      </c>
    </row>
    <row r="7" spans="1:26">
      <c r="C7" t="s">
        <v>1122</v>
      </c>
      <c r="D7" t="s">
        <v>1091</v>
      </c>
      <c r="E7">
        <v>3</v>
      </c>
      <c r="F7" t="s">
        <v>1105</v>
      </c>
      <c r="G7" t="s">
        <v>1103</v>
      </c>
      <c r="I7" s="83">
        <v>44343</v>
      </c>
      <c r="J7" s="83">
        <v>44344</v>
      </c>
      <c r="W7" t="s">
        <v>1275</v>
      </c>
      <c r="Y7">
        <v>0</v>
      </c>
      <c r="Z7">
        <v>0</v>
      </c>
    </row>
    <row r="8" spans="1:26">
      <c r="C8" t="s">
        <v>1123</v>
      </c>
      <c r="D8" t="s">
        <v>1092</v>
      </c>
      <c r="E8">
        <v>2</v>
      </c>
      <c r="F8" t="s">
        <v>1084</v>
      </c>
      <c r="G8" t="s">
        <v>1276</v>
      </c>
      <c r="I8" s="83">
        <v>44347</v>
      </c>
      <c r="J8" s="83">
        <v>44365</v>
      </c>
      <c r="Y8">
        <v>0</v>
      </c>
      <c r="Z8">
        <v>0</v>
      </c>
    </row>
    <row r="9" spans="1:26">
      <c r="C9" t="s">
        <v>1124</v>
      </c>
      <c r="D9" t="s">
        <v>1093</v>
      </c>
      <c r="E9">
        <v>3</v>
      </c>
      <c r="F9" t="s">
        <v>1085</v>
      </c>
      <c r="G9" t="s">
        <v>1277</v>
      </c>
      <c r="I9" s="83">
        <v>44347</v>
      </c>
      <c r="J9" s="83">
        <v>44351</v>
      </c>
      <c r="W9" t="s">
        <v>1278</v>
      </c>
      <c r="Y9">
        <v>0</v>
      </c>
      <c r="Z9">
        <v>0</v>
      </c>
    </row>
    <row r="10" spans="1:26">
      <c r="C10" t="s">
        <v>1125</v>
      </c>
      <c r="D10" t="s">
        <v>1094</v>
      </c>
      <c r="E10">
        <v>3</v>
      </c>
      <c r="F10" t="s">
        <v>1106</v>
      </c>
      <c r="G10" t="s">
        <v>1279</v>
      </c>
      <c r="I10" s="83">
        <v>44354</v>
      </c>
      <c r="J10" s="83">
        <v>44365</v>
      </c>
      <c r="W10" t="s">
        <v>1278</v>
      </c>
      <c r="Y10">
        <v>0</v>
      </c>
      <c r="Z10">
        <v>0</v>
      </c>
    </row>
    <row r="11" spans="1:26">
      <c r="D11" t="s">
        <v>1095</v>
      </c>
      <c r="E11">
        <v>2</v>
      </c>
      <c r="F11" t="s">
        <v>1086</v>
      </c>
      <c r="G11" t="s">
        <v>1280</v>
      </c>
      <c r="I11" s="83">
        <v>44368</v>
      </c>
      <c r="J11" s="83">
        <v>44393</v>
      </c>
      <c r="Y11">
        <v>0</v>
      </c>
      <c r="Z11">
        <v>0</v>
      </c>
    </row>
    <row r="12" spans="1:26">
      <c r="D12" t="s">
        <v>1096</v>
      </c>
      <c r="E12">
        <v>3</v>
      </c>
      <c r="F12" t="s">
        <v>1087</v>
      </c>
      <c r="G12" t="s">
        <v>1281</v>
      </c>
      <c r="I12" s="83">
        <v>44368</v>
      </c>
      <c r="J12" s="83">
        <v>44386</v>
      </c>
      <c r="Y12">
        <v>0</v>
      </c>
      <c r="Z12">
        <v>0</v>
      </c>
    </row>
    <row r="13" spans="1:26">
      <c r="D13" t="s">
        <v>1097</v>
      </c>
      <c r="E13">
        <v>3</v>
      </c>
      <c r="F13" t="s">
        <v>1107</v>
      </c>
      <c r="G13" t="s">
        <v>1282</v>
      </c>
      <c r="I13" s="83">
        <v>44389</v>
      </c>
      <c r="J13" s="83">
        <v>44393</v>
      </c>
      <c r="W13" t="s">
        <v>1283</v>
      </c>
      <c r="Y13">
        <v>0</v>
      </c>
      <c r="Z13">
        <v>0</v>
      </c>
    </row>
    <row r="14" spans="1:26">
      <c r="D14" t="s">
        <v>1098</v>
      </c>
      <c r="E14">
        <v>2</v>
      </c>
      <c r="F14" t="s">
        <v>1108</v>
      </c>
      <c r="G14" t="s">
        <v>1284</v>
      </c>
      <c r="I14" s="83">
        <v>44396</v>
      </c>
      <c r="J14" s="83">
        <v>44407</v>
      </c>
      <c r="Y14">
        <v>0</v>
      </c>
      <c r="Z14">
        <v>0</v>
      </c>
    </row>
    <row r="15" spans="1:26">
      <c r="D15" t="s">
        <v>1099</v>
      </c>
      <c r="E15">
        <v>3</v>
      </c>
      <c r="F15" t="s">
        <v>1109</v>
      </c>
      <c r="G15" t="s">
        <v>1285</v>
      </c>
      <c r="I15" s="83">
        <v>44396</v>
      </c>
      <c r="J15" s="83">
        <v>44400</v>
      </c>
      <c r="W15" t="s">
        <v>1286</v>
      </c>
      <c r="Y15">
        <v>0</v>
      </c>
      <c r="Z15">
        <v>0</v>
      </c>
    </row>
    <row r="16" spans="1:26">
      <c r="D16" t="s">
        <v>1100</v>
      </c>
      <c r="E16">
        <v>3</v>
      </c>
      <c r="F16" t="s">
        <v>1110</v>
      </c>
      <c r="G16" t="s">
        <v>1287</v>
      </c>
      <c r="I16" s="83">
        <v>44403</v>
      </c>
      <c r="J16" s="83">
        <v>44405</v>
      </c>
      <c r="K16" s="83" t="s">
        <v>1295</v>
      </c>
      <c r="N16" s="83" t="s">
        <v>1295</v>
      </c>
      <c r="W16" t="s">
        <v>1288</v>
      </c>
      <c r="Y16">
        <v>0</v>
      </c>
      <c r="Z16">
        <v>0</v>
      </c>
    </row>
    <row r="17" spans="4:26">
      <c r="D17" t="s">
        <v>1101</v>
      </c>
      <c r="E17">
        <v>3</v>
      </c>
      <c r="F17" t="s">
        <v>1111</v>
      </c>
      <c r="G17" t="s">
        <v>1289</v>
      </c>
      <c r="I17" s="83">
        <v>44406</v>
      </c>
      <c r="J17" s="83">
        <v>44407</v>
      </c>
      <c r="W17" t="s">
        <v>1290</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COCONUT</cp:lastModifiedBy>
  <cp:lastPrinted>2021-01-01T13:36:29Z</cp:lastPrinted>
  <dcterms:created xsi:type="dcterms:W3CDTF">2018-02-18T09:45:14Z</dcterms:created>
  <dcterms:modified xsi:type="dcterms:W3CDTF">2022-01-18T10:15:53Z</dcterms:modified>
</cp:coreProperties>
</file>