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46FE8165-5776-410C-ADDF-468560CA64DE}"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Schedule!$D$1:$AX$69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I5" i="2" l="1"/>
  <c r="AN5" i="2"/>
  <c r="AK6" i="2"/>
  <c r="AK7" i="2"/>
  <c r="AK8" i="2"/>
  <c r="AJ9" i="2"/>
  <c r="AK10" i="2"/>
  <c r="AJ11" i="2"/>
  <c r="AK12" i="2"/>
  <c r="AK13" i="2"/>
  <c r="AK14" i="2"/>
  <c r="AL15" i="2"/>
  <c r="AK16" i="2"/>
  <c r="AK17" i="2"/>
  <c r="AK18" i="2"/>
  <c r="AK19" i="2"/>
  <c r="AK20" i="2"/>
  <c r="AJ21" i="2"/>
  <c r="AJ22" i="2"/>
  <c r="AJ23" i="2"/>
  <c r="AK24" i="2"/>
  <c r="AK25" i="2"/>
  <c r="AL26" i="2"/>
  <c r="AL27" i="2"/>
  <c r="AL28" i="2"/>
  <c r="AI29" i="2"/>
  <c r="AM29" i="2"/>
  <c r="AI30" i="2"/>
  <c r="AM30" i="2"/>
  <c r="AI31" i="2"/>
  <c r="AM31" i="2"/>
  <c r="AF32" i="2"/>
  <c r="AF33" i="2"/>
  <c r="AF34" i="2"/>
  <c r="AF35" i="2"/>
  <c r="AL40" i="2"/>
  <c r="AL41" i="2"/>
  <c r="AL42" i="2"/>
  <c r="AL43" i="2"/>
  <c r="AL44" i="2"/>
  <c r="AM45" i="2"/>
  <c r="AL51" i="2"/>
  <c r="AL52" i="2"/>
  <c r="AK53" i="2"/>
  <c r="AK54" i="2"/>
  <c r="AK55" i="2"/>
  <c r="AN55" i="2"/>
  <c r="AJ56" i="2"/>
  <c r="AN56" i="2"/>
  <c r="AJ57" i="2"/>
  <c r="AN57" i="2"/>
  <c r="AJ58" i="2"/>
  <c r="AN58" i="2"/>
  <c r="AJ59" i="2"/>
  <c r="AK60" i="2"/>
  <c r="AJ61" i="2"/>
  <c r="AM62" i="2"/>
  <c r="AM63" i="2"/>
  <c r="AK64" i="2"/>
  <c r="AK65" i="2"/>
  <c r="AJ66" i="2"/>
  <c r="AK67" i="2"/>
  <c r="AK68" i="2"/>
  <c r="AK69"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c r="AE1" i="2" a="1"/>
  <c r="AE2"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<sst xmlns="http://schemas.openxmlformats.org/spreadsheetml/2006/main" count="3348" uniqueCount="1726">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</sst>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4" fontId="20" fillId="18"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42" fillId="17" borderId="0" xfId="3" applyNumberFormat="1" applyFont="1" applyFill="1" applyBorder="1" applyAlignment="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3</xdr:row>
      <xdr:rowOff>76073</xdr:rowOff>
    </xdr:from>
    <xdr:to>
      <xdr:col>36</xdr:col>
      <xdr:colOff>102054</xdr:colOff>
      <xdr:row>69</xdr:row>
      <xdr:rowOff>0</xdr:rowOff>
    </xdr:to>
    <xdr:cxnSp macro="">
      <xdr:nvCxnSpPr>
        <xdr:cNvPr id="2" name="직선 화살표 연결선 1">
          <a:extLst>
            <a:ext uri="{FF2B5EF4-FFF2-40B4-BE49-F238E27FC236}">
              <a16:creationId xmlns:a16="http://schemas.microsoft.com/office/drawing/2014/main" id="{3A1FD8D6-D998-45DF-A24F-BA272318C9CE}"/>
            </a:ext>
          </a:extLst>
        </xdr:cNvPr>
        <xdr:cNvCxnSpPr/>
      </xdr:nvCxnSpPr>
      <xdr:spPr>
        <a:xfrm>
          <a:off x="13951404" y="752348"/>
          <a:ext cx="0" cy="990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68</xdr:row>
      <xdr:rowOff>19050</xdr:rowOff>
    </xdr:from>
    <xdr:to>
      <xdr:col>36</xdr:col>
      <xdr:colOff>123734</xdr:colOff>
      <xdr:row>68</xdr:row>
      <xdr:rowOff>133350</xdr:rowOff>
    </xdr:to>
    <xdr:sp macro="" textlink="">
      <xdr:nvSpPr>
        <xdr:cNvPr id="3" name="65">
          <a:extLst>
            <a:ext uri="{FF2B5EF4-FFF2-40B4-BE49-F238E27FC236}">
              <a16:creationId xmlns:a16="http://schemas.microsoft.com/office/drawing/2014/main" id="{B6C7C650-3E2A-4C95-9D45-69043F6B0E84}"/>
            </a:ext>
          </a:extLst>
        </xdr:cNvPr>
        <xdr:cNvSpPr/>
      </xdr:nvSpPr>
      <xdr:spPr>
        <a:xfrm>
          <a:off x="13869761" y="10525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68</xdr:row>
      <xdr:rowOff>76200</xdr:rowOff>
    </xdr:from>
    <xdr:to>
      <xdr:col>36</xdr:col>
      <xdr:colOff>122464</xdr:colOff>
      <xdr:row>68</xdr:row>
      <xdr:rowOff>76200</xdr:rowOff>
    </xdr:to>
    <xdr:cxnSp macro="">
      <xdr:nvCxnSpPr>
        <xdr:cNvPr id="4" name="직선 화살표 연결선 3">
          <a:extLst>
            <a:ext uri="{FF2B5EF4-FFF2-40B4-BE49-F238E27FC236}">
              <a16:creationId xmlns:a16="http://schemas.microsoft.com/office/drawing/2014/main" id="{904268A5-C5EC-4017-AFC7-48F0D04E726F}"/>
            </a:ext>
          </a:extLst>
        </xdr:cNvPr>
        <xdr:cNvCxnSpPr/>
      </xdr:nvCxnSpPr>
      <xdr:spPr>
        <a:xfrm>
          <a:off x="13869761" y="10582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67</xdr:row>
      <xdr:rowOff>19050</xdr:rowOff>
    </xdr:from>
    <xdr:to>
      <xdr:col>36</xdr:col>
      <xdr:colOff>82913</xdr:colOff>
      <xdr:row>67</xdr:row>
      <xdr:rowOff>133350</xdr:rowOff>
    </xdr:to>
    <xdr:sp macro="" textlink="">
      <xdr:nvSpPr>
        <xdr:cNvPr id="5" name="64">
          <a:extLst>
            <a:ext uri="{FF2B5EF4-FFF2-40B4-BE49-F238E27FC236}">
              <a16:creationId xmlns:a16="http://schemas.microsoft.com/office/drawing/2014/main" id="{1318387B-1181-4E14-AB8A-97F5830AC74B}"/>
            </a:ext>
          </a:extLst>
        </xdr:cNvPr>
        <xdr:cNvSpPr/>
      </xdr:nvSpPr>
      <xdr:spPr>
        <a:xfrm>
          <a:off x="13869761" y="10372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67</xdr:row>
      <xdr:rowOff>76200</xdr:rowOff>
    </xdr:from>
    <xdr:to>
      <xdr:col>36</xdr:col>
      <xdr:colOff>20411</xdr:colOff>
      <xdr:row>67</xdr:row>
      <xdr:rowOff>76200</xdr:rowOff>
    </xdr:to>
    <xdr:cxnSp macro="">
      <xdr:nvCxnSpPr>
        <xdr:cNvPr id="6" name="직선 화살표 연결선 5">
          <a:extLst>
            <a:ext uri="{FF2B5EF4-FFF2-40B4-BE49-F238E27FC236}">
              <a16:creationId xmlns:a16="http://schemas.microsoft.com/office/drawing/2014/main" id="{30D03DC5-637E-445A-A891-58F6C4B5C00A}"/>
            </a:ext>
          </a:extLst>
        </xdr:cNvPr>
        <xdr:cNvCxnSpPr/>
      </xdr:nvCxnSpPr>
      <xdr:spPr>
        <a:xfrm>
          <a:off x="13869761"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66</xdr:row>
      <xdr:rowOff>19050</xdr:rowOff>
    </xdr:from>
    <xdr:to>
      <xdr:col>36</xdr:col>
      <xdr:colOff>42090</xdr:colOff>
      <xdr:row>66</xdr:row>
      <xdr:rowOff>133350</xdr:rowOff>
    </xdr:to>
    <xdr:sp macro="" textlink="">
      <xdr:nvSpPr>
        <xdr:cNvPr id="7" name="63">
          <a:extLst>
            <a:ext uri="{FF2B5EF4-FFF2-40B4-BE49-F238E27FC236}">
              <a16:creationId xmlns:a16="http://schemas.microsoft.com/office/drawing/2014/main" id="{115E92AA-3B8A-49AC-9D83-4653C81BC602}"/>
            </a:ext>
          </a:extLst>
        </xdr:cNvPr>
        <xdr:cNvSpPr/>
      </xdr:nvSpPr>
      <xdr:spPr>
        <a:xfrm>
          <a:off x="13828939" y="102203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66</xdr:row>
      <xdr:rowOff>76200</xdr:rowOff>
    </xdr:from>
    <xdr:to>
      <xdr:col>36</xdr:col>
      <xdr:colOff>25513</xdr:colOff>
      <xdr:row>66</xdr:row>
      <xdr:rowOff>76200</xdr:rowOff>
    </xdr:to>
    <xdr:cxnSp macro="">
      <xdr:nvCxnSpPr>
        <xdr:cNvPr id="8" name="직선 화살표 연결선 7">
          <a:extLst>
            <a:ext uri="{FF2B5EF4-FFF2-40B4-BE49-F238E27FC236}">
              <a16:creationId xmlns:a16="http://schemas.microsoft.com/office/drawing/2014/main" id="{EA069BE2-C2DE-4425-9BF4-A7709F9940F4}"/>
            </a:ext>
          </a:extLst>
        </xdr:cNvPr>
        <xdr:cNvCxnSpPr/>
      </xdr:nvCxnSpPr>
      <xdr:spPr>
        <a:xfrm>
          <a:off x="13828939" y="1027747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65</xdr:row>
      <xdr:rowOff>19050</xdr:rowOff>
    </xdr:from>
    <xdr:to>
      <xdr:col>36</xdr:col>
      <xdr:colOff>42090</xdr:colOff>
      <xdr:row>65</xdr:row>
      <xdr:rowOff>133350</xdr:rowOff>
    </xdr:to>
    <xdr:sp macro="" textlink="">
      <xdr:nvSpPr>
        <xdr:cNvPr id="9" name="62">
          <a:extLst>
            <a:ext uri="{FF2B5EF4-FFF2-40B4-BE49-F238E27FC236}">
              <a16:creationId xmlns:a16="http://schemas.microsoft.com/office/drawing/2014/main" id="{4D9F00C2-D0BD-4B2A-B32B-E0A6BF280F93}"/>
            </a:ext>
          </a:extLst>
        </xdr:cNvPr>
        <xdr:cNvSpPr/>
      </xdr:nvSpPr>
      <xdr:spPr>
        <a:xfrm>
          <a:off x="13747296" y="1006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65</xdr:row>
      <xdr:rowOff>76200</xdr:rowOff>
    </xdr:from>
    <xdr:to>
      <xdr:col>35</xdr:col>
      <xdr:colOff>126546</xdr:colOff>
      <xdr:row>65</xdr:row>
      <xdr:rowOff>76200</xdr:rowOff>
    </xdr:to>
    <xdr:cxnSp macro="">
      <xdr:nvCxnSpPr>
        <xdr:cNvPr id="10" name="직선 화살표 연결선 9">
          <a:extLst>
            <a:ext uri="{FF2B5EF4-FFF2-40B4-BE49-F238E27FC236}">
              <a16:creationId xmlns:a16="http://schemas.microsoft.com/office/drawing/2014/main" id="{91CA2415-3687-4406-A48C-290917050A2F}"/>
            </a:ext>
          </a:extLst>
        </xdr:cNvPr>
        <xdr:cNvCxnSpPr/>
      </xdr:nvCxnSpPr>
      <xdr:spPr>
        <a:xfrm>
          <a:off x="13747296" y="10125075"/>
          <a:ext cx="857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36</xdr:col>
      <xdr:colOff>123734</xdr:colOff>
      <xdr:row>64</xdr:row>
      <xdr:rowOff>133350</xdr:rowOff>
    </xdr:to>
    <xdr:sp macro="" textlink="">
      <xdr:nvSpPr>
        <xdr:cNvPr id="11" name="61">
          <a:extLst>
            <a:ext uri="{FF2B5EF4-FFF2-40B4-BE49-F238E27FC236}">
              <a16:creationId xmlns:a16="http://schemas.microsoft.com/office/drawing/2014/main" id="{96367B07-1C2D-4F50-85B2-B67E1CC49486}"/>
            </a:ext>
          </a:extLst>
        </xdr:cNvPr>
        <xdr:cNvSpPr/>
      </xdr:nvSpPr>
      <xdr:spPr>
        <a:xfrm>
          <a:off x="13747296" y="9915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36</xdr:col>
      <xdr:colOff>38269</xdr:colOff>
      <xdr:row>64</xdr:row>
      <xdr:rowOff>76200</xdr:rowOff>
    </xdr:to>
    <xdr:cxnSp macro="">
      <xdr:nvCxnSpPr>
        <xdr:cNvPr id="12" name="직선 화살표 연결선 11">
          <a:extLst>
            <a:ext uri="{FF2B5EF4-FFF2-40B4-BE49-F238E27FC236}">
              <a16:creationId xmlns:a16="http://schemas.microsoft.com/office/drawing/2014/main" id="{BDF466FA-C41F-409A-A76E-46B54609A041}"/>
            </a:ext>
          </a:extLst>
        </xdr:cNvPr>
        <xdr:cNvCxnSpPr/>
      </xdr:nvCxnSpPr>
      <xdr:spPr>
        <a:xfrm>
          <a:off x="13747296" y="99726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36</xdr:col>
      <xdr:colOff>123734</xdr:colOff>
      <xdr:row>63</xdr:row>
      <xdr:rowOff>133350</xdr:rowOff>
    </xdr:to>
    <xdr:sp macro="" textlink="">
      <xdr:nvSpPr>
        <xdr:cNvPr id="13" name="60">
          <a:extLst>
            <a:ext uri="{FF2B5EF4-FFF2-40B4-BE49-F238E27FC236}">
              <a16:creationId xmlns:a16="http://schemas.microsoft.com/office/drawing/2014/main" id="{46F82C49-3634-4CB5-97ED-F70C9DAF16E4}"/>
            </a:ext>
          </a:extLst>
        </xdr:cNvPr>
        <xdr:cNvSpPr/>
      </xdr:nvSpPr>
      <xdr:spPr>
        <a:xfrm>
          <a:off x="13747296" y="97631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38269</xdr:colOff>
      <xdr:row>63</xdr:row>
      <xdr:rowOff>76200</xdr:rowOff>
    </xdr:to>
    <xdr:cxnSp macro="">
      <xdr:nvCxnSpPr>
        <xdr:cNvPr id="14" name="직선 화살표 연결선 13">
          <a:extLst>
            <a:ext uri="{FF2B5EF4-FFF2-40B4-BE49-F238E27FC236}">
              <a16:creationId xmlns:a16="http://schemas.microsoft.com/office/drawing/2014/main" id="{544C004D-107F-4A9E-8A6B-A1D8E161FE61}"/>
            </a:ext>
          </a:extLst>
        </xdr:cNvPr>
        <xdr:cNvCxnSpPr/>
      </xdr:nvCxnSpPr>
      <xdr:spPr>
        <a:xfrm>
          <a:off x="13747296" y="98202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62</xdr:row>
      <xdr:rowOff>19050</xdr:rowOff>
    </xdr:from>
    <xdr:to>
      <xdr:col>39</xdr:col>
      <xdr:colOff>42090</xdr:colOff>
      <xdr:row>62</xdr:row>
      <xdr:rowOff>133350</xdr:rowOff>
    </xdr:to>
    <xdr:sp macro="" textlink="">
      <xdr:nvSpPr>
        <xdr:cNvPr id="15" name="59">
          <a:extLst>
            <a:ext uri="{FF2B5EF4-FFF2-40B4-BE49-F238E27FC236}">
              <a16:creationId xmlns:a16="http://schemas.microsoft.com/office/drawing/2014/main" id="{B7FA30A0-6D30-41DD-841A-9435C60567EF}"/>
            </a:ext>
          </a:extLst>
        </xdr:cNvPr>
        <xdr:cNvSpPr/>
      </xdr:nvSpPr>
      <xdr:spPr>
        <a:xfrm>
          <a:off x="14216743" y="96107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62</xdr:row>
      <xdr:rowOff>76200</xdr:rowOff>
    </xdr:from>
    <xdr:to>
      <xdr:col>38</xdr:col>
      <xdr:colOff>81643</xdr:colOff>
      <xdr:row>62</xdr:row>
      <xdr:rowOff>76200</xdr:rowOff>
    </xdr:to>
    <xdr:cxnSp macro="">
      <xdr:nvCxnSpPr>
        <xdr:cNvPr id="16" name="직선 화살표 연결선 15">
          <a:extLst>
            <a:ext uri="{FF2B5EF4-FFF2-40B4-BE49-F238E27FC236}">
              <a16:creationId xmlns:a16="http://schemas.microsoft.com/office/drawing/2014/main" id="{7D818B87-AA28-46A9-B777-45E703577013}"/>
            </a:ext>
          </a:extLst>
        </xdr:cNvPr>
        <xdr:cNvCxnSpPr/>
      </xdr:nvCxnSpPr>
      <xdr:spPr>
        <a:xfrm>
          <a:off x="14216743"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61</xdr:row>
      <xdr:rowOff>19050</xdr:rowOff>
    </xdr:from>
    <xdr:to>
      <xdr:col>38</xdr:col>
      <xdr:colOff>103324</xdr:colOff>
      <xdr:row>61</xdr:row>
      <xdr:rowOff>133350</xdr:rowOff>
    </xdr:to>
    <xdr:sp macro="" textlink="">
      <xdr:nvSpPr>
        <xdr:cNvPr id="17" name="0">
          <a:extLst>
            <a:ext uri="{FF2B5EF4-FFF2-40B4-BE49-F238E27FC236}">
              <a16:creationId xmlns:a16="http://schemas.microsoft.com/office/drawing/2014/main" id="{EADCDDB0-87AD-43E0-B524-FFE5000D5473}"/>
            </a:ext>
          </a:extLst>
        </xdr:cNvPr>
        <xdr:cNvSpPr/>
      </xdr:nvSpPr>
      <xdr:spPr>
        <a:xfrm>
          <a:off x="14155511" y="9458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61</xdr:row>
      <xdr:rowOff>76200</xdr:rowOff>
    </xdr:from>
    <xdr:to>
      <xdr:col>38</xdr:col>
      <xdr:colOff>20411</xdr:colOff>
      <xdr:row>61</xdr:row>
      <xdr:rowOff>76200</xdr:rowOff>
    </xdr:to>
    <xdr:cxnSp macro="">
      <xdr:nvCxnSpPr>
        <xdr:cNvPr id="18" name="직선 화살표 연결선 17">
          <a:extLst>
            <a:ext uri="{FF2B5EF4-FFF2-40B4-BE49-F238E27FC236}">
              <a16:creationId xmlns:a16="http://schemas.microsoft.com/office/drawing/2014/main" id="{F0C8D963-1C75-427F-B6A7-52B956A2CAA4}"/>
            </a:ext>
          </a:extLst>
        </xdr:cNvPr>
        <xdr:cNvCxnSpPr/>
      </xdr:nvCxnSpPr>
      <xdr:spPr>
        <a:xfrm>
          <a:off x="14155511"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38</xdr:col>
      <xdr:colOff>21681</xdr:colOff>
      <xdr:row>60</xdr:row>
      <xdr:rowOff>133350</xdr:rowOff>
    </xdr:to>
    <xdr:sp macro="" textlink="">
      <xdr:nvSpPr>
        <xdr:cNvPr id="19" name="57">
          <a:extLst>
            <a:ext uri="{FF2B5EF4-FFF2-40B4-BE49-F238E27FC236}">
              <a16:creationId xmlns:a16="http://schemas.microsoft.com/office/drawing/2014/main" id="{4CA63602-2864-4FEC-B530-C20196535F72}"/>
            </a:ext>
          </a:extLst>
        </xdr:cNvPr>
        <xdr:cNvSpPr/>
      </xdr:nvSpPr>
      <xdr:spPr>
        <a:xfrm>
          <a:off x="13747296" y="93059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81642</xdr:colOff>
      <xdr:row>60</xdr:row>
      <xdr:rowOff>76200</xdr:rowOff>
    </xdr:to>
    <xdr:cxnSp macro="">
      <xdr:nvCxnSpPr>
        <xdr:cNvPr id="20" name="직선 화살표 연결선 19">
          <a:extLst>
            <a:ext uri="{FF2B5EF4-FFF2-40B4-BE49-F238E27FC236}">
              <a16:creationId xmlns:a16="http://schemas.microsoft.com/office/drawing/2014/main" id="{59227A7B-FC0D-443E-9535-36285ED54152}"/>
            </a:ext>
          </a:extLst>
        </xdr:cNvPr>
        <xdr:cNvCxnSpPr/>
      </xdr:nvCxnSpPr>
      <xdr:spPr>
        <a:xfrm>
          <a:off x="13747296" y="936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37</xdr:col>
      <xdr:colOff>42090</xdr:colOff>
      <xdr:row>59</xdr:row>
      <xdr:rowOff>133350</xdr:rowOff>
    </xdr:to>
    <xdr:sp macro="" textlink="">
      <xdr:nvSpPr>
        <xdr:cNvPr id="21" name="56">
          <a:extLst>
            <a:ext uri="{FF2B5EF4-FFF2-40B4-BE49-F238E27FC236}">
              <a16:creationId xmlns:a16="http://schemas.microsoft.com/office/drawing/2014/main" id="{26D83054-009F-4C27-91A8-519C6A5362D2}"/>
            </a:ext>
          </a:extLst>
        </xdr:cNvPr>
        <xdr:cNvSpPr/>
      </xdr:nvSpPr>
      <xdr:spPr>
        <a:xfrm>
          <a:off x="13747296" y="91535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135119</xdr:colOff>
      <xdr:row>59</xdr:row>
      <xdr:rowOff>76200</xdr:rowOff>
    </xdr:to>
    <xdr:cxnSp macro="">
      <xdr:nvCxnSpPr>
        <xdr:cNvPr id="22" name="직선 화살표 연결선 21">
          <a:extLst>
            <a:ext uri="{FF2B5EF4-FFF2-40B4-BE49-F238E27FC236}">
              <a16:creationId xmlns:a16="http://schemas.microsoft.com/office/drawing/2014/main" id="{29F2B580-C584-4ED0-943D-6E76C420785C}"/>
            </a:ext>
          </a:extLst>
        </xdr:cNvPr>
        <xdr:cNvCxnSpPr/>
      </xdr:nvCxnSpPr>
      <xdr:spPr>
        <a:xfrm>
          <a:off x="13747296" y="9210675"/>
          <a:ext cx="94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38</xdr:col>
      <xdr:colOff>21681</xdr:colOff>
      <xdr:row>58</xdr:row>
      <xdr:rowOff>133350</xdr:rowOff>
    </xdr:to>
    <xdr:sp macro="" textlink="">
      <xdr:nvSpPr>
        <xdr:cNvPr id="23" name="55">
          <a:extLst>
            <a:ext uri="{FF2B5EF4-FFF2-40B4-BE49-F238E27FC236}">
              <a16:creationId xmlns:a16="http://schemas.microsoft.com/office/drawing/2014/main" id="{2CA5969F-CE73-4B6E-B9BC-FB5B58582C79}"/>
            </a:ext>
          </a:extLst>
        </xdr:cNvPr>
        <xdr:cNvSpPr/>
      </xdr:nvSpPr>
      <xdr:spPr>
        <a:xfrm>
          <a:off x="13747296" y="90011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35</xdr:col>
      <xdr:colOff>120763</xdr:colOff>
      <xdr:row>58</xdr:row>
      <xdr:rowOff>76200</xdr:rowOff>
    </xdr:to>
    <xdr:cxnSp macro="">
      <xdr:nvCxnSpPr>
        <xdr:cNvPr id="24" name="직선 화살표 연결선 23">
          <a:extLst>
            <a:ext uri="{FF2B5EF4-FFF2-40B4-BE49-F238E27FC236}">
              <a16:creationId xmlns:a16="http://schemas.microsoft.com/office/drawing/2014/main" id="{B96009CD-E925-40D1-AD84-C18681063991}"/>
            </a:ext>
          </a:extLst>
        </xdr:cNvPr>
        <xdr:cNvCxnSpPr/>
      </xdr:nvCxnSpPr>
      <xdr:spPr>
        <a:xfrm>
          <a:off x="13747296" y="9058275"/>
          <a:ext cx="799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57</xdr:row>
      <xdr:rowOff>19050</xdr:rowOff>
    </xdr:from>
    <xdr:to>
      <xdr:col>39</xdr:col>
      <xdr:colOff>42090</xdr:colOff>
      <xdr:row>57</xdr:row>
      <xdr:rowOff>133350</xdr:rowOff>
    </xdr:to>
    <xdr:sp macro="" textlink="">
      <xdr:nvSpPr>
        <xdr:cNvPr id="25" name="54">
          <a:extLst>
            <a:ext uri="{FF2B5EF4-FFF2-40B4-BE49-F238E27FC236}">
              <a16:creationId xmlns:a16="http://schemas.microsoft.com/office/drawing/2014/main" id="{D924B0EB-9D7F-462F-99D5-A7734D175D13}"/>
            </a:ext>
          </a:extLst>
        </xdr:cNvPr>
        <xdr:cNvSpPr/>
      </xdr:nvSpPr>
      <xdr:spPr>
        <a:xfrm>
          <a:off x="13747296" y="88487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57</xdr:row>
      <xdr:rowOff>76200</xdr:rowOff>
    </xdr:from>
    <xdr:to>
      <xdr:col>35</xdr:col>
      <xdr:colOff>127468</xdr:colOff>
      <xdr:row>57</xdr:row>
      <xdr:rowOff>76200</xdr:rowOff>
    </xdr:to>
    <xdr:cxnSp macro="">
      <xdr:nvCxnSpPr>
        <xdr:cNvPr id="26" name="직선 화살표 연결선 25">
          <a:extLst>
            <a:ext uri="{FF2B5EF4-FFF2-40B4-BE49-F238E27FC236}">
              <a16:creationId xmlns:a16="http://schemas.microsoft.com/office/drawing/2014/main" id="{5BF2B9B9-9272-41D2-B4CF-F390860DAAC1}"/>
            </a:ext>
          </a:extLst>
        </xdr:cNvPr>
        <xdr:cNvCxnSpPr/>
      </xdr:nvCxnSpPr>
      <xdr:spPr>
        <a:xfrm>
          <a:off x="13747296" y="89058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56</xdr:row>
      <xdr:rowOff>19050</xdr:rowOff>
    </xdr:from>
    <xdr:to>
      <xdr:col>39</xdr:col>
      <xdr:colOff>42090</xdr:colOff>
      <xdr:row>56</xdr:row>
      <xdr:rowOff>133350</xdr:rowOff>
    </xdr:to>
    <xdr:sp macro="" textlink="">
      <xdr:nvSpPr>
        <xdr:cNvPr id="27" name="53">
          <a:extLst>
            <a:ext uri="{FF2B5EF4-FFF2-40B4-BE49-F238E27FC236}">
              <a16:creationId xmlns:a16="http://schemas.microsoft.com/office/drawing/2014/main" id="{D11FE21D-D2AB-402D-8F27-890493E4BFCF}"/>
            </a:ext>
          </a:extLst>
        </xdr:cNvPr>
        <xdr:cNvSpPr/>
      </xdr:nvSpPr>
      <xdr:spPr>
        <a:xfrm>
          <a:off x="13747296" y="8696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56</xdr:row>
      <xdr:rowOff>76200</xdr:rowOff>
    </xdr:from>
    <xdr:to>
      <xdr:col>35</xdr:col>
      <xdr:colOff>127468</xdr:colOff>
      <xdr:row>56</xdr:row>
      <xdr:rowOff>76200</xdr:rowOff>
    </xdr:to>
    <xdr:cxnSp macro="">
      <xdr:nvCxnSpPr>
        <xdr:cNvPr id="28" name="직선 화살표 연결선 27">
          <a:extLst>
            <a:ext uri="{FF2B5EF4-FFF2-40B4-BE49-F238E27FC236}">
              <a16:creationId xmlns:a16="http://schemas.microsoft.com/office/drawing/2014/main" id="{8C1F63E7-A6FD-46DF-BE06-E8A60BECD280}"/>
            </a:ext>
          </a:extLst>
        </xdr:cNvPr>
        <xdr:cNvCxnSpPr/>
      </xdr:nvCxnSpPr>
      <xdr:spPr>
        <a:xfrm>
          <a:off x="13747296" y="87534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39</xdr:col>
      <xdr:colOff>42090</xdr:colOff>
      <xdr:row>55</xdr:row>
      <xdr:rowOff>133350</xdr:rowOff>
    </xdr:to>
    <xdr:sp macro="" textlink="">
      <xdr:nvSpPr>
        <xdr:cNvPr id="29" name="52">
          <a:extLst>
            <a:ext uri="{FF2B5EF4-FFF2-40B4-BE49-F238E27FC236}">
              <a16:creationId xmlns:a16="http://schemas.microsoft.com/office/drawing/2014/main" id="{D54EA172-054D-4ECA-B07E-4AC734E3E18A}"/>
            </a:ext>
          </a:extLst>
        </xdr:cNvPr>
        <xdr:cNvSpPr/>
      </xdr:nvSpPr>
      <xdr:spPr>
        <a:xfrm>
          <a:off x="13747296" y="8543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127468</xdr:colOff>
      <xdr:row>55</xdr:row>
      <xdr:rowOff>76200</xdr:rowOff>
    </xdr:to>
    <xdr:cxnSp macro="">
      <xdr:nvCxnSpPr>
        <xdr:cNvPr id="30" name="직선 화살표 연결선 29">
          <a:extLst>
            <a:ext uri="{FF2B5EF4-FFF2-40B4-BE49-F238E27FC236}">
              <a16:creationId xmlns:a16="http://schemas.microsoft.com/office/drawing/2014/main" id="{50FFB5C2-8916-41BA-87C1-14322278B0B8}"/>
            </a:ext>
          </a:extLst>
        </xdr:cNvPr>
        <xdr:cNvCxnSpPr/>
      </xdr:nvCxnSpPr>
      <xdr:spPr>
        <a:xfrm>
          <a:off x="13747296" y="86010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39</xdr:col>
      <xdr:colOff>42090</xdr:colOff>
      <xdr:row>54</xdr:row>
      <xdr:rowOff>133350</xdr:rowOff>
    </xdr:to>
    <xdr:sp macro="" textlink="">
      <xdr:nvSpPr>
        <xdr:cNvPr id="31" name="51">
          <a:extLst>
            <a:ext uri="{FF2B5EF4-FFF2-40B4-BE49-F238E27FC236}">
              <a16:creationId xmlns:a16="http://schemas.microsoft.com/office/drawing/2014/main" id="{7707BE8A-5720-4874-8ECF-B8FBDCB3C69D}"/>
            </a:ext>
          </a:extLst>
        </xdr:cNvPr>
        <xdr:cNvSpPr/>
      </xdr:nvSpPr>
      <xdr:spPr>
        <a:xfrm>
          <a:off x="13747296" y="8391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36</xdr:col>
      <xdr:colOff>68760</xdr:colOff>
      <xdr:row>54</xdr:row>
      <xdr:rowOff>76200</xdr:rowOff>
    </xdr:to>
    <xdr:cxnSp macro="">
      <xdr:nvCxnSpPr>
        <xdr:cNvPr id="3808" name="직선 화살표 연결선 3807">
          <a:extLst>
            <a:ext uri="{FF2B5EF4-FFF2-40B4-BE49-F238E27FC236}">
              <a16:creationId xmlns:a16="http://schemas.microsoft.com/office/drawing/2014/main" id="{9910E707-0473-418B-81CD-10CA854893C5}"/>
            </a:ext>
          </a:extLst>
        </xdr:cNvPr>
        <xdr:cNvCxnSpPr/>
      </xdr:nvCxnSpPr>
      <xdr:spPr>
        <a:xfrm>
          <a:off x="13747296" y="8448675"/>
          <a:ext cx="1708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53</xdr:row>
      <xdr:rowOff>19050</xdr:rowOff>
    </xdr:from>
    <xdr:to>
      <xdr:col>37</xdr:col>
      <xdr:colOff>42090</xdr:colOff>
      <xdr:row>53</xdr:row>
      <xdr:rowOff>133350</xdr:rowOff>
    </xdr:to>
    <xdr:sp macro="" textlink="">
      <xdr:nvSpPr>
        <xdr:cNvPr id="3809" name="50">
          <a:extLst>
            <a:ext uri="{FF2B5EF4-FFF2-40B4-BE49-F238E27FC236}">
              <a16:creationId xmlns:a16="http://schemas.microsoft.com/office/drawing/2014/main" id="{C36F225F-1565-4980-94EE-424691990A26}"/>
            </a:ext>
          </a:extLst>
        </xdr:cNvPr>
        <xdr:cNvSpPr/>
      </xdr:nvSpPr>
      <xdr:spPr>
        <a:xfrm>
          <a:off x="13951404" y="82391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53</xdr:row>
      <xdr:rowOff>76200</xdr:rowOff>
    </xdr:from>
    <xdr:to>
      <xdr:col>36</xdr:col>
      <xdr:colOff>102054</xdr:colOff>
      <xdr:row>53</xdr:row>
      <xdr:rowOff>76200</xdr:rowOff>
    </xdr:to>
    <xdr:cxnSp macro="">
      <xdr:nvCxnSpPr>
        <xdr:cNvPr id="3810" name="직선 화살표 연결선 3809">
          <a:extLst>
            <a:ext uri="{FF2B5EF4-FFF2-40B4-BE49-F238E27FC236}">
              <a16:creationId xmlns:a16="http://schemas.microsoft.com/office/drawing/2014/main" id="{6CF105D1-80DF-4009-A984-D3A5B534EC65}"/>
            </a:ext>
          </a:extLst>
        </xdr:cNvPr>
        <xdr:cNvCxnSpPr/>
      </xdr:nvCxnSpPr>
      <xdr:spPr>
        <a:xfrm>
          <a:off x="13951404"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52</xdr:row>
      <xdr:rowOff>19050</xdr:rowOff>
    </xdr:from>
    <xdr:to>
      <xdr:col>37</xdr:col>
      <xdr:colOff>42090</xdr:colOff>
      <xdr:row>52</xdr:row>
      <xdr:rowOff>133350</xdr:rowOff>
    </xdr:to>
    <xdr:sp macro="" textlink="">
      <xdr:nvSpPr>
        <xdr:cNvPr id="3811" name="49">
          <a:extLst>
            <a:ext uri="{FF2B5EF4-FFF2-40B4-BE49-F238E27FC236}">
              <a16:creationId xmlns:a16="http://schemas.microsoft.com/office/drawing/2014/main" id="{D0EACFB5-D2A2-4308-9675-912444C22078}"/>
            </a:ext>
          </a:extLst>
        </xdr:cNvPr>
        <xdr:cNvSpPr/>
      </xdr:nvSpPr>
      <xdr:spPr>
        <a:xfrm>
          <a:off x="13951404" y="80867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52</xdr:row>
      <xdr:rowOff>76200</xdr:rowOff>
    </xdr:from>
    <xdr:to>
      <xdr:col>36</xdr:col>
      <xdr:colOff>102054</xdr:colOff>
      <xdr:row>52</xdr:row>
      <xdr:rowOff>76200</xdr:rowOff>
    </xdr:to>
    <xdr:cxnSp macro="">
      <xdr:nvCxnSpPr>
        <xdr:cNvPr id="3812" name="직선 화살표 연결선 3811">
          <a:extLst>
            <a:ext uri="{FF2B5EF4-FFF2-40B4-BE49-F238E27FC236}">
              <a16:creationId xmlns:a16="http://schemas.microsoft.com/office/drawing/2014/main" id="{C6A255F4-A904-4486-981B-CB9611A124E0}"/>
            </a:ext>
          </a:extLst>
        </xdr:cNvPr>
        <xdr:cNvCxnSpPr/>
      </xdr:nvCxnSpPr>
      <xdr:spPr>
        <a:xfrm>
          <a:off x="13951404"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51</xdr:row>
      <xdr:rowOff>19050</xdr:rowOff>
    </xdr:from>
    <xdr:to>
      <xdr:col>37</xdr:col>
      <xdr:colOff>42090</xdr:colOff>
      <xdr:row>51</xdr:row>
      <xdr:rowOff>133350</xdr:rowOff>
    </xdr:to>
    <xdr:sp macro="" textlink="">
      <xdr:nvSpPr>
        <xdr:cNvPr id="3813" name="48">
          <a:extLst>
            <a:ext uri="{FF2B5EF4-FFF2-40B4-BE49-F238E27FC236}">
              <a16:creationId xmlns:a16="http://schemas.microsoft.com/office/drawing/2014/main" id="{13E520C9-5AE0-4009-874C-E7D6EFC30C3E}"/>
            </a:ext>
          </a:extLst>
        </xdr:cNvPr>
        <xdr:cNvSpPr/>
      </xdr:nvSpPr>
      <xdr:spPr>
        <a:xfrm>
          <a:off x="13624832" y="79343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51</xdr:row>
      <xdr:rowOff>76200</xdr:rowOff>
    </xdr:from>
    <xdr:to>
      <xdr:col>37</xdr:col>
      <xdr:colOff>40821</xdr:colOff>
      <xdr:row>51</xdr:row>
      <xdr:rowOff>76200</xdr:rowOff>
    </xdr:to>
    <xdr:cxnSp macro="">
      <xdr:nvCxnSpPr>
        <xdr:cNvPr id="3814" name="직선 화살표 연결선 3813">
          <a:extLst>
            <a:ext uri="{FF2B5EF4-FFF2-40B4-BE49-F238E27FC236}">
              <a16:creationId xmlns:a16="http://schemas.microsoft.com/office/drawing/2014/main" id="{2CC24976-79A7-4264-86D4-55F3ABABE63C}"/>
            </a:ext>
          </a:extLst>
        </xdr:cNvPr>
        <xdr:cNvCxnSpPr/>
      </xdr:nvCxnSpPr>
      <xdr:spPr>
        <a:xfrm>
          <a:off x="13624832" y="79914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50</xdr:row>
      <xdr:rowOff>19050</xdr:rowOff>
    </xdr:from>
    <xdr:to>
      <xdr:col>37</xdr:col>
      <xdr:colOff>42090</xdr:colOff>
      <xdr:row>50</xdr:row>
      <xdr:rowOff>133350</xdr:rowOff>
    </xdr:to>
    <xdr:sp macro="" textlink="">
      <xdr:nvSpPr>
        <xdr:cNvPr id="3815" name="47">
          <a:extLst>
            <a:ext uri="{FF2B5EF4-FFF2-40B4-BE49-F238E27FC236}">
              <a16:creationId xmlns:a16="http://schemas.microsoft.com/office/drawing/2014/main" id="{0AC926B3-579E-41F1-A673-4FC8C66711F2}"/>
            </a:ext>
          </a:extLst>
        </xdr:cNvPr>
        <xdr:cNvSpPr/>
      </xdr:nvSpPr>
      <xdr:spPr>
        <a:xfrm>
          <a:off x="13624832" y="77819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50</xdr:row>
      <xdr:rowOff>76200</xdr:rowOff>
    </xdr:from>
    <xdr:to>
      <xdr:col>37</xdr:col>
      <xdr:colOff>40821</xdr:colOff>
      <xdr:row>50</xdr:row>
      <xdr:rowOff>76200</xdr:rowOff>
    </xdr:to>
    <xdr:cxnSp macro="">
      <xdr:nvCxnSpPr>
        <xdr:cNvPr id="3816" name="직선 화살표 연결선 3815">
          <a:extLst>
            <a:ext uri="{FF2B5EF4-FFF2-40B4-BE49-F238E27FC236}">
              <a16:creationId xmlns:a16="http://schemas.microsoft.com/office/drawing/2014/main" id="{572EEBE7-C253-417E-B828-D5369AA8C1CC}"/>
            </a:ext>
          </a:extLst>
        </xdr:cNvPr>
        <xdr:cNvCxnSpPr/>
      </xdr:nvCxnSpPr>
      <xdr:spPr>
        <a:xfrm>
          <a:off x="13624832" y="7839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44</xdr:row>
      <xdr:rowOff>19050</xdr:rowOff>
    </xdr:from>
    <xdr:to>
      <xdr:col>38</xdr:col>
      <xdr:colOff>103324</xdr:colOff>
      <xdr:row>44</xdr:row>
      <xdr:rowOff>133350</xdr:rowOff>
    </xdr:to>
    <xdr:sp macro="" textlink="">
      <xdr:nvSpPr>
        <xdr:cNvPr id="3817" name="41">
          <a:extLst>
            <a:ext uri="{FF2B5EF4-FFF2-40B4-BE49-F238E27FC236}">
              <a16:creationId xmlns:a16="http://schemas.microsoft.com/office/drawing/2014/main" id="{2EBCB5CA-CFC5-46B5-B8F5-2FF111F8E255}"/>
            </a:ext>
          </a:extLst>
        </xdr:cNvPr>
        <xdr:cNvSpPr/>
      </xdr:nvSpPr>
      <xdr:spPr>
        <a:xfrm>
          <a:off x="14155511" y="6867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44</xdr:row>
      <xdr:rowOff>76200</xdr:rowOff>
    </xdr:from>
    <xdr:to>
      <xdr:col>38</xdr:col>
      <xdr:colOff>20411</xdr:colOff>
      <xdr:row>44</xdr:row>
      <xdr:rowOff>76200</xdr:rowOff>
    </xdr:to>
    <xdr:cxnSp macro="">
      <xdr:nvCxnSpPr>
        <xdr:cNvPr id="3818" name="직선 화살표 연결선 3817">
          <a:extLst>
            <a:ext uri="{FF2B5EF4-FFF2-40B4-BE49-F238E27FC236}">
              <a16:creationId xmlns:a16="http://schemas.microsoft.com/office/drawing/2014/main" id="{0B42E965-3E3C-4A9F-89C2-BF85DFE58617}"/>
            </a:ext>
          </a:extLst>
        </xdr:cNvPr>
        <xdr:cNvCxnSpPr/>
      </xdr:nvCxnSpPr>
      <xdr:spPr>
        <a:xfrm>
          <a:off x="14155511"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42090</xdr:colOff>
      <xdr:row>43</xdr:row>
      <xdr:rowOff>133350</xdr:rowOff>
    </xdr:to>
    <xdr:sp macro="" textlink="">
      <xdr:nvSpPr>
        <xdr:cNvPr id="3819" name="40">
          <a:extLst>
            <a:ext uri="{FF2B5EF4-FFF2-40B4-BE49-F238E27FC236}">
              <a16:creationId xmlns:a16="http://schemas.microsoft.com/office/drawing/2014/main" id="{177521E3-235F-4ED1-B7D3-5297D7ECB0FC}"/>
            </a:ext>
          </a:extLst>
        </xdr:cNvPr>
        <xdr:cNvSpPr/>
      </xdr:nvSpPr>
      <xdr:spPr>
        <a:xfrm>
          <a:off x="14012636" y="67151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43</xdr:row>
      <xdr:rowOff>76200</xdr:rowOff>
    </xdr:from>
    <xdr:to>
      <xdr:col>37</xdr:col>
      <xdr:colOff>20411</xdr:colOff>
      <xdr:row>43</xdr:row>
      <xdr:rowOff>76200</xdr:rowOff>
    </xdr:to>
    <xdr:cxnSp macro="">
      <xdr:nvCxnSpPr>
        <xdr:cNvPr id="3820" name="직선 화살표 연결선 3819">
          <a:extLst>
            <a:ext uri="{FF2B5EF4-FFF2-40B4-BE49-F238E27FC236}">
              <a16:creationId xmlns:a16="http://schemas.microsoft.com/office/drawing/2014/main" id="{3DB2609F-9639-465E-9122-2D00F727CBC3}"/>
            </a:ext>
          </a:extLst>
        </xdr:cNvPr>
        <xdr:cNvCxnSpPr/>
      </xdr:nvCxnSpPr>
      <xdr:spPr>
        <a:xfrm>
          <a:off x="14012636"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42</xdr:row>
      <xdr:rowOff>19050</xdr:rowOff>
    </xdr:from>
    <xdr:to>
      <xdr:col>38</xdr:col>
      <xdr:colOff>21681</xdr:colOff>
      <xdr:row>42</xdr:row>
      <xdr:rowOff>133350</xdr:rowOff>
    </xdr:to>
    <xdr:sp macro="" textlink="">
      <xdr:nvSpPr>
        <xdr:cNvPr id="3821" name="39">
          <a:extLst>
            <a:ext uri="{FF2B5EF4-FFF2-40B4-BE49-F238E27FC236}">
              <a16:creationId xmlns:a16="http://schemas.microsoft.com/office/drawing/2014/main" id="{5464200A-6B40-4022-AD09-7B9D38F22964}"/>
            </a:ext>
          </a:extLst>
        </xdr:cNvPr>
        <xdr:cNvSpPr/>
      </xdr:nvSpPr>
      <xdr:spPr>
        <a:xfrm>
          <a:off x="14012636" y="65627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42</xdr:row>
      <xdr:rowOff>76200</xdr:rowOff>
    </xdr:from>
    <xdr:to>
      <xdr:col>37</xdr:col>
      <xdr:colOff>20411</xdr:colOff>
      <xdr:row>42</xdr:row>
      <xdr:rowOff>76200</xdr:rowOff>
    </xdr:to>
    <xdr:cxnSp macro="">
      <xdr:nvCxnSpPr>
        <xdr:cNvPr id="3822" name="직선 화살표 연결선 3821">
          <a:extLst>
            <a:ext uri="{FF2B5EF4-FFF2-40B4-BE49-F238E27FC236}">
              <a16:creationId xmlns:a16="http://schemas.microsoft.com/office/drawing/2014/main" id="{D15DAE3D-F132-4F1F-96F3-B0603BC2E3FC}"/>
            </a:ext>
          </a:extLst>
        </xdr:cNvPr>
        <xdr:cNvCxnSpPr/>
      </xdr:nvCxnSpPr>
      <xdr:spPr>
        <a:xfrm>
          <a:off x="14012636"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41</xdr:row>
      <xdr:rowOff>19050</xdr:rowOff>
    </xdr:from>
    <xdr:to>
      <xdr:col>38</xdr:col>
      <xdr:colOff>1270</xdr:colOff>
      <xdr:row>41</xdr:row>
      <xdr:rowOff>133350</xdr:rowOff>
    </xdr:to>
    <xdr:sp macro="" textlink="">
      <xdr:nvSpPr>
        <xdr:cNvPr id="3824" name="38">
          <a:extLst>
            <a:ext uri="{FF2B5EF4-FFF2-40B4-BE49-F238E27FC236}">
              <a16:creationId xmlns:a16="http://schemas.microsoft.com/office/drawing/2014/main" id="{0CF7A69F-68C1-4D3C-890B-3F45AF1717D4}"/>
            </a:ext>
          </a:extLst>
        </xdr:cNvPr>
        <xdr:cNvSpPr/>
      </xdr:nvSpPr>
      <xdr:spPr>
        <a:xfrm>
          <a:off x="14012636" y="6410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41</xdr:row>
      <xdr:rowOff>76200</xdr:rowOff>
    </xdr:from>
    <xdr:to>
      <xdr:col>37</xdr:col>
      <xdr:colOff>20411</xdr:colOff>
      <xdr:row>41</xdr:row>
      <xdr:rowOff>76200</xdr:rowOff>
    </xdr:to>
    <xdr:cxnSp macro="">
      <xdr:nvCxnSpPr>
        <xdr:cNvPr id="3825" name="직선 화살표 연결선 3824">
          <a:extLst>
            <a:ext uri="{FF2B5EF4-FFF2-40B4-BE49-F238E27FC236}">
              <a16:creationId xmlns:a16="http://schemas.microsoft.com/office/drawing/2014/main" id="{2F8ECB44-258A-460E-9917-06422E672D4F}"/>
            </a:ext>
          </a:extLst>
        </xdr:cNvPr>
        <xdr:cNvCxnSpPr/>
      </xdr:nvCxnSpPr>
      <xdr:spPr>
        <a:xfrm>
          <a:off x="14012636"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40</xdr:row>
      <xdr:rowOff>19050</xdr:rowOff>
    </xdr:from>
    <xdr:to>
      <xdr:col>38</xdr:col>
      <xdr:colOff>103324</xdr:colOff>
      <xdr:row>40</xdr:row>
      <xdr:rowOff>133350</xdr:rowOff>
    </xdr:to>
    <xdr:sp macro="" textlink="">
      <xdr:nvSpPr>
        <xdr:cNvPr id="3826" name="37">
          <a:extLst>
            <a:ext uri="{FF2B5EF4-FFF2-40B4-BE49-F238E27FC236}">
              <a16:creationId xmlns:a16="http://schemas.microsoft.com/office/drawing/2014/main" id="{5FCB3C09-7B44-4322-8B37-C0C82CA104B6}"/>
            </a:ext>
          </a:extLst>
        </xdr:cNvPr>
        <xdr:cNvSpPr/>
      </xdr:nvSpPr>
      <xdr:spPr>
        <a:xfrm>
          <a:off x="14012636" y="62579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40</xdr:row>
      <xdr:rowOff>76200</xdr:rowOff>
    </xdr:from>
    <xdr:to>
      <xdr:col>37</xdr:col>
      <xdr:colOff>20411</xdr:colOff>
      <xdr:row>40</xdr:row>
      <xdr:rowOff>76200</xdr:rowOff>
    </xdr:to>
    <xdr:cxnSp macro="">
      <xdr:nvCxnSpPr>
        <xdr:cNvPr id="3827" name="직선 화살표 연결선 3826">
          <a:extLst>
            <a:ext uri="{FF2B5EF4-FFF2-40B4-BE49-F238E27FC236}">
              <a16:creationId xmlns:a16="http://schemas.microsoft.com/office/drawing/2014/main" id="{341C3A64-448C-448F-BF32-2A7F580E7378}"/>
            </a:ext>
          </a:extLst>
        </xdr:cNvPr>
        <xdr:cNvCxnSpPr/>
      </xdr:nvCxnSpPr>
      <xdr:spPr>
        <a:xfrm>
          <a:off x="14012636"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39</xdr:row>
      <xdr:rowOff>19050</xdr:rowOff>
    </xdr:from>
    <xdr:to>
      <xdr:col>38</xdr:col>
      <xdr:colOff>4536</xdr:colOff>
      <xdr:row>39</xdr:row>
      <xdr:rowOff>146050</xdr:rowOff>
    </xdr:to>
    <xdr:sp macro="" textlink="">
      <xdr:nvSpPr>
        <xdr:cNvPr id="3828" name="다이아몬드 3827">
          <a:extLst>
            <a:ext uri="{FF2B5EF4-FFF2-40B4-BE49-F238E27FC236}">
              <a16:creationId xmlns:a16="http://schemas.microsoft.com/office/drawing/2014/main" id="{F2F339A7-4856-4D3D-A92B-3A090CFA213B}"/>
            </a:ext>
          </a:extLst>
        </xdr:cNvPr>
        <xdr:cNvSpPr/>
      </xdr:nvSpPr>
      <xdr:spPr>
        <a:xfrm>
          <a:off x="14012636" y="6105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19050</xdr:rowOff>
    </xdr:from>
    <xdr:to>
      <xdr:col>31</xdr:col>
      <xdr:colOff>103324</xdr:colOff>
      <xdr:row>34</xdr:row>
      <xdr:rowOff>133350</xdr:rowOff>
    </xdr:to>
    <xdr:sp macro="" textlink="">
      <xdr:nvSpPr>
        <xdr:cNvPr id="3829" name="31">
          <a:extLst>
            <a:ext uri="{FF2B5EF4-FFF2-40B4-BE49-F238E27FC236}">
              <a16:creationId xmlns:a16="http://schemas.microsoft.com/office/drawing/2014/main" id="{FF962EA2-BB83-4684-86ED-E6B031C45B01}"/>
            </a:ext>
          </a:extLst>
        </xdr:cNvPr>
        <xdr:cNvSpPr/>
      </xdr:nvSpPr>
      <xdr:spPr>
        <a:xfrm>
          <a:off x="13216618" y="5343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31</xdr:col>
      <xdr:colOff>102054</xdr:colOff>
      <xdr:row>34</xdr:row>
      <xdr:rowOff>76200</xdr:rowOff>
    </xdr:to>
    <xdr:cxnSp macro="">
      <xdr:nvCxnSpPr>
        <xdr:cNvPr id="3830" name="직선 화살표 연결선 3829">
          <a:extLst>
            <a:ext uri="{FF2B5EF4-FFF2-40B4-BE49-F238E27FC236}">
              <a16:creationId xmlns:a16="http://schemas.microsoft.com/office/drawing/2014/main" id="{9C058D6C-B674-4E0B-9AA2-02AD3200C64E}"/>
            </a:ext>
          </a:extLst>
        </xdr:cNvPr>
        <xdr:cNvCxnSpPr/>
      </xdr:nvCxnSpPr>
      <xdr:spPr>
        <a:xfrm>
          <a:off x="13216618" y="5400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31</xdr:col>
      <xdr:colOff>103324</xdr:colOff>
      <xdr:row>33</xdr:row>
      <xdr:rowOff>133350</xdr:rowOff>
    </xdr:to>
    <xdr:sp macro="" textlink="">
      <xdr:nvSpPr>
        <xdr:cNvPr id="3831" name="0">
          <a:extLst>
            <a:ext uri="{FF2B5EF4-FFF2-40B4-BE49-F238E27FC236}">
              <a16:creationId xmlns:a16="http://schemas.microsoft.com/office/drawing/2014/main" id="{3F134247-FF70-4D87-82CC-195287D32974}"/>
            </a:ext>
          </a:extLst>
        </xdr:cNvPr>
        <xdr:cNvSpPr/>
      </xdr:nvSpPr>
      <xdr:spPr>
        <a:xfrm>
          <a:off x="13216618" y="5191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31</xdr:col>
      <xdr:colOff>102054</xdr:colOff>
      <xdr:row>33</xdr:row>
      <xdr:rowOff>76200</xdr:rowOff>
    </xdr:to>
    <xdr:cxnSp macro="">
      <xdr:nvCxnSpPr>
        <xdr:cNvPr id="3832" name="직선 화살표 연결선 3831">
          <a:extLst>
            <a:ext uri="{FF2B5EF4-FFF2-40B4-BE49-F238E27FC236}">
              <a16:creationId xmlns:a16="http://schemas.microsoft.com/office/drawing/2014/main" id="{88C2FF0E-8287-4A40-BBC0-A3A89FF4F75A}"/>
            </a:ext>
          </a:extLst>
        </xdr:cNvPr>
        <xdr:cNvCxnSpPr/>
      </xdr:nvCxnSpPr>
      <xdr:spPr>
        <a:xfrm>
          <a:off x="13216618" y="5248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31</xdr:col>
      <xdr:colOff>103324</xdr:colOff>
      <xdr:row>32</xdr:row>
      <xdr:rowOff>133350</xdr:rowOff>
    </xdr:to>
    <xdr:sp macro="" textlink="">
      <xdr:nvSpPr>
        <xdr:cNvPr id="3833" name="29">
          <a:extLst>
            <a:ext uri="{FF2B5EF4-FFF2-40B4-BE49-F238E27FC236}">
              <a16:creationId xmlns:a16="http://schemas.microsoft.com/office/drawing/2014/main" id="{B7C562FD-5452-45CA-A0DE-5B07CD524381}"/>
            </a:ext>
          </a:extLst>
        </xdr:cNvPr>
        <xdr:cNvSpPr/>
      </xdr:nvSpPr>
      <xdr:spPr>
        <a:xfrm>
          <a:off x="13216618" y="5038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31</xdr:col>
      <xdr:colOff>102054</xdr:colOff>
      <xdr:row>32</xdr:row>
      <xdr:rowOff>76200</xdr:rowOff>
    </xdr:to>
    <xdr:cxnSp macro="">
      <xdr:nvCxnSpPr>
        <xdr:cNvPr id="3834" name="직선 화살표 연결선 3833">
          <a:extLst>
            <a:ext uri="{FF2B5EF4-FFF2-40B4-BE49-F238E27FC236}">
              <a16:creationId xmlns:a16="http://schemas.microsoft.com/office/drawing/2014/main" id="{CA1B9C3D-2E9A-48ED-833B-7F6196BCE68F}"/>
            </a:ext>
          </a:extLst>
        </xdr:cNvPr>
        <xdr:cNvCxnSpPr/>
      </xdr:nvCxnSpPr>
      <xdr:spPr>
        <a:xfrm>
          <a:off x="13216618" y="5095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31</xdr:row>
      <xdr:rowOff>19050</xdr:rowOff>
    </xdr:from>
    <xdr:to>
      <xdr:col>31</xdr:col>
      <xdr:colOff>103324</xdr:colOff>
      <xdr:row>31</xdr:row>
      <xdr:rowOff>133350</xdr:rowOff>
    </xdr:to>
    <xdr:sp macro="" textlink="">
      <xdr:nvSpPr>
        <xdr:cNvPr id="3835" name="28">
          <a:extLst>
            <a:ext uri="{FF2B5EF4-FFF2-40B4-BE49-F238E27FC236}">
              <a16:creationId xmlns:a16="http://schemas.microsoft.com/office/drawing/2014/main" id="{CD08B6FD-5741-4B24-9152-162E1E1CB3D0}"/>
            </a:ext>
          </a:extLst>
        </xdr:cNvPr>
        <xdr:cNvSpPr/>
      </xdr:nvSpPr>
      <xdr:spPr>
        <a:xfrm>
          <a:off x="13216618" y="48863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31</xdr:row>
      <xdr:rowOff>76200</xdr:rowOff>
    </xdr:from>
    <xdr:to>
      <xdr:col>31</xdr:col>
      <xdr:colOff>102054</xdr:colOff>
      <xdr:row>31</xdr:row>
      <xdr:rowOff>76200</xdr:rowOff>
    </xdr:to>
    <xdr:cxnSp macro="">
      <xdr:nvCxnSpPr>
        <xdr:cNvPr id="3836" name="직선 화살표 연결선 3835">
          <a:extLst>
            <a:ext uri="{FF2B5EF4-FFF2-40B4-BE49-F238E27FC236}">
              <a16:creationId xmlns:a16="http://schemas.microsoft.com/office/drawing/2014/main" id="{5C182FAB-1908-48CB-B55C-2107B6E90FD4}"/>
            </a:ext>
          </a:extLst>
        </xdr:cNvPr>
        <xdr:cNvCxnSpPr/>
      </xdr:nvCxnSpPr>
      <xdr:spPr>
        <a:xfrm>
          <a:off x="13216618" y="4943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30</xdr:row>
      <xdr:rowOff>19050</xdr:rowOff>
    </xdr:from>
    <xdr:to>
      <xdr:col>38</xdr:col>
      <xdr:colOff>103324</xdr:colOff>
      <xdr:row>30</xdr:row>
      <xdr:rowOff>133350</xdr:rowOff>
    </xdr:to>
    <xdr:sp macro="" textlink="">
      <xdr:nvSpPr>
        <xdr:cNvPr id="3837" name="27">
          <a:extLst>
            <a:ext uri="{FF2B5EF4-FFF2-40B4-BE49-F238E27FC236}">
              <a16:creationId xmlns:a16="http://schemas.microsoft.com/office/drawing/2014/main" id="{FBCBABF9-FA82-47F8-B1B4-2E5C5925E105}"/>
            </a:ext>
          </a:extLst>
        </xdr:cNvPr>
        <xdr:cNvSpPr/>
      </xdr:nvSpPr>
      <xdr:spPr>
        <a:xfrm>
          <a:off x="13216618" y="47339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30</xdr:row>
      <xdr:rowOff>76200</xdr:rowOff>
    </xdr:from>
    <xdr:to>
      <xdr:col>34</xdr:col>
      <xdr:colOff>121913</xdr:colOff>
      <xdr:row>30</xdr:row>
      <xdr:rowOff>76200</xdr:rowOff>
    </xdr:to>
    <xdr:cxnSp macro="">
      <xdr:nvCxnSpPr>
        <xdr:cNvPr id="3838" name="직선 화살표 연결선 3837">
          <a:extLst>
            <a:ext uri="{FF2B5EF4-FFF2-40B4-BE49-F238E27FC236}">
              <a16:creationId xmlns:a16="http://schemas.microsoft.com/office/drawing/2014/main" id="{31CEC1EF-3BB0-49F6-9011-B5A17486B565}"/>
            </a:ext>
          </a:extLst>
        </xdr:cNvPr>
        <xdr:cNvCxnSpPr/>
      </xdr:nvCxnSpPr>
      <xdr:spPr>
        <a:xfrm>
          <a:off x="13216618" y="4791075"/>
          <a:ext cx="468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29</xdr:row>
      <xdr:rowOff>19050</xdr:rowOff>
    </xdr:from>
    <xdr:to>
      <xdr:col>38</xdr:col>
      <xdr:colOff>103324</xdr:colOff>
      <xdr:row>29</xdr:row>
      <xdr:rowOff>133350</xdr:rowOff>
    </xdr:to>
    <xdr:sp macro="" textlink="">
      <xdr:nvSpPr>
        <xdr:cNvPr id="3839" name="26">
          <a:extLst>
            <a:ext uri="{FF2B5EF4-FFF2-40B4-BE49-F238E27FC236}">
              <a16:creationId xmlns:a16="http://schemas.microsoft.com/office/drawing/2014/main" id="{B6572361-CF80-46CD-B40F-FCA7BF2CE5CA}"/>
            </a:ext>
          </a:extLst>
        </xdr:cNvPr>
        <xdr:cNvSpPr/>
      </xdr:nvSpPr>
      <xdr:spPr>
        <a:xfrm>
          <a:off x="13216618" y="4581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29</xdr:row>
      <xdr:rowOff>76200</xdr:rowOff>
    </xdr:from>
    <xdr:to>
      <xdr:col>34</xdr:col>
      <xdr:colOff>97867</xdr:colOff>
      <xdr:row>29</xdr:row>
      <xdr:rowOff>76200</xdr:rowOff>
    </xdr:to>
    <xdr:cxnSp macro="">
      <xdr:nvCxnSpPr>
        <xdr:cNvPr id="30720" name="직선 화살표 연결선 30719">
          <a:extLst>
            <a:ext uri="{FF2B5EF4-FFF2-40B4-BE49-F238E27FC236}">
              <a16:creationId xmlns:a16="http://schemas.microsoft.com/office/drawing/2014/main" id="{06308632-2E77-4439-AF9E-98CE46CEC57E}"/>
            </a:ext>
          </a:extLst>
        </xdr:cNvPr>
        <xdr:cNvCxnSpPr/>
      </xdr:nvCxnSpPr>
      <xdr:spPr>
        <a:xfrm>
          <a:off x="13216618" y="4638675"/>
          <a:ext cx="444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28</xdr:row>
      <xdr:rowOff>19050</xdr:rowOff>
    </xdr:from>
    <xdr:to>
      <xdr:col>38</xdr:col>
      <xdr:colOff>103324</xdr:colOff>
      <xdr:row>28</xdr:row>
      <xdr:rowOff>133350</xdr:rowOff>
    </xdr:to>
    <xdr:sp macro="" textlink="">
      <xdr:nvSpPr>
        <xdr:cNvPr id="30721" name="25">
          <a:extLst>
            <a:ext uri="{FF2B5EF4-FFF2-40B4-BE49-F238E27FC236}">
              <a16:creationId xmlns:a16="http://schemas.microsoft.com/office/drawing/2014/main" id="{4BAAB74A-5C46-490C-AD9A-AE19CEAE6BC9}"/>
            </a:ext>
          </a:extLst>
        </xdr:cNvPr>
        <xdr:cNvSpPr/>
      </xdr:nvSpPr>
      <xdr:spPr>
        <a:xfrm>
          <a:off x="13216618" y="4429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28</xdr:row>
      <xdr:rowOff>76200</xdr:rowOff>
    </xdr:from>
    <xdr:to>
      <xdr:col>34</xdr:col>
      <xdr:colOff>97867</xdr:colOff>
      <xdr:row>28</xdr:row>
      <xdr:rowOff>76200</xdr:rowOff>
    </xdr:to>
    <xdr:cxnSp macro="">
      <xdr:nvCxnSpPr>
        <xdr:cNvPr id="30722" name="직선 화살표 연결선 30721">
          <a:extLst>
            <a:ext uri="{FF2B5EF4-FFF2-40B4-BE49-F238E27FC236}">
              <a16:creationId xmlns:a16="http://schemas.microsoft.com/office/drawing/2014/main" id="{2C51ECA8-F256-49D4-A106-D9624AB693A5}"/>
            </a:ext>
          </a:extLst>
        </xdr:cNvPr>
        <xdr:cNvCxnSpPr/>
      </xdr:nvCxnSpPr>
      <xdr:spPr>
        <a:xfrm>
          <a:off x="13216618" y="4486275"/>
          <a:ext cx="444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27</xdr:row>
      <xdr:rowOff>19050</xdr:rowOff>
    </xdr:from>
    <xdr:to>
      <xdr:col>37</xdr:col>
      <xdr:colOff>82913</xdr:colOff>
      <xdr:row>27</xdr:row>
      <xdr:rowOff>133350</xdr:rowOff>
    </xdr:to>
    <xdr:sp macro="" textlink="">
      <xdr:nvSpPr>
        <xdr:cNvPr id="30723" name="24">
          <a:extLst>
            <a:ext uri="{FF2B5EF4-FFF2-40B4-BE49-F238E27FC236}">
              <a16:creationId xmlns:a16="http://schemas.microsoft.com/office/drawing/2014/main" id="{5C0D42C1-6679-4925-A185-FC960872F5EE}"/>
            </a:ext>
          </a:extLst>
        </xdr:cNvPr>
        <xdr:cNvSpPr/>
      </xdr:nvSpPr>
      <xdr:spPr>
        <a:xfrm>
          <a:off x="14012636" y="4276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27</xdr:row>
      <xdr:rowOff>76200</xdr:rowOff>
    </xdr:from>
    <xdr:to>
      <xdr:col>37</xdr:col>
      <xdr:colOff>20411</xdr:colOff>
      <xdr:row>27</xdr:row>
      <xdr:rowOff>76200</xdr:rowOff>
    </xdr:to>
    <xdr:cxnSp macro="">
      <xdr:nvCxnSpPr>
        <xdr:cNvPr id="30724" name="직선 화살표 연결선 30723">
          <a:extLst>
            <a:ext uri="{FF2B5EF4-FFF2-40B4-BE49-F238E27FC236}">
              <a16:creationId xmlns:a16="http://schemas.microsoft.com/office/drawing/2014/main" id="{910F5378-6A6A-44DB-8426-4BCB1B3A724C}"/>
            </a:ext>
          </a:extLst>
        </xdr:cNvPr>
        <xdr:cNvCxnSpPr/>
      </xdr:nvCxnSpPr>
      <xdr:spPr>
        <a:xfrm>
          <a:off x="14012636"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26</xdr:row>
      <xdr:rowOff>19050</xdr:rowOff>
    </xdr:from>
    <xdr:to>
      <xdr:col>38</xdr:col>
      <xdr:colOff>1270</xdr:colOff>
      <xdr:row>26</xdr:row>
      <xdr:rowOff>133350</xdr:rowOff>
    </xdr:to>
    <xdr:sp macro="" textlink="">
      <xdr:nvSpPr>
        <xdr:cNvPr id="30725" name="23">
          <a:extLst>
            <a:ext uri="{FF2B5EF4-FFF2-40B4-BE49-F238E27FC236}">
              <a16:creationId xmlns:a16="http://schemas.microsoft.com/office/drawing/2014/main" id="{AC5F888F-E89C-43CE-8A94-3949FBBAFBF1}"/>
            </a:ext>
          </a:extLst>
        </xdr:cNvPr>
        <xdr:cNvSpPr/>
      </xdr:nvSpPr>
      <xdr:spPr>
        <a:xfrm>
          <a:off x="14012636" y="4124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26</xdr:row>
      <xdr:rowOff>76200</xdr:rowOff>
    </xdr:from>
    <xdr:to>
      <xdr:col>37</xdr:col>
      <xdr:colOff>20411</xdr:colOff>
      <xdr:row>26</xdr:row>
      <xdr:rowOff>76200</xdr:rowOff>
    </xdr:to>
    <xdr:cxnSp macro="">
      <xdr:nvCxnSpPr>
        <xdr:cNvPr id="13984" name="직선 화살표 연결선 13983">
          <a:extLst>
            <a:ext uri="{FF2B5EF4-FFF2-40B4-BE49-F238E27FC236}">
              <a16:creationId xmlns:a16="http://schemas.microsoft.com/office/drawing/2014/main" id="{F38A55A3-5351-4FC2-83DF-B5FCE0CCA38C}"/>
            </a:ext>
          </a:extLst>
        </xdr:cNvPr>
        <xdr:cNvCxnSpPr/>
      </xdr:nvCxnSpPr>
      <xdr:spPr>
        <a:xfrm>
          <a:off x="14012636"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25</xdr:row>
      <xdr:rowOff>19050</xdr:rowOff>
    </xdr:from>
    <xdr:to>
      <xdr:col>38</xdr:col>
      <xdr:colOff>1270</xdr:colOff>
      <xdr:row>25</xdr:row>
      <xdr:rowOff>133350</xdr:rowOff>
    </xdr:to>
    <xdr:sp macro="" textlink="">
      <xdr:nvSpPr>
        <xdr:cNvPr id="13985" name="22">
          <a:extLst>
            <a:ext uri="{FF2B5EF4-FFF2-40B4-BE49-F238E27FC236}">
              <a16:creationId xmlns:a16="http://schemas.microsoft.com/office/drawing/2014/main" id="{24EBA16B-0E08-41DB-8F0C-3F2C9BB52229}"/>
            </a:ext>
          </a:extLst>
        </xdr:cNvPr>
        <xdr:cNvSpPr/>
      </xdr:nvSpPr>
      <xdr:spPr>
        <a:xfrm>
          <a:off x="14012636" y="39719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25</xdr:row>
      <xdr:rowOff>76200</xdr:rowOff>
    </xdr:from>
    <xdr:to>
      <xdr:col>37</xdr:col>
      <xdr:colOff>20411</xdr:colOff>
      <xdr:row>25</xdr:row>
      <xdr:rowOff>76200</xdr:rowOff>
    </xdr:to>
    <xdr:cxnSp macro="">
      <xdr:nvCxnSpPr>
        <xdr:cNvPr id="13986" name="직선 화살표 연결선 13985">
          <a:extLst>
            <a:ext uri="{FF2B5EF4-FFF2-40B4-BE49-F238E27FC236}">
              <a16:creationId xmlns:a16="http://schemas.microsoft.com/office/drawing/2014/main" id="{08F51E2D-9C00-4DBE-997B-71078C247630}"/>
            </a:ext>
          </a:extLst>
        </xdr:cNvPr>
        <xdr:cNvCxnSpPr/>
      </xdr:nvCxnSpPr>
      <xdr:spPr>
        <a:xfrm>
          <a:off x="1401263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24</xdr:row>
      <xdr:rowOff>19050</xdr:rowOff>
    </xdr:from>
    <xdr:to>
      <xdr:col>37</xdr:col>
      <xdr:colOff>42090</xdr:colOff>
      <xdr:row>24</xdr:row>
      <xdr:rowOff>133350</xdr:rowOff>
    </xdr:to>
    <xdr:sp macro="" textlink="">
      <xdr:nvSpPr>
        <xdr:cNvPr id="13987" name="21">
          <a:extLst>
            <a:ext uri="{FF2B5EF4-FFF2-40B4-BE49-F238E27FC236}">
              <a16:creationId xmlns:a16="http://schemas.microsoft.com/office/drawing/2014/main" id="{05BD1D1C-575C-4690-BA75-6E1AA4322EBC}"/>
            </a:ext>
          </a:extLst>
        </xdr:cNvPr>
        <xdr:cNvSpPr/>
      </xdr:nvSpPr>
      <xdr:spPr>
        <a:xfrm>
          <a:off x="13849350" y="3819525"/>
          <a:ext cx="184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36</xdr:col>
      <xdr:colOff>0</xdr:colOff>
      <xdr:row>24</xdr:row>
      <xdr:rowOff>76200</xdr:rowOff>
    </xdr:to>
    <xdr:cxnSp macro="">
      <xdr:nvCxnSpPr>
        <xdr:cNvPr id="13988" name="직선 화살표 연결선 13987">
          <a:extLst>
            <a:ext uri="{FF2B5EF4-FFF2-40B4-BE49-F238E27FC236}">
              <a16:creationId xmlns:a16="http://schemas.microsoft.com/office/drawing/2014/main" id="{57479E42-EE63-4513-BBE1-F28C26AB3738}"/>
            </a:ext>
          </a:extLst>
        </xdr:cNvPr>
        <xdr:cNvCxnSpPr/>
      </xdr:nvCxnSpPr>
      <xdr:spPr>
        <a:xfrm>
          <a:off x="13849350"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23</xdr:row>
      <xdr:rowOff>19050</xdr:rowOff>
    </xdr:from>
    <xdr:to>
      <xdr:col>37</xdr:col>
      <xdr:colOff>42090</xdr:colOff>
      <xdr:row>23</xdr:row>
      <xdr:rowOff>133350</xdr:rowOff>
    </xdr:to>
    <xdr:sp macro="" textlink="">
      <xdr:nvSpPr>
        <xdr:cNvPr id="13989" name="20">
          <a:extLst>
            <a:ext uri="{FF2B5EF4-FFF2-40B4-BE49-F238E27FC236}">
              <a16:creationId xmlns:a16="http://schemas.microsoft.com/office/drawing/2014/main" id="{827DA7D5-87E9-47D3-8367-5C569AE484C9}"/>
            </a:ext>
          </a:extLst>
        </xdr:cNvPr>
        <xdr:cNvSpPr/>
      </xdr:nvSpPr>
      <xdr:spPr>
        <a:xfrm>
          <a:off x="13849350" y="3667125"/>
          <a:ext cx="184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23</xdr:row>
      <xdr:rowOff>76200</xdr:rowOff>
    </xdr:from>
    <xdr:to>
      <xdr:col>36</xdr:col>
      <xdr:colOff>0</xdr:colOff>
      <xdr:row>23</xdr:row>
      <xdr:rowOff>76200</xdr:rowOff>
    </xdr:to>
    <xdr:cxnSp macro="">
      <xdr:nvCxnSpPr>
        <xdr:cNvPr id="13990" name="직선 화살표 연결선 13989">
          <a:extLst>
            <a:ext uri="{FF2B5EF4-FFF2-40B4-BE49-F238E27FC236}">
              <a16:creationId xmlns:a16="http://schemas.microsoft.com/office/drawing/2014/main" id="{6697A923-43B2-40A1-941F-ABEA890793D0}"/>
            </a:ext>
          </a:extLst>
        </xdr:cNvPr>
        <xdr:cNvCxnSpPr/>
      </xdr:nvCxnSpPr>
      <xdr:spPr>
        <a:xfrm>
          <a:off x="1384935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36</xdr:col>
      <xdr:colOff>1270</xdr:colOff>
      <xdr:row>22</xdr:row>
      <xdr:rowOff>133350</xdr:rowOff>
    </xdr:to>
    <xdr:sp macro="" textlink="">
      <xdr:nvSpPr>
        <xdr:cNvPr id="13991" name="19">
          <a:extLst>
            <a:ext uri="{FF2B5EF4-FFF2-40B4-BE49-F238E27FC236}">
              <a16:creationId xmlns:a16="http://schemas.microsoft.com/office/drawing/2014/main" id="{D3054952-3AD2-4065-A703-75F91B80EF9C}"/>
            </a:ext>
          </a:extLst>
        </xdr:cNvPr>
        <xdr:cNvSpPr/>
      </xdr:nvSpPr>
      <xdr:spPr>
        <a:xfrm>
          <a:off x="13747296" y="3514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13992" name="직선 화살표 연결선 13991">
          <a:extLst>
            <a:ext uri="{FF2B5EF4-FFF2-40B4-BE49-F238E27FC236}">
              <a16:creationId xmlns:a16="http://schemas.microsoft.com/office/drawing/2014/main" id="{304B4A88-A544-4EED-A73D-9DAE6C3ECE76}"/>
            </a:ext>
          </a:extLst>
        </xdr:cNvPr>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36</xdr:col>
      <xdr:colOff>1270</xdr:colOff>
      <xdr:row>21</xdr:row>
      <xdr:rowOff>133350</xdr:rowOff>
    </xdr:to>
    <xdr:sp macro="" textlink="">
      <xdr:nvSpPr>
        <xdr:cNvPr id="13993" name="18">
          <a:extLst>
            <a:ext uri="{FF2B5EF4-FFF2-40B4-BE49-F238E27FC236}">
              <a16:creationId xmlns:a16="http://schemas.microsoft.com/office/drawing/2014/main" id="{B7D853F2-56D4-4A31-892E-23019D326D40}"/>
            </a:ext>
          </a:extLst>
        </xdr:cNvPr>
        <xdr:cNvSpPr/>
      </xdr:nvSpPr>
      <xdr:spPr>
        <a:xfrm>
          <a:off x="13747296" y="3362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13994" name="직선 화살표 연결선 13993">
          <a:extLst>
            <a:ext uri="{FF2B5EF4-FFF2-40B4-BE49-F238E27FC236}">
              <a16:creationId xmlns:a16="http://schemas.microsoft.com/office/drawing/2014/main" id="{51A2284F-5238-468D-A7A5-D9E8A5EBBB65}"/>
            </a:ext>
          </a:extLst>
        </xdr:cNvPr>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20</xdr:row>
      <xdr:rowOff>19050</xdr:rowOff>
    </xdr:from>
    <xdr:to>
      <xdr:col>37</xdr:col>
      <xdr:colOff>42090</xdr:colOff>
      <xdr:row>20</xdr:row>
      <xdr:rowOff>133350</xdr:rowOff>
    </xdr:to>
    <xdr:sp macro="" textlink="">
      <xdr:nvSpPr>
        <xdr:cNvPr id="13995" name="17">
          <a:extLst>
            <a:ext uri="{FF2B5EF4-FFF2-40B4-BE49-F238E27FC236}">
              <a16:creationId xmlns:a16="http://schemas.microsoft.com/office/drawing/2014/main" id="{23C806A6-61AE-48FD-AF92-659089089808}"/>
            </a:ext>
          </a:extLst>
        </xdr:cNvPr>
        <xdr:cNvSpPr/>
      </xdr:nvSpPr>
      <xdr:spPr>
        <a:xfrm>
          <a:off x="13747296" y="3209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20</xdr:row>
      <xdr:rowOff>76200</xdr:rowOff>
    </xdr:from>
    <xdr:to>
      <xdr:col>35</xdr:col>
      <xdr:colOff>40821</xdr:colOff>
      <xdr:row>20</xdr:row>
      <xdr:rowOff>76200</xdr:rowOff>
    </xdr:to>
    <xdr:cxnSp macro="">
      <xdr:nvCxnSpPr>
        <xdr:cNvPr id="13996" name="직선 화살표 연결선 13995">
          <a:extLst>
            <a:ext uri="{FF2B5EF4-FFF2-40B4-BE49-F238E27FC236}">
              <a16:creationId xmlns:a16="http://schemas.microsoft.com/office/drawing/2014/main" id="{388E53DE-A38D-4D27-9642-551E028EF6BC}"/>
            </a:ext>
          </a:extLst>
        </xdr:cNvPr>
        <xdr:cNvCxnSpPr/>
      </xdr:nvCxnSpPr>
      <xdr:spPr>
        <a:xfrm>
          <a:off x="1374729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19</xdr:row>
      <xdr:rowOff>19050</xdr:rowOff>
    </xdr:from>
    <xdr:to>
      <xdr:col>36</xdr:col>
      <xdr:colOff>82913</xdr:colOff>
      <xdr:row>19</xdr:row>
      <xdr:rowOff>133350</xdr:rowOff>
    </xdr:to>
    <xdr:sp macro="" textlink="">
      <xdr:nvSpPr>
        <xdr:cNvPr id="13997" name="16">
          <a:extLst>
            <a:ext uri="{FF2B5EF4-FFF2-40B4-BE49-F238E27FC236}">
              <a16:creationId xmlns:a16="http://schemas.microsoft.com/office/drawing/2014/main" id="{64238E4E-3133-4F91-9FDD-9A6C135BB591}"/>
            </a:ext>
          </a:extLst>
        </xdr:cNvPr>
        <xdr:cNvSpPr/>
      </xdr:nvSpPr>
      <xdr:spPr>
        <a:xfrm>
          <a:off x="13869761" y="3057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19</xdr:row>
      <xdr:rowOff>76200</xdr:rowOff>
    </xdr:from>
    <xdr:to>
      <xdr:col>36</xdr:col>
      <xdr:colOff>20411</xdr:colOff>
      <xdr:row>19</xdr:row>
      <xdr:rowOff>76200</xdr:rowOff>
    </xdr:to>
    <xdr:cxnSp macro="">
      <xdr:nvCxnSpPr>
        <xdr:cNvPr id="13998" name="직선 화살표 연결선 13997">
          <a:extLst>
            <a:ext uri="{FF2B5EF4-FFF2-40B4-BE49-F238E27FC236}">
              <a16:creationId xmlns:a16="http://schemas.microsoft.com/office/drawing/2014/main" id="{CDD69353-A52F-4886-AE1C-F19AF2A85705}"/>
            </a:ext>
          </a:extLst>
        </xdr:cNvPr>
        <xdr:cNvCxnSpPr/>
      </xdr:nvCxnSpPr>
      <xdr:spPr>
        <a:xfrm>
          <a:off x="13869761"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36</xdr:col>
      <xdr:colOff>42090</xdr:colOff>
      <xdr:row>18</xdr:row>
      <xdr:rowOff>133350</xdr:rowOff>
    </xdr:to>
    <xdr:sp macro="" textlink="">
      <xdr:nvSpPr>
        <xdr:cNvPr id="13999" name="15">
          <a:extLst>
            <a:ext uri="{FF2B5EF4-FFF2-40B4-BE49-F238E27FC236}">
              <a16:creationId xmlns:a16="http://schemas.microsoft.com/office/drawing/2014/main" id="{151CA635-FD84-4A0A-B2EC-0B0B702E3D29}"/>
            </a:ext>
          </a:extLst>
        </xdr:cNvPr>
        <xdr:cNvSpPr/>
      </xdr:nvSpPr>
      <xdr:spPr>
        <a:xfrm>
          <a:off x="13747296"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14000" name="직선 화살표 연결선 13999">
          <a:extLst>
            <a:ext uri="{FF2B5EF4-FFF2-40B4-BE49-F238E27FC236}">
              <a16:creationId xmlns:a16="http://schemas.microsoft.com/office/drawing/2014/main" id="{B68F94C8-94C2-4E0F-8787-1F97AAC021F6}"/>
            </a:ext>
          </a:extLst>
        </xdr:cNvPr>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37</xdr:col>
      <xdr:colOff>42090</xdr:colOff>
      <xdr:row>17</xdr:row>
      <xdr:rowOff>133350</xdr:rowOff>
    </xdr:to>
    <xdr:sp macro="" textlink="">
      <xdr:nvSpPr>
        <xdr:cNvPr id="14001" name="14">
          <a:extLst>
            <a:ext uri="{FF2B5EF4-FFF2-40B4-BE49-F238E27FC236}">
              <a16:creationId xmlns:a16="http://schemas.microsoft.com/office/drawing/2014/main" id="{32980EAF-60D8-4E62-B7F9-8A893520936E}"/>
            </a:ext>
          </a:extLst>
        </xdr:cNvPr>
        <xdr:cNvSpPr/>
      </xdr:nvSpPr>
      <xdr:spPr>
        <a:xfrm>
          <a:off x="13747296" y="27527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36</xdr:col>
      <xdr:colOff>40821</xdr:colOff>
      <xdr:row>17</xdr:row>
      <xdr:rowOff>76200</xdr:rowOff>
    </xdr:to>
    <xdr:cxnSp macro="">
      <xdr:nvCxnSpPr>
        <xdr:cNvPr id="14002" name="직선 화살표 연결선 14001">
          <a:extLst>
            <a:ext uri="{FF2B5EF4-FFF2-40B4-BE49-F238E27FC236}">
              <a16:creationId xmlns:a16="http://schemas.microsoft.com/office/drawing/2014/main" id="{D0689920-0B35-4DF3-BF22-95E96D8AC661}"/>
            </a:ext>
          </a:extLst>
        </xdr:cNvPr>
        <xdr:cNvCxnSpPr/>
      </xdr:nvCxnSpPr>
      <xdr:spPr>
        <a:xfrm>
          <a:off x="13747296" y="2809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37</xdr:col>
      <xdr:colOff>42090</xdr:colOff>
      <xdr:row>16</xdr:row>
      <xdr:rowOff>133350</xdr:rowOff>
    </xdr:to>
    <xdr:sp macro="" textlink="">
      <xdr:nvSpPr>
        <xdr:cNvPr id="14003" name="13">
          <a:extLst>
            <a:ext uri="{FF2B5EF4-FFF2-40B4-BE49-F238E27FC236}">
              <a16:creationId xmlns:a16="http://schemas.microsoft.com/office/drawing/2014/main" id="{B93E3E97-10FC-4103-A845-6C1D67DAD4CD}"/>
            </a:ext>
          </a:extLst>
        </xdr:cNvPr>
        <xdr:cNvSpPr/>
      </xdr:nvSpPr>
      <xdr:spPr>
        <a:xfrm>
          <a:off x="13747296" y="26003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36</xdr:col>
      <xdr:colOff>56696</xdr:colOff>
      <xdr:row>16</xdr:row>
      <xdr:rowOff>76200</xdr:rowOff>
    </xdr:to>
    <xdr:cxnSp macro="">
      <xdr:nvCxnSpPr>
        <xdr:cNvPr id="14004" name="직선 화살표 연결선 14003">
          <a:extLst>
            <a:ext uri="{FF2B5EF4-FFF2-40B4-BE49-F238E27FC236}">
              <a16:creationId xmlns:a16="http://schemas.microsoft.com/office/drawing/2014/main" id="{0D1912B1-00E5-481F-BF28-6E80154BABB6}"/>
            </a:ext>
          </a:extLst>
        </xdr:cNvPr>
        <xdr:cNvCxnSpPr/>
      </xdr:nvCxnSpPr>
      <xdr:spPr>
        <a:xfrm>
          <a:off x="13747296" y="2657475"/>
          <a:ext cx="158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15</xdr:row>
      <xdr:rowOff>19050</xdr:rowOff>
    </xdr:from>
    <xdr:to>
      <xdr:col>37</xdr:col>
      <xdr:colOff>42090</xdr:colOff>
      <xdr:row>15</xdr:row>
      <xdr:rowOff>133350</xdr:rowOff>
    </xdr:to>
    <xdr:sp macro="" textlink="">
      <xdr:nvSpPr>
        <xdr:cNvPr id="14005" name="12">
          <a:extLst>
            <a:ext uri="{FF2B5EF4-FFF2-40B4-BE49-F238E27FC236}">
              <a16:creationId xmlns:a16="http://schemas.microsoft.com/office/drawing/2014/main" id="{AD3A5159-7ABC-4BED-8490-D2CB7809E0BE}"/>
            </a:ext>
          </a:extLst>
        </xdr:cNvPr>
        <xdr:cNvSpPr/>
      </xdr:nvSpPr>
      <xdr:spPr>
        <a:xfrm>
          <a:off x="13747296" y="2447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15</xdr:row>
      <xdr:rowOff>76200</xdr:rowOff>
    </xdr:from>
    <xdr:to>
      <xdr:col>36</xdr:col>
      <xdr:colOff>56696</xdr:colOff>
      <xdr:row>15</xdr:row>
      <xdr:rowOff>76200</xdr:rowOff>
    </xdr:to>
    <xdr:cxnSp macro="">
      <xdr:nvCxnSpPr>
        <xdr:cNvPr id="14006" name="직선 화살표 연결선 14005">
          <a:extLst>
            <a:ext uri="{FF2B5EF4-FFF2-40B4-BE49-F238E27FC236}">
              <a16:creationId xmlns:a16="http://schemas.microsoft.com/office/drawing/2014/main" id="{980DE7F4-ED4D-4C54-B4B2-DD2124B1B373}"/>
            </a:ext>
          </a:extLst>
        </xdr:cNvPr>
        <xdr:cNvCxnSpPr/>
      </xdr:nvCxnSpPr>
      <xdr:spPr>
        <a:xfrm>
          <a:off x="13747296" y="2505075"/>
          <a:ext cx="158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14007" name="11">
          <a:extLst>
            <a:ext uri="{FF2B5EF4-FFF2-40B4-BE49-F238E27FC236}">
              <a16:creationId xmlns:a16="http://schemas.microsoft.com/office/drawing/2014/main" id="{805383DF-2C9C-4217-967B-6374BB6EFBA7}"/>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14009" name="직선 화살표 연결선 14008">
          <a:extLst>
            <a:ext uri="{FF2B5EF4-FFF2-40B4-BE49-F238E27FC236}">
              <a16:creationId xmlns:a16="http://schemas.microsoft.com/office/drawing/2014/main" id="{DA01D93D-6891-4C9C-BEF3-6A1EFB41C639}"/>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14010" name="10">
          <a:extLst>
            <a:ext uri="{FF2B5EF4-FFF2-40B4-BE49-F238E27FC236}">
              <a16:creationId xmlns:a16="http://schemas.microsoft.com/office/drawing/2014/main" id="{4EDA6046-7FE6-42B8-9975-A4F4D33B37F8}"/>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14011" name="직선 화살표 연결선 14010">
          <a:extLst>
            <a:ext uri="{FF2B5EF4-FFF2-40B4-BE49-F238E27FC236}">
              <a16:creationId xmlns:a16="http://schemas.microsoft.com/office/drawing/2014/main" id="{066E05AE-C7B6-4096-8DD7-C757CB73318C}"/>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14012" name="9">
          <a:extLst>
            <a:ext uri="{FF2B5EF4-FFF2-40B4-BE49-F238E27FC236}">
              <a16:creationId xmlns:a16="http://schemas.microsoft.com/office/drawing/2014/main" id="{FD583DB6-6F9E-4954-BD05-B86363A5C2AF}"/>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14013" name="직선 화살표 연결선 14012">
          <a:extLst>
            <a:ext uri="{FF2B5EF4-FFF2-40B4-BE49-F238E27FC236}">
              <a16:creationId xmlns:a16="http://schemas.microsoft.com/office/drawing/2014/main" id="{EA387DE4-AF37-4118-AE50-6FC631762E59}"/>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14014" name="8">
          <a:extLst>
            <a:ext uri="{FF2B5EF4-FFF2-40B4-BE49-F238E27FC236}">
              <a16:creationId xmlns:a16="http://schemas.microsoft.com/office/drawing/2014/main" id="{82D34393-A71C-4032-AACC-054F279967E4}"/>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14015" name="직선 화살표 연결선 14014">
          <a:extLst>
            <a:ext uri="{FF2B5EF4-FFF2-40B4-BE49-F238E27FC236}">
              <a16:creationId xmlns:a16="http://schemas.microsoft.com/office/drawing/2014/main" id="{96BD1F4E-823C-4E27-9808-C213F6773F5B}"/>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0837" name="다이아몬드 30836">
          <a:extLst>
            <a:ext uri="{FF2B5EF4-FFF2-40B4-BE49-F238E27FC236}">
              <a16:creationId xmlns:a16="http://schemas.microsoft.com/office/drawing/2014/main" id="{3A36D520-6633-45E7-99E3-6552464A5D22}"/>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0838" name="6">
          <a:extLst>
            <a:ext uri="{FF2B5EF4-FFF2-40B4-BE49-F238E27FC236}">
              <a16:creationId xmlns:a16="http://schemas.microsoft.com/office/drawing/2014/main" id="{6956A9DC-5803-40DF-8618-B94AEE9A8996}"/>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0839" name="직선 화살표 연결선 30838">
          <a:extLst>
            <a:ext uri="{FF2B5EF4-FFF2-40B4-BE49-F238E27FC236}">
              <a16:creationId xmlns:a16="http://schemas.microsoft.com/office/drawing/2014/main" id="{AE94F043-D854-4E9D-AF43-ABACE780ADDA}"/>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0840" name="5">
          <a:extLst>
            <a:ext uri="{FF2B5EF4-FFF2-40B4-BE49-F238E27FC236}">
              <a16:creationId xmlns:a16="http://schemas.microsoft.com/office/drawing/2014/main" id="{023AC83B-54B9-4D29-9A52-E9988087E42C}"/>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0841" name="직선 화살표 연결선 30840">
          <a:extLst>
            <a:ext uri="{FF2B5EF4-FFF2-40B4-BE49-F238E27FC236}">
              <a16:creationId xmlns:a16="http://schemas.microsoft.com/office/drawing/2014/main" id="{02E016EB-C745-454C-AD94-1C417D7C99B7}"/>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0842" name="4">
          <a:extLst>
            <a:ext uri="{FF2B5EF4-FFF2-40B4-BE49-F238E27FC236}">
              <a16:creationId xmlns:a16="http://schemas.microsoft.com/office/drawing/2014/main" id="{44E11B03-47B4-4F8A-8D11-57BB7A273E05}"/>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0843" name="직선 화살표 연결선 30842">
          <a:extLst>
            <a:ext uri="{FF2B5EF4-FFF2-40B4-BE49-F238E27FC236}">
              <a16:creationId xmlns:a16="http://schemas.microsoft.com/office/drawing/2014/main" id="{2CF59832-8CC1-4CB8-86F6-0DCA70FF6BD6}"/>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37</xdr:col>
      <xdr:colOff>42090</xdr:colOff>
      <xdr:row>6</xdr:row>
      <xdr:rowOff>133350</xdr:rowOff>
    </xdr:to>
    <xdr:sp macro="" textlink="">
      <xdr:nvSpPr>
        <xdr:cNvPr id="30844" name="3">
          <a:extLst>
            <a:ext uri="{FF2B5EF4-FFF2-40B4-BE49-F238E27FC236}">
              <a16:creationId xmlns:a16="http://schemas.microsoft.com/office/drawing/2014/main" id="{7C67DCA8-6995-4246-973D-91641C204F65}"/>
            </a:ext>
          </a:extLst>
        </xdr:cNvPr>
        <xdr:cNvSpPr/>
      </xdr:nvSpPr>
      <xdr:spPr>
        <a:xfrm>
          <a:off x="13624832" y="10763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36</xdr:col>
      <xdr:colOff>97755</xdr:colOff>
      <xdr:row>6</xdr:row>
      <xdr:rowOff>76200</xdr:rowOff>
    </xdr:to>
    <xdr:cxnSp macro="">
      <xdr:nvCxnSpPr>
        <xdr:cNvPr id="30845" name="직선 화살표 연결선 30844">
          <a:extLst>
            <a:ext uri="{FF2B5EF4-FFF2-40B4-BE49-F238E27FC236}">
              <a16:creationId xmlns:a16="http://schemas.microsoft.com/office/drawing/2014/main" id="{C20B779A-4C84-4A6C-BB16-3E73191E7C5E}"/>
            </a:ext>
          </a:extLst>
        </xdr:cNvPr>
        <xdr:cNvCxnSpPr/>
      </xdr:nvCxnSpPr>
      <xdr:spPr>
        <a:xfrm>
          <a:off x="13624832" y="1133475"/>
          <a:ext cx="3222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1270</xdr:colOff>
      <xdr:row>5</xdr:row>
      <xdr:rowOff>133350</xdr:rowOff>
    </xdr:to>
    <xdr:sp macro="" textlink="">
      <xdr:nvSpPr>
        <xdr:cNvPr id="30846" name="2">
          <a:extLst>
            <a:ext uri="{FF2B5EF4-FFF2-40B4-BE49-F238E27FC236}">
              <a16:creationId xmlns:a16="http://schemas.microsoft.com/office/drawing/2014/main" id="{F55D093F-5528-45FD-96CC-011502592389}"/>
            </a:ext>
          </a:extLst>
        </xdr:cNvPr>
        <xdr:cNvSpPr/>
      </xdr:nvSpPr>
      <xdr:spPr>
        <a:xfrm>
          <a:off x="13624832" y="9239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36</xdr:col>
      <xdr:colOff>48840</xdr:colOff>
      <xdr:row>5</xdr:row>
      <xdr:rowOff>76200</xdr:rowOff>
    </xdr:to>
    <xdr:cxnSp macro="">
      <xdr:nvCxnSpPr>
        <xdr:cNvPr id="30847" name="직선 화살표 연결선 30846">
          <a:extLst>
            <a:ext uri="{FF2B5EF4-FFF2-40B4-BE49-F238E27FC236}">
              <a16:creationId xmlns:a16="http://schemas.microsoft.com/office/drawing/2014/main" id="{190BB914-BB1B-4FC0-BB7D-6FAF0F233CC7}"/>
            </a:ext>
          </a:extLst>
        </xdr:cNvPr>
        <xdr:cNvCxnSpPr/>
      </xdr:nvCxnSpPr>
      <xdr:spPr>
        <a:xfrm>
          <a:off x="13624832" y="981075"/>
          <a:ext cx="2733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42090</xdr:colOff>
      <xdr:row>4</xdr:row>
      <xdr:rowOff>133350</xdr:rowOff>
    </xdr:to>
    <xdr:sp macro="" textlink="">
      <xdr:nvSpPr>
        <xdr:cNvPr id="23008" name="1">
          <a:extLst>
            <a:ext uri="{FF2B5EF4-FFF2-40B4-BE49-F238E27FC236}">
              <a16:creationId xmlns:a16="http://schemas.microsoft.com/office/drawing/2014/main" id="{373696A4-C909-480F-ACE2-E0FD7383FC43}"/>
            </a:ext>
          </a:extLst>
        </xdr:cNvPr>
        <xdr:cNvSpPr/>
      </xdr:nvSpPr>
      <xdr:spPr>
        <a:xfrm>
          <a:off x="13216618" y="771525"/>
          <a:ext cx="11034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34</xdr:col>
      <xdr:colOff>128922</xdr:colOff>
      <xdr:row>4</xdr:row>
      <xdr:rowOff>76200</xdr:rowOff>
    </xdr:to>
    <xdr:cxnSp macro="">
      <xdr:nvCxnSpPr>
        <xdr:cNvPr id="23009" name="직선 화살표 연결선 23008">
          <a:extLst>
            <a:ext uri="{FF2B5EF4-FFF2-40B4-BE49-F238E27FC236}">
              <a16:creationId xmlns:a16="http://schemas.microsoft.com/office/drawing/2014/main" id="{AE23A0C6-3CA2-48EE-B4F5-49448EDDCC84}"/>
            </a:ext>
          </a:extLst>
        </xdr:cNvPr>
        <xdr:cNvCxnSpPr/>
      </xdr:nvCxnSpPr>
      <xdr:spPr>
        <a:xfrm>
          <a:off x="13216618" y="828675"/>
          <a:ext cx="4759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44585</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4" t="s">
        <v>1396</v>
      </c>
      <c r="B1" s="265"/>
      <c r="C1" s="265"/>
      <c r="D1" s="265"/>
      <c r="E1" s="265"/>
      <c r="F1" s="265"/>
      <c r="G1" s="265"/>
      <c r="H1" s="182"/>
      <c r="I1" s="182"/>
      <c r="J1" s="257" t="s">
        <v>1525</v>
      </c>
      <c r="K1" s="258"/>
      <c r="L1" s="258"/>
      <c r="M1" s="183"/>
    </row>
    <row r="2" spans="1:13" s="104" customFormat="1" ht="33.75" customHeight="1">
      <c r="A2" s="266"/>
      <c r="B2" s="267"/>
      <c r="C2" s="267"/>
      <c r="D2" s="267"/>
      <c r="E2" s="267"/>
      <c r="F2" s="267"/>
      <c r="G2" s="267"/>
      <c r="H2" s="262" t="s">
        <v>1397</v>
      </c>
      <c r="I2" s="263"/>
      <c r="J2" s="263"/>
      <c r="K2" s="263"/>
      <c r="L2" s="263"/>
      <c r="M2" s="184"/>
    </row>
    <row r="4" spans="1:13" ht="17.25" customHeight="1">
      <c r="B4" s="259" t="s">
        <v>1398</v>
      </c>
      <c r="C4" s="259"/>
      <c r="D4" s="259"/>
      <c r="E4" s="259"/>
      <c r="F4" s="259"/>
      <c r="G4" s="259"/>
      <c r="H4" s="259"/>
      <c r="I4" s="259"/>
      <c r="J4" s="259"/>
      <c r="K4" s="259"/>
      <c r="L4" s="259"/>
    </row>
    <row r="5" spans="1:13" ht="27.75" customHeight="1">
      <c r="B5" s="259"/>
      <c r="C5" s="259"/>
      <c r="D5" s="259"/>
      <c r="E5" s="259"/>
      <c r="F5" s="259"/>
      <c r="G5" s="259"/>
      <c r="H5" s="259"/>
      <c r="I5" s="259"/>
      <c r="J5" s="259"/>
      <c r="K5" s="259"/>
      <c r="L5" s="259"/>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1" t="s">
        <v>1131</v>
      </c>
      <c r="E9" s="261"/>
      <c r="F9" s="261"/>
      <c r="G9" s="261"/>
      <c r="H9" s="261"/>
      <c r="I9" s="261"/>
      <c r="J9" s="261"/>
      <c r="K9" s="261"/>
      <c r="L9" s="261"/>
    </row>
    <row r="10" spans="1:13" s="104" customFormat="1" ht="27.75" customHeight="1" thickTop="1" thickBot="1">
      <c r="A10" s="108"/>
      <c r="B10" s="110" t="s">
        <v>534</v>
      </c>
      <c r="C10" s="108"/>
      <c r="D10" s="261" t="s">
        <v>1400</v>
      </c>
      <c r="E10" s="261"/>
      <c r="F10" s="261"/>
      <c r="G10" s="261"/>
      <c r="H10" s="261"/>
      <c r="I10" s="261"/>
      <c r="J10" s="261"/>
      <c r="K10" s="261"/>
      <c r="L10" s="261"/>
    </row>
    <row r="11" spans="1:13" s="104" customFormat="1" ht="27.75" customHeight="1" thickTop="1" thickBot="1">
      <c r="A11" s="108"/>
      <c r="B11" s="111" t="s">
        <v>535</v>
      </c>
      <c r="C11" s="108"/>
      <c r="D11" s="261" t="s">
        <v>1401</v>
      </c>
      <c r="E11" s="261"/>
      <c r="F11" s="261"/>
      <c r="G11" s="261"/>
      <c r="H11" s="261"/>
      <c r="I11" s="261"/>
      <c r="J11" s="261"/>
      <c r="K11" s="261"/>
      <c r="L11" s="261"/>
    </row>
    <row r="12" spans="1:13" s="104" customFormat="1" ht="27.75" customHeight="1" thickTop="1" thickBot="1">
      <c r="A12" s="108"/>
      <c r="B12" s="112" t="s">
        <v>536</v>
      </c>
      <c r="C12" s="108"/>
      <c r="D12" s="261" t="s">
        <v>1402</v>
      </c>
      <c r="E12" s="261"/>
      <c r="F12" s="261"/>
      <c r="G12" s="261"/>
      <c r="H12" s="261"/>
      <c r="I12" s="261"/>
      <c r="J12" s="261"/>
      <c r="K12" s="261"/>
      <c r="L12" s="261"/>
    </row>
    <row r="13" spans="1:13" s="104" customFormat="1" ht="27.75" customHeight="1" thickTop="1" thickBot="1">
      <c r="A13" s="108"/>
      <c r="B13" s="113" t="s">
        <v>1075</v>
      </c>
      <c r="C13" s="108"/>
      <c r="D13" s="261" t="s">
        <v>1172</v>
      </c>
      <c r="E13" s="261"/>
      <c r="F13" s="261"/>
      <c r="G13" s="261"/>
      <c r="H13" s="261"/>
      <c r="I13" s="261"/>
      <c r="J13" s="261"/>
      <c r="K13" s="261"/>
      <c r="L13" s="261"/>
    </row>
    <row r="14" spans="1:13" s="104" customFormat="1" ht="27.75" customHeight="1" thickTop="1" thickBot="1">
      <c r="A14" s="108"/>
      <c r="B14" s="113" t="s">
        <v>992</v>
      </c>
      <c r="C14" s="108"/>
      <c r="D14" s="260" t="s">
        <v>1403</v>
      </c>
      <c r="E14" s="260"/>
      <c r="F14" s="260"/>
      <c r="G14" s="260"/>
      <c r="H14" s="260"/>
      <c r="I14" s="260"/>
      <c r="J14" s="260"/>
      <c r="K14" s="260"/>
      <c r="L14" s="260"/>
    </row>
    <row r="15" spans="1:13" s="104" customFormat="1" ht="27.75" customHeight="1" thickTop="1" thickBot="1">
      <c r="A15" s="108"/>
      <c r="B15" s="114" t="s">
        <v>537</v>
      </c>
      <c r="C15" s="108"/>
      <c r="D15" s="261" t="s">
        <v>1404</v>
      </c>
      <c r="E15" s="261"/>
      <c r="F15" s="261"/>
      <c r="G15" s="261"/>
      <c r="H15" s="261"/>
      <c r="I15" s="261"/>
      <c r="J15" s="261"/>
      <c r="K15" s="261"/>
      <c r="L15" s="261"/>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5" t="s">
        <v>1416</v>
      </c>
      <c r="E19" s="255"/>
      <c r="F19" s="255"/>
      <c r="G19" s="255"/>
      <c r="H19" s="255"/>
      <c r="I19" s="255"/>
      <c r="J19" s="255"/>
      <c r="K19" s="255"/>
      <c r="L19" s="126" t="s">
        <v>1158</v>
      </c>
    </row>
    <row r="20" spans="2:12" s="104" customFormat="1" ht="41.25" customHeight="1" thickTop="1" thickBot="1">
      <c r="B20" s="119" t="s">
        <v>1528</v>
      </c>
      <c r="D20" s="255" t="s">
        <v>1417</v>
      </c>
      <c r="E20" s="255"/>
      <c r="F20" s="255"/>
      <c r="G20" s="255"/>
      <c r="H20" s="255"/>
      <c r="I20" s="255"/>
      <c r="J20" s="255"/>
      <c r="K20" s="255"/>
      <c r="L20" s="126" t="s">
        <v>1158</v>
      </c>
    </row>
    <row r="21" spans="2:12" s="104" customFormat="1" ht="37.5" customHeight="1" thickTop="1" thickBot="1">
      <c r="B21" s="119" t="s">
        <v>1407</v>
      </c>
      <c r="D21" s="255" t="s">
        <v>1418</v>
      </c>
      <c r="E21" s="255"/>
      <c r="F21" s="255"/>
      <c r="G21" s="255"/>
      <c r="H21" s="255"/>
      <c r="I21" s="255"/>
      <c r="J21" s="255"/>
      <c r="K21" s="255"/>
      <c r="L21" s="126" t="s">
        <v>1158</v>
      </c>
    </row>
    <row r="22" spans="2:12" s="104" customFormat="1" ht="41.25" customHeight="1" thickTop="1" thickBot="1">
      <c r="B22" s="119" t="s">
        <v>1408</v>
      </c>
      <c r="D22" s="255" t="s">
        <v>1419</v>
      </c>
      <c r="E22" s="255"/>
      <c r="F22" s="255"/>
      <c r="G22" s="255"/>
      <c r="H22" s="255"/>
      <c r="I22" s="255"/>
      <c r="J22" s="255"/>
      <c r="K22" s="255"/>
      <c r="L22" s="126" t="s">
        <v>1158</v>
      </c>
    </row>
    <row r="23" spans="2:12" s="104" customFormat="1" ht="36" customHeight="1" thickTop="1" thickBot="1">
      <c r="B23" s="119" t="s">
        <v>1409</v>
      </c>
      <c r="D23" s="255" t="s">
        <v>1187</v>
      </c>
      <c r="E23" s="255"/>
      <c r="F23" s="255"/>
      <c r="G23" s="255"/>
      <c r="H23" s="255"/>
      <c r="I23" s="255"/>
      <c r="J23" s="255"/>
      <c r="K23" s="255"/>
      <c r="L23" s="126" t="s">
        <v>1158</v>
      </c>
    </row>
    <row r="24" spans="2:12" s="104" customFormat="1" ht="52.5" customHeight="1" thickTop="1" thickBot="1">
      <c r="B24" s="119" t="s">
        <v>1410</v>
      </c>
      <c r="D24" s="255" t="s">
        <v>1420</v>
      </c>
      <c r="E24" s="255"/>
      <c r="F24" s="255"/>
      <c r="G24" s="255"/>
      <c r="H24" s="255"/>
      <c r="I24" s="255"/>
      <c r="J24" s="255"/>
      <c r="K24" s="255"/>
      <c r="L24" s="126" t="s">
        <v>1158</v>
      </c>
    </row>
    <row r="25" spans="2:12" s="104" customFormat="1" ht="57" customHeight="1" thickTop="1" thickBot="1">
      <c r="B25" s="119" t="s">
        <v>1411</v>
      </c>
      <c r="D25" s="255" t="s">
        <v>1421</v>
      </c>
      <c r="E25" s="255"/>
      <c r="F25" s="255"/>
      <c r="G25" s="255"/>
      <c r="H25" s="255"/>
      <c r="I25" s="255"/>
      <c r="J25" s="255"/>
      <c r="K25" s="255"/>
      <c r="L25" s="126" t="s">
        <v>1158</v>
      </c>
    </row>
    <row r="26" spans="2:12" s="104" customFormat="1" ht="48.75" customHeight="1" thickTop="1" thickBot="1">
      <c r="B26" s="119" t="s">
        <v>1412</v>
      </c>
      <c r="D26" s="255" t="s">
        <v>1422</v>
      </c>
      <c r="E26" s="255"/>
      <c r="F26" s="255"/>
      <c r="G26" s="255"/>
      <c r="H26" s="255"/>
      <c r="I26" s="255"/>
      <c r="J26" s="255"/>
      <c r="K26" s="255"/>
      <c r="L26" s="126" t="s">
        <v>1158</v>
      </c>
    </row>
    <row r="27" spans="2:12" s="104" customFormat="1" ht="43.5" customHeight="1" thickTop="1" thickBot="1">
      <c r="B27" s="119" t="s">
        <v>1413</v>
      </c>
      <c r="D27" s="255" t="s">
        <v>1423</v>
      </c>
      <c r="E27" s="255"/>
      <c r="F27" s="255"/>
      <c r="G27" s="255"/>
      <c r="H27" s="255"/>
      <c r="I27" s="255"/>
      <c r="J27" s="255"/>
      <c r="K27" s="255"/>
      <c r="L27" s="126" t="s">
        <v>1158</v>
      </c>
    </row>
    <row r="28" spans="2:12" s="104" customFormat="1" ht="43.5" customHeight="1" thickTop="1" thickBot="1">
      <c r="B28" s="119" t="s">
        <v>1414</v>
      </c>
      <c r="D28" s="255" t="s">
        <v>1424</v>
      </c>
      <c r="E28" s="255"/>
      <c r="F28" s="255"/>
      <c r="G28" s="255"/>
      <c r="H28" s="255"/>
      <c r="I28" s="255"/>
      <c r="J28" s="255"/>
      <c r="K28" s="255"/>
      <c r="L28" s="126" t="s">
        <v>1158</v>
      </c>
    </row>
    <row r="29" spans="2:12" s="104" customFormat="1" ht="50.25" customHeight="1" thickTop="1" thickBot="1">
      <c r="B29" s="119" t="s">
        <v>536</v>
      </c>
      <c r="D29" s="255" t="s">
        <v>1193</v>
      </c>
      <c r="E29" s="255"/>
      <c r="F29" s="255"/>
      <c r="G29" s="255"/>
      <c r="H29" s="255"/>
      <c r="I29" s="255"/>
      <c r="J29" s="255"/>
      <c r="K29" s="255"/>
      <c r="L29" s="126" t="s">
        <v>1158</v>
      </c>
    </row>
    <row r="30" spans="2:12" s="104" customFormat="1" ht="57.75" customHeight="1" thickTop="1" thickBot="1">
      <c r="B30" s="119" t="s">
        <v>1156</v>
      </c>
      <c r="D30" s="255" t="s">
        <v>1425</v>
      </c>
      <c r="E30" s="255"/>
      <c r="F30" s="255"/>
      <c r="G30" s="255"/>
      <c r="H30" s="255"/>
      <c r="I30" s="255"/>
      <c r="J30" s="255"/>
      <c r="K30" s="255"/>
      <c r="L30" s="126" t="s">
        <v>1158</v>
      </c>
    </row>
    <row r="31" spans="2:12" s="104" customFormat="1" ht="67.5" customHeight="1" thickTop="1" thickBot="1">
      <c r="B31" s="119" t="s">
        <v>1415</v>
      </c>
      <c r="D31" s="255" t="s">
        <v>1195</v>
      </c>
      <c r="E31" s="255"/>
      <c r="F31" s="255"/>
      <c r="G31" s="255"/>
      <c r="H31" s="255"/>
      <c r="I31" s="255"/>
      <c r="J31" s="255"/>
      <c r="K31" s="255"/>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56" t="s">
        <v>1426</v>
      </c>
      <c r="C34" s="256"/>
      <c r="D34" s="256"/>
      <c r="E34" s="256"/>
      <c r="F34" s="256"/>
      <c r="G34" s="256"/>
      <c r="H34" s="256"/>
      <c r="I34" s="256"/>
      <c r="J34" s="256"/>
      <c r="K34" s="256"/>
      <c r="L34" s="25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3"/>
  <sheetViews>
    <sheetView tabSelected="1" zoomScaleNormal="100" zoomScalePageLayoutView="55" workbookViewId="0">
      <pane ySplit="4" topLeftCell="A8"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2021-12-02~2022-01-24 [계획:61.43% 실적:43.18%]</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303"/>
      <c r="E2" s="303"/>
      <c r="F2" s="303"/>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1" t="s">
        <v>1291</v>
      </c>
      <c r="AG2" s="271"/>
      <c r="AH2" s="271"/>
      <c r="AI2" s="271"/>
      <c r="AJ2" s="271" t="s">
        <v>1616</v>
      </c>
      <c r="AK2" s="271"/>
      <c r="AL2" s="271"/>
      <c r="AM2" s="271"/>
      <c r="AN2" s="271" t="s">
        <v>1702</v>
      </c>
      <c r="AO2" s="271"/>
      <c r="AP2" s="271"/>
      <c r="AQ2" s="271"/>
      <c r="AR2" s="252"/>
      <c r="AS2" s="252"/>
      <c r="AT2" s="252"/>
      <c r="AU2" s="252"/>
      <c r="AV2" s="252"/>
      <c r="AW2" s="252"/>
      <c r="AX2" s="252"/>
      <c r="AY2" s="252"/>
      <c r="AZ2" s="252"/>
      <c r="BA2" s="252"/>
      <c r="BB2" s="252"/>
      <c r="BC2" s="252"/>
      <c r="BD2" s="252"/>
      <c r="BE2" s="252"/>
      <c r="BF2" s="252"/>
      <c r="BG2" s="252"/>
      <c r="BH2" s="252"/>
      <c r="BI2" s="252"/>
      <c r="BJ2" s="252"/>
      <c r="BK2" s="252"/>
      <c r="BL2" s="252"/>
      <c r="BM2" s="252"/>
      <c r="BN2" s="252"/>
      <c r="BO2" s="252"/>
      <c r="BP2" s="252"/>
      <c r="BQ2" s="252"/>
      <c r="BR2" s="252"/>
      <c r="BS2" s="252"/>
      <c r="BT2" s="252"/>
      <c r="BU2" s="252"/>
      <c r="BV2" s="252"/>
      <c r="BW2" s="252"/>
      <c r="BX2" s="252"/>
      <c r="BY2" s="252"/>
      <c r="BZ2" s="252"/>
      <c r="CA2" s="252"/>
      <c r="CB2" s="252"/>
      <c r="CC2" s="252"/>
      <c r="CD2" s="252"/>
      <c r="CE2" s="252"/>
      <c r="CF2" s="252"/>
      <c r="CG2" s="252"/>
      <c r="CH2" s="252"/>
      <c r="CI2" s="252"/>
      <c r="CJ2" s="252"/>
      <c r="CK2" s="252"/>
      <c r="CL2" s="252"/>
      <c r="CM2" s="252"/>
      <c r="CN2" s="252"/>
      <c r="CO2" s="252"/>
      <c r="CP2" s="252"/>
    </row>
    <row r="3" spans="1:94" s="140" customFormat="1" ht="18.95" customHeight="1">
      <c r="A3" s="289" t="s">
        <v>1700</v>
      </c>
      <c r="B3" s="291" t="s">
        <v>1686</v>
      </c>
      <c r="C3" s="293" t="s">
        <v>1687</v>
      </c>
      <c r="D3" s="294" t="s">
        <v>1688</v>
      </c>
      <c r="E3" s="296" t="s">
        <v>1689</v>
      </c>
      <c r="F3" s="297"/>
      <c r="G3" s="297"/>
      <c r="H3" s="297"/>
      <c r="I3" s="297"/>
      <c r="J3" s="297"/>
      <c r="K3" s="297"/>
      <c r="L3" s="297"/>
      <c r="M3" s="297"/>
      <c r="N3" s="297"/>
      <c r="O3" s="278" t="s">
        <v>1690</v>
      </c>
      <c r="P3" s="278" t="s">
        <v>1676</v>
      </c>
      <c r="Q3" s="278" t="s">
        <v>1684</v>
      </c>
      <c r="R3" s="281" t="s">
        <v>1691</v>
      </c>
      <c r="S3" s="279" t="s">
        <v>1677</v>
      </c>
      <c r="T3" s="283" t="s">
        <v>1678</v>
      </c>
      <c r="U3" s="279" t="s">
        <v>1679</v>
      </c>
      <c r="V3" s="279" t="s">
        <v>1680</v>
      </c>
      <c r="W3" s="274" t="s">
        <v>1681</v>
      </c>
      <c r="X3" s="274" t="s">
        <v>1685</v>
      </c>
      <c r="Y3" s="285" t="s">
        <v>1692</v>
      </c>
      <c r="Z3" s="276" t="s">
        <v>1682</v>
      </c>
      <c r="AA3" s="299" t="s">
        <v>1683</v>
      </c>
      <c r="AB3" s="278" t="s">
        <v>1693</v>
      </c>
      <c r="AC3" s="301" t="s">
        <v>1694</v>
      </c>
      <c r="AD3" s="287" t="s">
        <v>1695</v>
      </c>
      <c r="AE3" s="272" t="s">
        <v>1696</v>
      </c>
      <c r="AF3" s="302" t="s">
        <v>1614</v>
      </c>
      <c r="AG3" s="269"/>
      <c r="AH3" s="269"/>
      <c r="AI3" s="269"/>
      <c r="AJ3" s="268" t="s">
        <v>1615</v>
      </c>
      <c r="AK3" s="269"/>
      <c r="AL3" s="269"/>
      <c r="AM3" s="269"/>
      <c r="AN3" s="268" t="s">
        <v>1701</v>
      </c>
      <c r="AO3" s="269"/>
      <c r="AP3" s="269"/>
      <c r="AQ3" s="270"/>
    </row>
    <row r="4" spans="1:94" s="141" customFormat="1" ht="6" customHeight="1">
      <c r="A4" s="290"/>
      <c r="B4" s="292"/>
      <c r="C4" s="289"/>
      <c r="D4" s="295"/>
      <c r="E4" s="298"/>
      <c r="F4" s="297"/>
      <c r="G4" s="297"/>
      <c r="H4" s="297"/>
      <c r="I4" s="297"/>
      <c r="J4" s="297"/>
      <c r="K4" s="297"/>
      <c r="L4" s="297"/>
      <c r="M4" s="297"/>
      <c r="N4" s="297"/>
      <c r="O4" s="275"/>
      <c r="P4" s="275"/>
      <c r="Q4" s="275"/>
      <c r="R4" s="282"/>
      <c r="S4" s="280"/>
      <c r="T4" s="284"/>
      <c r="U4" s="280"/>
      <c r="V4" s="280"/>
      <c r="W4" s="275"/>
      <c r="X4" s="275"/>
      <c r="Y4" s="286"/>
      <c r="Z4" s="277"/>
      <c r="AA4" s="300"/>
      <c r="AB4" s="275"/>
      <c r="AC4" s="295"/>
      <c r="AD4" s="288"/>
      <c r="AE4" s="273"/>
      <c r="AF4" s="187">
        <v>44528</v>
      </c>
      <c r="AG4" s="188">
        <v>44535</v>
      </c>
      <c r="AH4" s="188">
        <v>44542</v>
      </c>
      <c r="AI4" s="188">
        <v>44549</v>
      </c>
      <c r="AJ4" s="188">
        <v>44556</v>
      </c>
      <c r="AK4" s="188">
        <v>44563</v>
      </c>
      <c r="AL4" s="188">
        <v>44570</v>
      </c>
      <c r="AM4" s="188">
        <v>44577</v>
      </c>
      <c r="AN4" s="188">
        <v>44584</v>
      </c>
      <c r="AO4" s="253"/>
      <c r="AP4" s="253"/>
      <c r="AQ4" s="254"/>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44585</v>
      </c>
      <c r="R5" s="206"/>
      <c r="S5" s="207">
        <v>140</v>
      </c>
      <c r="T5" s="207">
        <v>86</v>
      </c>
      <c r="U5" s="207">
        <v>38</v>
      </c>
      <c r="V5" s="207">
        <v>26</v>
      </c>
      <c r="W5" s="205"/>
      <c r="X5" s="205"/>
      <c r="Y5" s="208">
        <v>0</v>
      </c>
      <c r="Z5" s="209">
        <v>0</v>
      </c>
      <c r="AA5" s="207"/>
      <c r="AB5" s="206"/>
      <c r="AC5" s="210"/>
      <c r="AD5" s="211">
        <v>0.61428571428571432</v>
      </c>
      <c r="AE5" s="251">
        <v>0.43178571428571433</v>
      </c>
      <c r="AF5" s="190"/>
      <c r="AG5" s="191"/>
      <c r="AH5" s="191"/>
      <c r="AI5" s="191" t="str">
        <f>"      " &amp; TEXT(AE5,"#0.00%") &amp; " "</f>
        <v xml:space="preserve">      43.18% </v>
      </c>
      <c r="AJ5" s="191"/>
      <c r="AK5" s="191"/>
      <c r="AL5" s="191"/>
      <c r="AM5" s="191"/>
      <c r="AN5" s="191" t="str">
        <f>"  " &amp; "2022 졸업작품 프로젝트" &amp; " " &amp; IF(P5="","",TEXT(P5,"M/D-")) &amp; IF(Q5="","",TEXT(Q5,"M/D")) &amp; " "</f>
        <v xml:space="preserve">  2022 졸업작품 프로젝트 12/2-1/24 </v>
      </c>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44576</v>
      </c>
      <c r="R6" s="206"/>
      <c r="S6" s="207">
        <v>56</v>
      </c>
      <c r="T6" s="207">
        <v>42</v>
      </c>
      <c r="U6" s="207">
        <v>18</v>
      </c>
      <c r="V6" s="207">
        <v>12</v>
      </c>
      <c r="W6" s="205"/>
      <c r="X6" s="205"/>
      <c r="Y6" s="208">
        <v>0</v>
      </c>
      <c r="Z6" s="209">
        <v>0</v>
      </c>
      <c r="AA6" s="207"/>
      <c r="AB6" s="206"/>
      <c r="AC6" s="210"/>
      <c r="AD6" s="211">
        <v>0.75</v>
      </c>
      <c r="AE6" s="251">
        <v>0.5357142857142857</v>
      </c>
      <c r="AF6" s="190"/>
      <c r="AG6" s="191"/>
      <c r="AH6" s="191"/>
      <c r="AI6" s="191"/>
      <c r="AJ6" s="191"/>
      <c r="AK6" s="191" t="str">
        <f>"  " &amp; TEXT(AE6,"#0.00%") &amp; " " &amp; "개발 관련" &amp; " " &amp; IF(P6="","",TEXT(P6,"M/D-")) &amp; IF(Q6="","",TEXT(Q6,"M/D")) &amp; " "</f>
        <v xml:space="preserve">  53.57% 개발 관련 12/22-1/15 </v>
      </c>
      <c r="AL6" s="191"/>
      <c r="AM6" s="191"/>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44571</v>
      </c>
      <c r="R7" s="206"/>
      <c r="S7" s="207">
        <v>38</v>
      </c>
      <c r="T7" s="207">
        <v>34</v>
      </c>
      <c r="U7" s="207">
        <v>14</v>
      </c>
      <c r="V7" s="207">
        <v>12</v>
      </c>
      <c r="W7" s="205"/>
      <c r="X7" s="205"/>
      <c r="Y7" s="208">
        <v>0</v>
      </c>
      <c r="Z7" s="209">
        <v>0</v>
      </c>
      <c r="AA7" s="207"/>
      <c r="AB7" s="206"/>
      <c r="AC7" s="210"/>
      <c r="AD7" s="211">
        <v>0.89473684210526316</v>
      </c>
      <c r="AE7" s="251">
        <v>0.78947368421052633</v>
      </c>
      <c r="AF7" s="190"/>
      <c r="AG7" s="191"/>
      <c r="AH7" s="191"/>
      <c r="AI7" s="191"/>
      <c r="AJ7" s="191"/>
      <c r="AK7" s="191" t="str">
        <f>"     " &amp; TEXT(AE7,"#0.00%") &amp; " " &amp; "플레이어 관련" &amp; " " &amp; IF(P7="","",TEXT(P7,"M/D-")) &amp; IF(Q7="","",TEXT(Q7,"M/D")) &amp; " "</f>
        <v xml:space="preserve">     78.95% 플레이어 관련 12/22-1/10 </v>
      </c>
      <c r="AL7" s="191"/>
      <c r="AM7" s="191"/>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44571</v>
      </c>
      <c r="R11" s="206"/>
      <c r="S11" s="207">
        <v>14</v>
      </c>
      <c r="T11" s="207">
        <v>12</v>
      </c>
      <c r="U11" s="207">
        <v>10</v>
      </c>
      <c r="V11" s="207">
        <v>8</v>
      </c>
      <c r="W11" s="205"/>
      <c r="X11" s="205"/>
      <c r="Y11" s="208">
        <v>0</v>
      </c>
      <c r="Z11" s="209">
        <v>0</v>
      </c>
      <c r="AA11" s="207"/>
      <c r="AB11" s="206"/>
      <c r="AC11" s="210"/>
      <c r="AD11" s="211">
        <v>0.8571428571428571</v>
      </c>
      <c r="AE11" s="249">
        <v>1</v>
      </c>
      <c r="AF11" s="190"/>
      <c r="AG11" s="191"/>
      <c r="AH11" s="191"/>
      <c r="AI11" s="191"/>
      <c r="AJ11" s="191" t="str">
        <f>"      " &amp; TEXT(AE11,"#0.00%") &amp; " " &amp; "플레이어 상호작용 관련" &amp; " " &amp; IF(P11="","",TEXT(P11,"M/D-")) &amp; IF(Q11="","",TEXT(Q11,"M/D")) &amp; " "</f>
        <v xml:space="preserve">      100.00% 플레이어 상호작용 관련 12/28-1/10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3</v>
      </c>
      <c r="U15" s="207">
        <v>5</v>
      </c>
      <c r="V15" s="207">
        <v>3</v>
      </c>
      <c r="W15" s="205"/>
      <c r="X15" s="205"/>
      <c r="Y15" s="208"/>
      <c r="Z15" s="209">
        <v>0</v>
      </c>
      <c r="AA15" s="207"/>
      <c r="AB15" s="206" t="s">
        <v>1580</v>
      </c>
      <c r="AC15" s="210"/>
      <c r="AD15" s="211">
        <v>0.6</v>
      </c>
      <c r="AE15" s="248">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3">
      <c r="A16" s="203"/>
      <c r="B16" s="203" t="s">
        <v>1570</v>
      </c>
      <c r="C16" s="203">
        <v>4</v>
      </c>
      <c r="D16" s="214" t="s">
        <v>1635</v>
      </c>
      <c r="E16" s="204"/>
      <c r="F16" s="204"/>
      <c r="G16" s="204"/>
      <c r="H16" s="204" t="s">
        <v>1634</v>
      </c>
      <c r="I16" s="204"/>
      <c r="J16" s="204"/>
      <c r="K16" s="204"/>
      <c r="L16" s="204"/>
      <c r="M16" s="204"/>
      <c r="N16" s="204"/>
      <c r="O16" s="204"/>
      <c r="P16" s="205">
        <v>44558</v>
      </c>
      <c r="Q16" s="205">
        <v>44571</v>
      </c>
      <c r="R16" s="206"/>
      <c r="S16" s="207">
        <v>18</v>
      </c>
      <c r="T16" s="207">
        <v>16</v>
      </c>
      <c r="U16" s="207">
        <v>10</v>
      </c>
      <c r="V16" s="207">
        <v>8</v>
      </c>
      <c r="W16" s="205"/>
      <c r="X16" s="205"/>
      <c r="Y16" s="208">
        <v>0</v>
      </c>
      <c r="Z16" s="209">
        <v>0</v>
      </c>
      <c r="AA16" s="207"/>
      <c r="AB16" s="206"/>
      <c r="AC16" s="210"/>
      <c r="AD16" s="211">
        <v>0.88888888888888884</v>
      </c>
      <c r="AE16" s="251">
        <v>0.55555555555555558</v>
      </c>
      <c r="AF16" s="190"/>
      <c r="AG16" s="191"/>
      <c r="AH16" s="191"/>
      <c r="AI16" s="191"/>
      <c r="AJ16" s="191"/>
      <c r="AK16" s="191" t="str">
        <f>"   " &amp; TEXT(AE16,"#0.00%") &amp; " " &amp; "퍼즐 관련 개발" &amp; " " &amp; IF(P16="","",TEXT(P16,"M/D-")) &amp; IF(Q16="","",TEXT(Q16,"M/D")) &amp; " "</f>
        <v xml:space="preserve">   55.56% 퍼즐 관련 개발 12/28-1/10 </v>
      </c>
      <c r="AL16" s="191"/>
      <c r="AM16" s="191"/>
      <c r="AN16" s="191"/>
      <c r="AO16" s="191"/>
    </row>
    <row r="17" spans="1:41" ht="12" customHeight="1" outlineLevel="4">
      <c r="A17" s="203"/>
      <c r="B17" s="203" t="s">
        <v>1570</v>
      </c>
      <c r="C17" s="203">
        <v>5</v>
      </c>
      <c r="D17" s="214" t="s">
        <v>1637</v>
      </c>
      <c r="E17" s="204"/>
      <c r="F17" s="204"/>
      <c r="G17" s="204"/>
      <c r="H17" s="204"/>
      <c r="I17" s="204" t="s">
        <v>1636</v>
      </c>
      <c r="J17" s="204"/>
      <c r="K17" s="204"/>
      <c r="L17" s="204"/>
      <c r="M17" s="204"/>
      <c r="N17" s="204"/>
      <c r="O17" s="204"/>
      <c r="P17" s="205">
        <v>44558</v>
      </c>
      <c r="Q17" s="205">
        <v>44571</v>
      </c>
      <c r="R17" s="206"/>
      <c r="S17" s="207">
        <v>18</v>
      </c>
      <c r="T17" s="207">
        <v>16</v>
      </c>
      <c r="U17" s="207">
        <v>10</v>
      </c>
      <c r="V17" s="207">
        <v>8</v>
      </c>
      <c r="W17" s="205"/>
      <c r="X17" s="205"/>
      <c r="Y17" s="208">
        <v>0</v>
      </c>
      <c r="Z17" s="209">
        <v>0</v>
      </c>
      <c r="AA17" s="207"/>
      <c r="AB17" s="206" t="s">
        <v>1581</v>
      </c>
      <c r="AC17" s="210"/>
      <c r="AD17" s="211">
        <v>0.88888888888888884</v>
      </c>
      <c r="AE17" s="251">
        <v>0.55555555555555558</v>
      </c>
      <c r="AF17" s="190"/>
      <c r="AG17" s="191"/>
      <c r="AH17" s="191"/>
      <c r="AI17" s="191"/>
      <c r="AJ17" s="191"/>
      <c r="AK17" s="191" t="str">
        <f>"   " &amp; TEXT(AE17,"#0.00%") &amp; " " &amp; "3D 러시아워 퍼즐 개발" &amp; "(김 건)" &amp; " " &amp; IF(P17="","",TEXT(P17,"M/D-")) &amp; IF(Q17="","",TEXT(Q17,"M/D")) &amp; " "</f>
        <v xml:space="preserve">   55.56% 3D 러시아워 퍼즐 개발(김 건) 12/28-1/10 </v>
      </c>
      <c r="AL17" s="191"/>
      <c r="AM17" s="191"/>
      <c r="AN17" s="191"/>
      <c r="AO17" s="191"/>
    </row>
    <row r="18" spans="1:41" ht="12" customHeight="1" outlineLevel="5">
      <c r="A18" s="203"/>
      <c r="B18" s="203"/>
      <c r="C18" s="203">
        <v>6</v>
      </c>
      <c r="D18" s="214" t="s">
        <v>1650</v>
      </c>
      <c r="E18" s="204"/>
      <c r="F18" s="204"/>
      <c r="G18" s="204"/>
      <c r="H18" s="204"/>
      <c r="I18" s="204"/>
      <c r="J18" s="204" t="s">
        <v>1659</v>
      </c>
      <c r="K18" s="204"/>
      <c r="L18" s="204"/>
      <c r="M18" s="204"/>
      <c r="N18" s="204"/>
      <c r="O18" s="204"/>
      <c r="P18" s="205">
        <v>44558</v>
      </c>
      <c r="Q18" s="205">
        <v>44571</v>
      </c>
      <c r="R18" s="206"/>
      <c r="S18" s="207">
        <v>10</v>
      </c>
      <c r="T18" s="207">
        <v>8</v>
      </c>
      <c r="U18" s="207">
        <v>10</v>
      </c>
      <c r="V18" s="207">
        <v>8</v>
      </c>
      <c r="W18" s="205"/>
      <c r="X18" s="205"/>
      <c r="Y18" s="208"/>
      <c r="Z18" s="209">
        <v>0</v>
      </c>
      <c r="AA18" s="207"/>
      <c r="AB18" s="206" t="s">
        <v>1581</v>
      </c>
      <c r="AC18" s="210"/>
      <c r="AD18" s="211">
        <v>0.8</v>
      </c>
      <c r="AE18" s="250">
        <v>0.5</v>
      </c>
      <c r="AF18" s="190"/>
      <c r="AG18" s="191"/>
      <c r="AH18" s="191"/>
      <c r="AI18" s="191"/>
      <c r="AJ18" s="191"/>
      <c r="AK18" s="191" t="str">
        <f>"  " &amp; TEXT(AE18,"#0.00%") &amp; " " &amp; "플레이어 입력 반영" &amp; "(김 건)" &amp; " " &amp; IF(P18="","",TEXT(P18,"M/D-")) &amp; IF(Q18="","",TEXT(Q18,"M/D")) &amp; " "</f>
        <v xml:space="preserve">  50.00% 플레이어 입력 반영(김 건) 12/28-1/10 </v>
      </c>
      <c r="AL18" s="191"/>
      <c r="AM18" s="191"/>
      <c r="AN18" s="191"/>
      <c r="AO18" s="191"/>
    </row>
    <row r="19" spans="1:41" ht="12" customHeight="1" outlineLevel="5">
      <c r="A19" s="203"/>
      <c r="B19" s="203"/>
      <c r="C19" s="203">
        <v>6</v>
      </c>
      <c r="D19" s="214" t="s">
        <v>1652</v>
      </c>
      <c r="E19" s="204"/>
      <c r="F19" s="204"/>
      <c r="G19" s="204"/>
      <c r="H19" s="204"/>
      <c r="I19" s="204"/>
      <c r="J19" s="204" t="s">
        <v>1649</v>
      </c>
      <c r="K19" s="204"/>
      <c r="L19" s="204"/>
      <c r="M19" s="204"/>
      <c r="N19" s="204"/>
      <c r="O19" s="204"/>
      <c r="P19" s="205">
        <v>44558</v>
      </c>
      <c r="Q19" s="205">
        <v>44564</v>
      </c>
      <c r="R19" s="206"/>
      <c r="S19" s="207">
        <v>5</v>
      </c>
      <c r="T19" s="207">
        <v>5</v>
      </c>
      <c r="U19" s="207">
        <v>5</v>
      </c>
      <c r="V19" s="207">
        <v>5</v>
      </c>
      <c r="W19" s="205"/>
      <c r="X19" s="205"/>
      <c r="Y19" s="208"/>
      <c r="Z19" s="209">
        <v>0</v>
      </c>
      <c r="AA19" s="207"/>
      <c r="AB19" s="206" t="s">
        <v>1581</v>
      </c>
      <c r="AC19" s="210"/>
      <c r="AD19" s="211">
        <v>1</v>
      </c>
      <c r="AE19" s="213">
        <v>1</v>
      </c>
      <c r="AF19" s="190"/>
      <c r="AG19" s="191"/>
      <c r="AH19" s="191"/>
      <c r="AI19" s="191"/>
      <c r="AJ19" s="191"/>
      <c r="AK19" s="191" t="str">
        <f>"  " &amp; TEXT(AE19,"#0.00%") &amp; " " &amp; "3D 큐브로 프로토타입 개발" &amp; "(김 건)" &amp; " " &amp; IF(P19="","",TEXT(P19,"M/D-")) &amp; IF(Q19="","",TEXT(Q19,"M/D")) &amp; " "</f>
        <v xml:space="preserve">  100.00% 3D 큐브로 프로토타입 개발(김 건) 12/28-1/3 </v>
      </c>
      <c r="AL19" s="191"/>
      <c r="AM19" s="191"/>
      <c r="AN19" s="191"/>
      <c r="AO19" s="191"/>
    </row>
    <row r="20" spans="1:41" ht="12" customHeight="1" outlineLevel="5">
      <c r="A20" s="203"/>
      <c r="B20" s="203"/>
      <c r="C20" s="203">
        <v>6</v>
      </c>
      <c r="D20" s="214" t="s">
        <v>1660</v>
      </c>
      <c r="E20" s="204"/>
      <c r="F20" s="204"/>
      <c r="G20" s="204"/>
      <c r="H20" s="204"/>
      <c r="I20" s="204"/>
      <c r="J20" s="204" t="s">
        <v>1651</v>
      </c>
      <c r="K20" s="204"/>
      <c r="L20" s="204"/>
      <c r="M20" s="204"/>
      <c r="N20" s="204"/>
      <c r="O20" s="204"/>
      <c r="P20" s="205">
        <v>44564</v>
      </c>
      <c r="Q20" s="205">
        <v>44566</v>
      </c>
      <c r="R20" s="206"/>
      <c r="S20" s="207">
        <v>3</v>
      </c>
      <c r="T20" s="207">
        <v>3</v>
      </c>
      <c r="U20" s="207">
        <v>3</v>
      </c>
      <c r="V20" s="207">
        <v>3</v>
      </c>
      <c r="W20" s="205"/>
      <c r="X20" s="205"/>
      <c r="Y20" s="208"/>
      <c r="Z20" s="209">
        <v>0</v>
      </c>
      <c r="AA20" s="207"/>
      <c r="AB20" s="206" t="s">
        <v>1581</v>
      </c>
      <c r="AC20" s="210"/>
      <c r="AD20" s="211">
        <v>1</v>
      </c>
      <c r="AE20" s="250">
        <v>0</v>
      </c>
      <c r="AF20" s="190"/>
      <c r="AG20" s="191"/>
      <c r="AH20" s="191"/>
      <c r="AI20" s="191"/>
      <c r="AJ20" s="191"/>
      <c r="AK20" s="191" t="str">
        <f>" " &amp; TEXT(AE20,"#0.00%") &amp; " " &amp; "모델링 된 모델 적용" &amp; "(김 건)" &amp; " " &amp; IF(P20="","",TEXT(P20,"M/D-")) &amp; IF(Q20="","",TEXT(Q20,"M/D")) &amp; " "</f>
        <v xml:space="preserve"> 0.00% 모델링 된 모델 적용(김 건) 1/3-1/5 </v>
      </c>
      <c r="AL20" s="191"/>
      <c r="AM20" s="191"/>
      <c r="AN20" s="191"/>
      <c r="AO20" s="191"/>
    </row>
    <row r="21" spans="1:41" ht="12" customHeight="1" outlineLevel="2">
      <c r="A21" s="203"/>
      <c r="B21" s="203" t="s">
        <v>1570</v>
      </c>
      <c r="C21" s="203">
        <v>3</v>
      </c>
      <c r="D21" s="214" t="s">
        <v>1083</v>
      </c>
      <c r="E21" s="204"/>
      <c r="F21" s="204"/>
      <c r="G21" s="204" t="s">
        <v>1613</v>
      </c>
      <c r="H21" s="204"/>
      <c r="I21" s="204"/>
      <c r="J21" s="204"/>
      <c r="K21" s="204"/>
      <c r="L21" s="204"/>
      <c r="M21" s="204"/>
      <c r="N21" s="204"/>
      <c r="O21" s="204"/>
      <c r="P21" s="205">
        <v>44558</v>
      </c>
      <c r="Q21" s="205">
        <v>44571</v>
      </c>
      <c r="R21" s="206"/>
      <c r="S21" s="207">
        <v>10</v>
      </c>
      <c r="T21" s="207">
        <v>8</v>
      </c>
      <c r="U21" s="207">
        <v>10</v>
      </c>
      <c r="V21" s="207">
        <v>8</v>
      </c>
      <c r="W21" s="205"/>
      <c r="X21" s="205"/>
      <c r="Y21" s="208">
        <v>0</v>
      </c>
      <c r="Z21" s="209">
        <v>0</v>
      </c>
      <c r="AA21" s="207"/>
      <c r="AB21" s="206"/>
      <c r="AC21" s="210"/>
      <c r="AD21" s="211">
        <v>0.8</v>
      </c>
      <c r="AE21" s="251">
        <v>0</v>
      </c>
      <c r="AF21" s="190"/>
      <c r="AG21" s="191"/>
      <c r="AH21" s="191"/>
      <c r="AI21" s="191"/>
      <c r="AJ21" s="191" t="str">
        <f>"  " &amp; TEXT(AE21,"#0.00%") &amp; " " &amp; "UI 관련" &amp; " " &amp; IF(P21="","",TEXT(P21,"M/D-")) &amp; IF(Q21="","",TEXT(Q21,"M/D")) &amp; " "</f>
        <v xml:space="preserve">  0.00% UI 관련 12/28-1/10 </v>
      </c>
      <c r="AK21" s="191"/>
      <c r="AL21" s="191"/>
      <c r="AM21" s="191"/>
      <c r="AN21" s="191"/>
      <c r="AO21" s="191"/>
    </row>
    <row r="22" spans="1:41" ht="12" customHeight="1" outlineLevel="3">
      <c r="A22" s="203"/>
      <c r="B22" s="203" t="s">
        <v>1570</v>
      </c>
      <c r="C22" s="203">
        <v>4</v>
      </c>
      <c r="D22" s="214" t="s">
        <v>1451</v>
      </c>
      <c r="E22" s="204"/>
      <c r="F22" s="204"/>
      <c r="G22" s="204"/>
      <c r="H22" s="204" t="s">
        <v>1631</v>
      </c>
      <c r="I22" s="204"/>
      <c r="J22" s="204"/>
      <c r="K22" s="204"/>
      <c r="L22" s="204"/>
      <c r="M22" s="204"/>
      <c r="N22" s="204"/>
      <c r="O22" s="204"/>
      <c r="P22" s="205">
        <v>44558</v>
      </c>
      <c r="Q22" s="205">
        <v>44562</v>
      </c>
      <c r="R22" s="206"/>
      <c r="S22" s="207">
        <v>4</v>
      </c>
      <c r="T22" s="207">
        <v>4</v>
      </c>
      <c r="U22" s="207">
        <v>4</v>
      </c>
      <c r="V22" s="207">
        <v>4</v>
      </c>
      <c r="W22" s="205"/>
      <c r="X22" s="205"/>
      <c r="Y22" s="208">
        <v>0</v>
      </c>
      <c r="Z22" s="209">
        <v>0</v>
      </c>
      <c r="AA22" s="207"/>
      <c r="AB22" s="206"/>
      <c r="AC22" s="210"/>
      <c r="AD22" s="211">
        <v>1</v>
      </c>
      <c r="AE22" s="251">
        <v>0</v>
      </c>
      <c r="AF22" s="190"/>
      <c r="AG22" s="191"/>
      <c r="AH22" s="191"/>
      <c r="AI22" s="191"/>
      <c r="AJ22" s="191" t="str">
        <f>"  " &amp; TEXT(AE22,"#0.00%") &amp; " " &amp; "타이틀 화면 UI" &amp; " " &amp; IF(P22="","",TEXT(P22,"M/D-")) &amp; IF(Q22="","",TEXT(Q22,"M/D")) &amp; " "</f>
        <v xml:space="preserve">  0.00% 타이틀 화면 UI 12/28-1/1 </v>
      </c>
      <c r="AK22" s="191"/>
      <c r="AL22" s="191"/>
      <c r="AM22" s="191"/>
      <c r="AN22" s="191"/>
      <c r="AO22" s="191"/>
    </row>
    <row r="23" spans="1:41" ht="12" customHeight="1" outlineLevel="4">
      <c r="A23" s="203"/>
      <c r="B23" s="203"/>
      <c r="C23" s="203">
        <v>5</v>
      </c>
      <c r="D23" s="214" t="s">
        <v>1633</v>
      </c>
      <c r="E23" s="204"/>
      <c r="F23" s="204"/>
      <c r="G23" s="204"/>
      <c r="H23" s="204"/>
      <c r="I23" s="204" t="s">
        <v>1632</v>
      </c>
      <c r="J23" s="204"/>
      <c r="K23" s="204"/>
      <c r="L23" s="204"/>
      <c r="M23" s="204"/>
      <c r="N23" s="204"/>
      <c r="O23" s="204"/>
      <c r="P23" s="205">
        <v>44558</v>
      </c>
      <c r="Q23" s="205">
        <v>44562</v>
      </c>
      <c r="R23" s="206"/>
      <c r="S23" s="207">
        <v>4</v>
      </c>
      <c r="T23" s="207">
        <v>4</v>
      </c>
      <c r="U23" s="207">
        <v>4</v>
      </c>
      <c r="V23" s="207">
        <v>4</v>
      </c>
      <c r="W23" s="205"/>
      <c r="X23" s="205"/>
      <c r="Y23" s="208"/>
      <c r="Z23" s="209">
        <v>0</v>
      </c>
      <c r="AA23" s="207"/>
      <c r="AB23" s="206" t="s">
        <v>1579</v>
      </c>
      <c r="AC23" s="210"/>
      <c r="AD23" s="211">
        <v>1</v>
      </c>
      <c r="AE23" s="250">
        <v>0</v>
      </c>
      <c r="AF23" s="190"/>
      <c r="AG23" s="191"/>
      <c r="AH23" s="191"/>
      <c r="AI23" s="191"/>
      <c r="AJ23" s="191" t="str">
        <f>"  " &amp; TEXT(AE23,"#0.00%") &amp; " " &amp; "게임 플레이로 이동" &amp; "(권성빈)" &amp; " " &amp; IF(P23="","",TEXT(P23,"M/D-")) &amp; IF(Q23="","",TEXT(Q23,"M/D")) &amp; " "</f>
        <v xml:space="preserve">  0.00% 게임 플레이로 이동(권성빈) 12/28-1/1 </v>
      </c>
      <c r="AK23" s="191"/>
      <c r="AL23" s="191"/>
      <c r="AM23" s="191"/>
      <c r="AN23" s="191"/>
      <c r="AO23" s="191"/>
    </row>
    <row r="24" spans="1:41" ht="12" customHeight="1" outlineLevel="3">
      <c r="A24" s="203"/>
      <c r="B24" s="203" t="s">
        <v>1570</v>
      </c>
      <c r="C24" s="203">
        <v>4</v>
      </c>
      <c r="D24" s="214" t="s">
        <v>1453</v>
      </c>
      <c r="E24" s="204"/>
      <c r="F24" s="204"/>
      <c r="G24" s="204"/>
      <c r="H24" s="204" t="s">
        <v>1666</v>
      </c>
      <c r="I24" s="204"/>
      <c r="J24" s="204"/>
      <c r="K24" s="204"/>
      <c r="L24" s="204"/>
      <c r="M24" s="204"/>
      <c r="N24" s="204"/>
      <c r="O24" s="204"/>
      <c r="P24" s="205">
        <v>44563</v>
      </c>
      <c r="Q24" s="205">
        <v>44571</v>
      </c>
      <c r="R24" s="206"/>
      <c r="S24" s="207">
        <v>6</v>
      </c>
      <c r="T24" s="207">
        <v>4</v>
      </c>
      <c r="U24" s="207">
        <v>6</v>
      </c>
      <c r="V24" s="207">
        <v>4</v>
      </c>
      <c r="W24" s="205"/>
      <c r="X24" s="205"/>
      <c r="Y24" s="208">
        <v>0</v>
      </c>
      <c r="Z24" s="209">
        <v>0</v>
      </c>
      <c r="AA24" s="207"/>
      <c r="AB24" s="206"/>
      <c r="AC24" s="210"/>
      <c r="AD24" s="211">
        <v>0.66666666666666663</v>
      </c>
      <c r="AE24" s="251">
        <v>0</v>
      </c>
      <c r="AF24" s="190"/>
      <c r="AG24" s="191"/>
      <c r="AH24" s="191"/>
      <c r="AI24" s="191"/>
      <c r="AJ24" s="191"/>
      <c r="AK24" s="191" t="str">
        <f>"" &amp; TEXT(AE24,"#0.00%") &amp; " " &amp; "인게임 UI" &amp; " " &amp; IF(P24="","",TEXT(P24,"M/D-")) &amp; IF(Q24="","",TEXT(Q24,"M/D")) &amp; " "</f>
        <v xml:space="preserve">0.00% 인게임 UI 1/2-1/10 </v>
      </c>
      <c r="AL24" s="191"/>
      <c r="AM24" s="191"/>
      <c r="AN24" s="191"/>
      <c r="AO24" s="191"/>
    </row>
    <row r="25" spans="1:41" ht="12" customHeight="1" outlineLevel="4">
      <c r="A25" s="203"/>
      <c r="B25" s="203"/>
      <c r="C25" s="203">
        <v>5</v>
      </c>
      <c r="D25" s="214" t="s">
        <v>1668</v>
      </c>
      <c r="E25" s="204"/>
      <c r="F25" s="204"/>
      <c r="G25" s="204"/>
      <c r="H25" s="204"/>
      <c r="I25" s="204" t="s">
        <v>1667</v>
      </c>
      <c r="J25" s="204"/>
      <c r="K25" s="204"/>
      <c r="L25" s="204"/>
      <c r="M25" s="204"/>
      <c r="N25" s="204"/>
      <c r="O25" s="204"/>
      <c r="P25" s="205">
        <v>44563</v>
      </c>
      <c r="Q25" s="205">
        <v>44571</v>
      </c>
      <c r="R25" s="206"/>
      <c r="S25" s="207">
        <v>6</v>
      </c>
      <c r="T25" s="207">
        <v>4</v>
      </c>
      <c r="U25" s="207">
        <v>6</v>
      </c>
      <c r="V25" s="207">
        <v>4</v>
      </c>
      <c r="W25" s="205"/>
      <c r="X25" s="205"/>
      <c r="Y25" s="208"/>
      <c r="Z25" s="209">
        <v>0</v>
      </c>
      <c r="AA25" s="207"/>
      <c r="AB25" s="206" t="s">
        <v>1579</v>
      </c>
      <c r="AC25" s="210"/>
      <c r="AD25" s="211">
        <v>0.66666666666666663</v>
      </c>
      <c r="AE25" s="250">
        <v>0</v>
      </c>
      <c r="AF25" s="190"/>
      <c r="AG25" s="191"/>
      <c r="AH25" s="191"/>
      <c r="AI25" s="191"/>
      <c r="AJ25" s="191"/>
      <c r="AK25" s="191" t="str">
        <f>"" &amp; TEXT(AE25,"#0.00%") &amp; " " &amp; "일시정지 UI 및 옵션 조절" &amp; "(권성빈)" &amp; " " &amp; IF(P25="","",TEXT(P25,"M/D-")) &amp; IF(Q25="","",TEXT(Q25,"M/D")) &amp; " "</f>
        <v xml:space="preserve">0.00% 일시정지 UI 및 옵션 조절(권성빈) 1/2-1/10 </v>
      </c>
      <c r="AL25" s="191"/>
      <c r="AM25" s="191"/>
      <c r="AN25" s="191"/>
      <c r="AO25" s="191"/>
    </row>
    <row r="26" spans="1:41" ht="12" customHeight="1" outlineLevel="2">
      <c r="A26" s="203"/>
      <c r="B26" s="203" t="s">
        <v>1570</v>
      </c>
      <c r="C26" s="203">
        <v>3</v>
      </c>
      <c r="D26" s="214" t="s">
        <v>1104</v>
      </c>
      <c r="E26" s="204"/>
      <c r="F26" s="204"/>
      <c r="G26" s="204" t="s">
        <v>1653</v>
      </c>
      <c r="H26" s="204"/>
      <c r="I26" s="204"/>
      <c r="J26" s="204"/>
      <c r="K26" s="204"/>
      <c r="L26" s="204"/>
      <c r="M26" s="204"/>
      <c r="N26" s="204"/>
      <c r="O26" s="204"/>
      <c r="P26" s="205">
        <v>44571</v>
      </c>
      <c r="Q26" s="205">
        <v>44576</v>
      </c>
      <c r="R26" s="206"/>
      <c r="S26" s="207">
        <v>8</v>
      </c>
      <c r="T26" s="207">
        <v>0</v>
      </c>
      <c r="U26" s="207">
        <v>5</v>
      </c>
      <c r="V26" s="207">
        <v>0</v>
      </c>
      <c r="W26" s="205"/>
      <c r="X26" s="205"/>
      <c r="Y26" s="208">
        <v>0</v>
      </c>
      <c r="Z26" s="209">
        <v>0</v>
      </c>
      <c r="AA26" s="207"/>
      <c r="AB26" s="206"/>
      <c r="AC26" s="210"/>
      <c r="AD26" s="211">
        <v>0</v>
      </c>
      <c r="AE26" s="247">
        <v>0</v>
      </c>
      <c r="AF26" s="190"/>
      <c r="AG26" s="191"/>
      <c r="AH26" s="191"/>
      <c r="AI26" s="191"/>
      <c r="AJ26" s="191"/>
      <c r="AK26" s="191"/>
      <c r="AL26" s="191" t="str">
        <f>" " &amp; TEXT(AE26,"#0.00%") &amp; " " &amp; "프로토타입 제출" &amp; " " &amp; IF(P26="","",TEXT(P26,"M/D-")) &amp; IF(Q26="","",TEXT(Q26,"M/D")) &amp; " "</f>
        <v xml:space="preserve"> 0.00% 프로토타입 제출 1/10-1/15 </v>
      </c>
      <c r="AM26" s="191"/>
      <c r="AN26" s="191"/>
      <c r="AO26" s="191"/>
    </row>
    <row r="27" spans="1:41" ht="12" customHeight="1" outlineLevel="3">
      <c r="A27" s="203"/>
      <c r="B27" s="203"/>
      <c r="C27" s="203">
        <v>4</v>
      </c>
      <c r="D27" s="214" t="s">
        <v>1655</v>
      </c>
      <c r="E27" s="204"/>
      <c r="F27" s="204"/>
      <c r="G27" s="204"/>
      <c r="H27" s="204" t="s">
        <v>1654</v>
      </c>
      <c r="I27" s="204"/>
      <c r="J27" s="204"/>
      <c r="K27" s="204"/>
      <c r="L27" s="204"/>
      <c r="M27" s="204"/>
      <c r="N27" s="204"/>
      <c r="O27" s="204"/>
      <c r="P27" s="205">
        <v>44571</v>
      </c>
      <c r="Q27" s="205">
        <v>44576</v>
      </c>
      <c r="R27" s="206"/>
      <c r="S27" s="207">
        <v>5</v>
      </c>
      <c r="T27" s="207">
        <v>0</v>
      </c>
      <c r="U27" s="207">
        <v>5</v>
      </c>
      <c r="V27" s="207">
        <v>0</v>
      </c>
      <c r="W27" s="205"/>
      <c r="X27" s="205"/>
      <c r="Y27" s="208"/>
      <c r="Z27" s="209">
        <v>0</v>
      </c>
      <c r="AA27" s="207"/>
      <c r="AB27" s="206" t="s">
        <v>1658</v>
      </c>
      <c r="AC27" s="210"/>
      <c r="AD27" s="211">
        <v>0</v>
      </c>
      <c r="AE27" s="213">
        <v>0</v>
      </c>
      <c r="AF27" s="190"/>
      <c r="AG27" s="191"/>
      <c r="AH27" s="191"/>
      <c r="AI27" s="191"/>
      <c r="AJ27" s="191"/>
      <c r="AK27" s="191"/>
      <c r="AL27" s="191" t="str">
        <f>" " &amp; TEXT(AE27,"#0.00%") &amp; " " &amp; "프로토타입 씬과 메인메뉴 연결" &amp; "(개발 전원 협력)" &amp; " " &amp; IF(P27="","",TEXT(P27,"M/D-")) &amp; IF(Q27="","",TEXT(Q27,"M/D")) &amp; " "</f>
        <v xml:space="preserve"> 0.00% 프로토타입 씬과 메인메뉴 연결(개발 전원 협력) 1/10-1/15 </v>
      </c>
      <c r="AM27" s="191"/>
      <c r="AN27" s="191"/>
      <c r="AO27" s="191"/>
    </row>
    <row r="28" spans="1:41" ht="12" customHeight="1" outlineLevel="3">
      <c r="A28" s="203"/>
      <c r="B28" s="203"/>
      <c r="C28" s="203">
        <v>4</v>
      </c>
      <c r="D28" s="214" t="s">
        <v>1656</v>
      </c>
      <c r="E28" s="204"/>
      <c r="F28" s="204"/>
      <c r="G28" s="204"/>
      <c r="H28" s="204" t="s">
        <v>1657</v>
      </c>
      <c r="I28" s="204"/>
      <c r="J28" s="204"/>
      <c r="K28" s="204"/>
      <c r="L28" s="204"/>
      <c r="M28" s="204"/>
      <c r="N28" s="204"/>
      <c r="O28" s="204"/>
      <c r="P28" s="205">
        <v>44571</v>
      </c>
      <c r="Q28" s="205">
        <v>44573</v>
      </c>
      <c r="R28" s="205">
        <v>44484</v>
      </c>
      <c r="S28" s="207">
        <v>3</v>
      </c>
      <c r="T28" s="207">
        <v>0</v>
      </c>
      <c r="U28" s="207">
        <v>3</v>
      </c>
      <c r="V28" s="207">
        <v>0</v>
      </c>
      <c r="W28" s="205"/>
      <c r="X28" s="205"/>
      <c r="Y28" s="208"/>
      <c r="Z28" s="209">
        <v>0</v>
      </c>
      <c r="AA28" s="207"/>
      <c r="AB28" s="206" t="s">
        <v>1658</v>
      </c>
      <c r="AC28" s="210"/>
      <c r="AD28" s="211">
        <v>0</v>
      </c>
      <c r="AE28" s="213">
        <v>0</v>
      </c>
      <c r="AF28" s="190"/>
      <c r="AG28" s="191"/>
      <c r="AH28" s="191"/>
      <c r="AI28" s="191"/>
      <c r="AJ28" s="191"/>
      <c r="AK28" s="191"/>
      <c r="AL28" s="191" t="str">
        <f>" " &amp; TEXT(AE28,"#0.00%") &amp; " " &amp; "프로토타입 제출 전 연출들 제작 및 연결" &amp; "(개발 전원 협력)" &amp; " " &amp; IF(P28="","",TEXT(P28,"M/D-")) &amp; IF(Q28="","",TEXT(Q28,"M/D")) &amp; " "</f>
        <v xml:space="preserve"> 0.00% 프로토타입 제출 전 연출들 제작 및 연결(개발 전원 협력) 1/10-1/12 </v>
      </c>
      <c r="AM28" s="191"/>
      <c r="AN28" s="191"/>
      <c r="AO28" s="191"/>
    </row>
    <row r="29" spans="1:41" ht="12" customHeight="1" outlineLevel="1">
      <c r="A29" s="203"/>
      <c r="B29" s="203" t="s">
        <v>1570</v>
      </c>
      <c r="C29" s="203">
        <v>2</v>
      </c>
      <c r="D29" s="214" t="s">
        <v>1084</v>
      </c>
      <c r="E29" s="204"/>
      <c r="F29" s="204" t="s">
        <v>1583</v>
      </c>
      <c r="G29" s="204"/>
      <c r="H29" s="204"/>
      <c r="I29" s="204"/>
      <c r="J29" s="204"/>
      <c r="K29" s="204"/>
      <c r="L29" s="204"/>
      <c r="M29" s="204"/>
      <c r="N29" s="204"/>
      <c r="O29" s="204" t="s">
        <v>1604</v>
      </c>
      <c r="P29" s="205">
        <v>44532</v>
      </c>
      <c r="Q29" s="205">
        <v>44581</v>
      </c>
      <c r="R29" s="206"/>
      <c r="S29" s="207">
        <v>39</v>
      </c>
      <c r="T29" s="207">
        <v>15</v>
      </c>
      <c r="U29" s="207">
        <v>36</v>
      </c>
      <c r="V29" s="207">
        <v>26</v>
      </c>
      <c r="W29" s="205"/>
      <c r="X29" s="205"/>
      <c r="Y29" s="208">
        <v>0</v>
      </c>
      <c r="Z29" s="209">
        <v>0</v>
      </c>
      <c r="AA29" s="207"/>
      <c r="AB29" s="206"/>
      <c r="AC29" s="210"/>
      <c r="AD29" s="211">
        <v>0.38461538461538464</v>
      </c>
      <c r="AE29" s="249">
        <v>0.4358974358974359</v>
      </c>
      <c r="AF29" s="190"/>
      <c r="AG29" s="191"/>
      <c r="AH29" s="191"/>
      <c r="AI29" s="191" t="str">
        <f>"     " &amp; TEXT(AE29,"#0.00%") &amp; " "</f>
        <v xml:space="preserve">     43.59% </v>
      </c>
      <c r="AJ29" s="191"/>
      <c r="AK29" s="191"/>
      <c r="AL29" s="191"/>
      <c r="AM29" s="191" t="str">
        <f>"     " &amp; "기획 관련" &amp; " " &amp; IF(P29="","",TEXT(P29,"M/D-")) &amp; IF(Q29="","",TEXT(Q29,"M/D")) &amp; " "</f>
        <v xml:space="preserve">     기획 관련 12/2-1/20 </v>
      </c>
      <c r="AN29" s="191"/>
      <c r="AO29" s="191"/>
    </row>
    <row r="30" spans="1:41" ht="12" customHeight="1" outlineLevel="2">
      <c r="A30" s="203"/>
      <c r="B30" s="203" t="s">
        <v>1570</v>
      </c>
      <c r="C30" s="203">
        <v>3</v>
      </c>
      <c r="D30" s="214" t="s">
        <v>1085</v>
      </c>
      <c r="E30" s="204"/>
      <c r="F30" s="204"/>
      <c r="G30" s="204" t="s">
        <v>1705</v>
      </c>
      <c r="H30" s="204"/>
      <c r="I30" s="204"/>
      <c r="J30" s="204"/>
      <c r="K30" s="204"/>
      <c r="L30" s="204"/>
      <c r="M30" s="204"/>
      <c r="N30" s="204"/>
      <c r="O30" s="204"/>
      <c r="P30" s="205">
        <v>44532</v>
      </c>
      <c r="Q30" s="205">
        <v>44581</v>
      </c>
      <c r="R30" s="206"/>
      <c r="S30" s="207">
        <v>39</v>
      </c>
      <c r="T30" s="207">
        <v>15</v>
      </c>
      <c r="U30" s="207">
        <v>36</v>
      </c>
      <c r="V30" s="207">
        <v>26</v>
      </c>
      <c r="W30" s="205"/>
      <c r="X30" s="205"/>
      <c r="Y30" s="208">
        <v>0</v>
      </c>
      <c r="Z30" s="209">
        <v>0</v>
      </c>
      <c r="AA30" s="207"/>
      <c r="AB30" s="206"/>
      <c r="AC30" s="210"/>
      <c r="AD30" s="211">
        <v>0.38461538461538464</v>
      </c>
      <c r="AE30" s="249">
        <v>0.4358974358974359</v>
      </c>
      <c r="AF30" s="190"/>
      <c r="AG30" s="191"/>
      <c r="AH30" s="191"/>
      <c r="AI30" s="191" t="str">
        <f>"     " &amp; TEXT(AE30,"#0.00%") &amp; " "</f>
        <v xml:space="preserve">     43.59% </v>
      </c>
      <c r="AJ30" s="191"/>
      <c r="AK30" s="191"/>
      <c r="AL30" s="191"/>
      <c r="AM30" s="191" t="str">
        <f>"     " &amp; "인게임 관련 기획" &amp; " " &amp; IF(P30="","",TEXT(P30,"M/D-")) &amp; IF(Q30="","",TEXT(Q30,"M/D")) &amp; " "</f>
        <v xml:space="preserve">     인게임 관련 기획 12/2-1/20 </v>
      </c>
      <c r="AN30" s="191"/>
      <c r="AO30" s="191"/>
    </row>
    <row r="31" spans="1:41" ht="12" customHeight="1" outlineLevel="3">
      <c r="A31" s="203"/>
      <c r="B31" s="203" t="s">
        <v>1570</v>
      </c>
      <c r="C31" s="203">
        <v>4</v>
      </c>
      <c r="D31" s="214" t="s">
        <v>1596</v>
      </c>
      <c r="E31" s="204"/>
      <c r="F31" s="204"/>
      <c r="G31" s="204"/>
      <c r="H31" s="204" t="s">
        <v>1590</v>
      </c>
      <c r="I31" s="204"/>
      <c r="J31" s="204"/>
      <c r="K31" s="204"/>
      <c r="L31" s="204"/>
      <c r="M31" s="204"/>
      <c r="N31" s="204"/>
      <c r="O31" s="204"/>
      <c r="P31" s="205">
        <v>44532</v>
      </c>
      <c r="Q31" s="205">
        <v>44581</v>
      </c>
      <c r="R31" s="206"/>
      <c r="S31" s="207">
        <v>37</v>
      </c>
      <c r="T31" s="207">
        <v>15</v>
      </c>
      <c r="U31" s="207">
        <v>36</v>
      </c>
      <c r="V31" s="207">
        <v>26</v>
      </c>
      <c r="W31" s="205"/>
      <c r="X31" s="205"/>
      <c r="Y31" s="208">
        <v>0</v>
      </c>
      <c r="Z31" s="209">
        <v>0</v>
      </c>
      <c r="AA31" s="207"/>
      <c r="AB31" s="206"/>
      <c r="AC31" s="210"/>
      <c r="AD31" s="211">
        <v>0.40540540540540543</v>
      </c>
      <c r="AE31" s="249">
        <v>0.45945945945945948</v>
      </c>
      <c r="AF31" s="190"/>
      <c r="AG31" s="191"/>
      <c r="AH31" s="191"/>
      <c r="AI31" s="191" t="str">
        <f>"      " &amp; TEXT(AE31,"#0.00%") &amp; " "</f>
        <v xml:space="preserve">      45.95% </v>
      </c>
      <c r="AJ31" s="191"/>
      <c r="AK31" s="191"/>
      <c r="AL31" s="191"/>
      <c r="AM31" s="191" t="str">
        <f>"     " &amp; "스토리 관련" &amp; " " &amp; IF(P31="","",TEXT(P31,"M/D-")) &amp; IF(Q31="","",TEXT(Q31,"M/D")) &amp; " "</f>
        <v xml:space="preserve">     스토리 관련 12/2-1/20 </v>
      </c>
      <c r="AN31" s="191"/>
      <c r="AO31" s="191"/>
    </row>
    <row r="32" spans="1:41" ht="12" customHeight="1" outlineLevel="4">
      <c r="A32" s="203"/>
      <c r="B32" s="203" t="s">
        <v>1570</v>
      </c>
      <c r="C32" s="203">
        <v>5</v>
      </c>
      <c r="D32" s="214" t="s">
        <v>1597</v>
      </c>
      <c r="E32" s="204"/>
      <c r="F32" s="204"/>
      <c r="G32" s="204"/>
      <c r="H32" s="204"/>
      <c r="I32" s="204" t="s">
        <v>1587</v>
      </c>
      <c r="J32" s="204"/>
      <c r="K32" s="204"/>
      <c r="L32" s="204"/>
      <c r="M32" s="204"/>
      <c r="N32" s="204"/>
      <c r="O32" s="204"/>
      <c r="P32" s="205">
        <v>44532</v>
      </c>
      <c r="Q32" s="205">
        <v>44532</v>
      </c>
      <c r="R32" s="206"/>
      <c r="S32" s="207">
        <v>3</v>
      </c>
      <c r="T32" s="207">
        <v>3</v>
      </c>
      <c r="U32" s="207">
        <v>1</v>
      </c>
      <c r="V32" s="207">
        <v>1</v>
      </c>
      <c r="W32" s="205"/>
      <c r="X32" s="205"/>
      <c r="Y32" s="208">
        <v>0</v>
      </c>
      <c r="Z32" s="209">
        <v>0</v>
      </c>
      <c r="AA32" s="207"/>
      <c r="AB32" s="206"/>
      <c r="AC32" s="210"/>
      <c r="AD32" s="211">
        <v>1</v>
      </c>
      <c r="AE32" s="247">
        <v>1</v>
      </c>
      <c r="AF32" s="190" t="str">
        <f>"     " &amp; TEXT(AE32,"#0.00%") &amp; " " &amp; "주변 세계관" &amp; " " &amp; IF(P32="","",TEXT(P32,"M/D-")) &amp; IF(Q32="","",TEXT(Q32,"M/D")) &amp; " "</f>
        <v xml:space="preserve">     100.00% 주변 세계관 12/2-12/2 </v>
      </c>
      <c r="AG32" s="191"/>
      <c r="AH32" s="191"/>
      <c r="AI32" s="191"/>
      <c r="AJ32" s="191"/>
      <c r="AK32" s="191"/>
      <c r="AL32" s="191"/>
      <c r="AM32" s="191"/>
      <c r="AN32" s="191"/>
      <c r="AO32" s="191"/>
    </row>
    <row r="33" spans="1:41" ht="12" customHeight="1" outlineLevel="5">
      <c r="A33" s="203"/>
      <c r="B33" s="203"/>
      <c r="C33" s="203">
        <v>6</v>
      </c>
      <c r="D33" s="214" t="s">
        <v>1706</v>
      </c>
      <c r="E33" s="204"/>
      <c r="F33" s="204"/>
      <c r="G33" s="204"/>
      <c r="H33" s="204"/>
      <c r="I33" s="204"/>
      <c r="J33" s="204" t="s">
        <v>1601</v>
      </c>
      <c r="K33" s="204"/>
      <c r="L33" s="204"/>
      <c r="M33" s="204"/>
      <c r="N33" s="204"/>
      <c r="O33" s="204"/>
      <c r="P33" s="205">
        <v>44532</v>
      </c>
      <c r="Q33" s="205">
        <v>44532</v>
      </c>
      <c r="R33" s="206"/>
      <c r="S33" s="207">
        <v>1</v>
      </c>
      <c r="T33" s="207">
        <v>1</v>
      </c>
      <c r="U33" s="207">
        <v>1</v>
      </c>
      <c r="V33" s="207">
        <v>1</v>
      </c>
      <c r="W33" s="205"/>
      <c r="X33" s="205"/>
      <c r="Y33" s="208"/>
      <c r="Z33" s="209">
        <v>0</v>
      </c>
      <c r="AA33" s="207"/>
      <c r="AB33" s="206"/>
      <c r="AC33" s="210"/>
      <c r="AD33" s="211">
        <v>1</v>
      </c>
      <c r="AE33" s="213">
        <v>1</v>
      </c>
      <c r="AF33" s="190" t="str">
        <f>"     " &amp; TEXT(AE33,"#0.00%") &amp; " " &amp; "시대상 or 기술수준 확립" &amp; " " &amp; IF(P33="","",TEXT(P33,"M/D-")) &amp; IF(Q33="","",TEXT(Q33,"M/D")) &amp; " "</f>
        <v xml:space="preserve">     100.00% 시대상 or 기술수준 확립 12/2-12/2 </v>
      </c>
      <c r="AG33" s="191"/>
      <c r="AH33" s="191"/>
      <c r="AI33" s="191"/>
      <c r="AJ33" s="191"/>
      <c r="AK33" s="191"/>
      <c r="AL33" s="191"/>
      <c r="AM33" s="191"/>
      <c r="AN33" s="191"/>
      <c r="AO33" s="191"/>
    </row>
    <row r="34" spans="1:41" ht="12" customHeight="1" outlineLevel="5">
      <c r="A34" s="203">
        <v>0</v>
      </c>
      <c r="B34" s="203"/>
      <c r="C34" s="203">
        <v>6</v>
      </c>
      <c r="D34" s="214" t="s">
        <v>1707</v>
      </c>
      <c r="E34" s="204"/>
      <c r="F34" s="204"/>
      <c r="G34" s="204"/>
      <c r="H34" s="204"/>
      <c r="I34" s="204"/>
      <c r="J34" s="204" t="s">
        <v>1588</v>
      </c>
      <c r="K34" s="204"/>
      <c r="L34" s="204"/>
      <c r="M34" s="204"/>
      <c r="N34" s="204"/>
      <c r="O34" s="204"/>
      <c r="P34" s="205">
        <v>44532</v>
      </c>
      <c r="Q34" s="205">
        <v>44532</v>
      </c>
      <c r="R34" s="206"/>
      <c r="S34" s="207">
        <v>1</v>
      </c>
      <c r="T34" s="207">
        <v>1</v>
      </c>
      <c r="U34" s="207">
        <v>1</v>
      </c>
      <c r="V34" s="207">
        <v>1</v>
      </c>
      <c r="W34" s="205"/>
      <c r="X34" s="205"/>
      <c r="Y34" s="208"/>
      <c r="Z34" s="209">
        <v>0</v>
      </c>
      <c r="AA34" s="207"/>
      <c r="AB34" s="206"/>
      <c r="AC34" s="210"/>
      <c r="AD34" s="211">
        <v>1</v>
      </c>
      <c r="AE34" s="213">
        <v>1</v>
      </c>
      <c r="AF34" s="190" t="str">
        <f>"     " &amp; TEXT(AE34,"#0.00%") &amp; " " &amp; "주인공 소속사 확립" &amp; " " &amp; IF(P34="","",TEXT(P34,"M/D-")) &amp; IF(Q34="","",TEXT(Q34,"M/D")) &amp; " "</f>
        <v xml:space="preserve">     100.00% 주인공 소속사 확립 12/2-12/2 </v>
      </c>
      <c r="AG34" s="191"/>
      <c r="AH34" s="191"/>
      <c r="AI34" s="191"/>
      <c r="AJ34" s="191"/>
      <c r="AK34" s="191"/>
      <c r="AL34" s="191"/>
      <c r="AM34" s="191"/>
      <c r="AN34" s="191"/>
      <c r="AO34" s="191"/>
    </row>
    <row r="35" spans="1:41" ht="12" customHeight="1" outlineLevel="5">
      <c r="A35" s="203"/>
      <c r="B35" s="203"/>
      <c r="C35" s="203">
        <v>6</v>
      </c>
      <c r="D35" s="214" t="s">
        <v>1708</v>
      </c>
      <c r="E35" s="204"/>
      <c r="F35" s="204"/>
      <c r="G35" s="204"/>
      <c r="H35" s="204"/>
      <c r="I35" s="204"/>
      <c r="J35" s="204" t="s">
        <v>1589</v>
      </c>
      <c r="K35" s="204"/>
      <c r="L35" s="204"/>
      <c r="M35" s="204"/>
      <c r="N35" s="204"/>
      <c r="O35" s="204"/>
      <c r="P35" s="205">
        <v>44532</v>
      </c>
      <c r="Q35" s="205">
        <v>44532</v>
      </c>
      <c r="R35" s="206"/>
      <c r="S35" s="207">
        <v>1</v>
      </c>
      <c r="T35" s="207">
        <v>1</v>
      </c>
      <c r="U35" s="207">
        <v>1</v>
      </c>
      <c r="V35" s="207">
        <v>1</v>
      </c>
      <c r="W35" s="205"/>
      <c r="X35" s="205"/>
      <c r="Y35" s="208"/>
      <c r="Z35" s="209">
        <v>0</v>
      </c>
      <c r="AA35" s="207"/>
      <c r="AB35" s="206"/>
      <c r="AC35" s="210"/>
      <c r="AD35" s="211">
        <v>1</v>
      </c>
      <c r="AE35" s="213">
        <v>1</v>
      </c>
      <c r="AF35" s="190" t="str">
        <f>"     " &amp; TEXT(AE35,"#0.00%") &amp; " " &amp; "주인공 역할 확립" &amp; " " &amp; IF(P35="","",TEXT(P35,"M/D-")) &amp; IF(Q35="","",TEXT(Q35,"M/D")) &amp; " "</f>
        <v xml:space="preserve">     100.00% 주인공 역할 확립 12/2-12/2 </v>
      </c>
      <c r="AG35" s="191"/>
      <c r="AH35" s="191"/>
      <c r="AI35" s="191"/>
      <c r="AJ35" s="191"/>
      <c r="AK35" s="191"/>
      <c r="AL35" s="191"/>
      <c r="AM35" s="191"/>
      <c r="AN35" s="191"/>
      <c r="AO35" s="191"/>
    </row>
    <row r="36" spans="1:41" ht="12" customHeight="1" outlineLevel="4">
      <c r="A36" s="203"/>
      <c r="B36" s="203" t="s">
        <v>1570</v>
      </c>
      <c r="C36" s="203">
        <v>5</v>
      </c>
      <c r="D36" s="214" t="s">
        <v>1598</v>
      </c>
      <c r="E36" s="204"/>
      <c r="F36" s="204"/>
      <c r="G36" s="204"/>
      <c r="H36" s="204"/>
      <c r="I36" s="204" t="s">
        <v>1643</v>
      </c>
      <c r="J36" s="204"/>
      <c r="K36" s="204"/>
      <c r="L36" s="204"/>
      <c r="M36" s="204"/>
      <c r="N36" s="204"/>
      <c r="O36" s="204"/>
      <c r="P36" s="205"/>
      <c r="Q36" s="205"/>
      <c r="R36" s="206"/>
      <c r="S36" s="207">
        <v>0</v>
      </c>
      <c r="T36" s="207">
        <v>0</v>
      </c>
      <c r="U36" s="207">
        <v>0</v>
      </c>
      <c r="V36" s="207">
        <v>0</v>
      </c>
      <c r="W36" s="205"/>
      <c r="X36" s="205"/>
      <c r="Y36" s="208">
        <v>0</v>
      </c>
      <c r="Z36" s="209">
        <v>0</v>
      </c>
      <c r="AA36" s="207"/>
      <c r="AB36" s="206"/>
      <c r="AC36" s="210"/>
      <c r="AD36" s="211">
        <v>0</v>
      </c>
      <c r="AE36" s="216">
        <v>0</v>
      </c>
      <c r="AF36" s="190"/>
      <c r="AG36" s="191"/>
      <c r="AH36" s="191"/>
      <c r="AI36" s="191"/>
      <c r="AJ36" s="191"/>
      <c r="AK36" s="191"/>
      <c r="AL36" s="191"/>
      <c r="AM36" s="191"/>
      <c r="AN36" s="191"/>
      <c r="AO36" s="191"/>
    </row>
    <row r="37" spans="1:41" ht="12" customHeight="1" outlineLevel="5">
      <c r="A37" s="203"/>
      <c r="B37" s="203" t="s">
        <v>1570</v>
      </c>
      <c r="C37" s="203">
        <v>6</v>
      </c>
      <c r="D37" s="214" t="s">
        <v>1709</v>
      </c>
      <c r="E37" s="204"/>
      <c r="F37" s="204"/>
      <c r="G37" s="204"/>
      <c r="H37" s="204"/>
      <c r="I37" s="204"/>
      <c r="J37" s="204" t="s">
        <v>1642</v>
      </c>
      <c r="K37" s="204"/>
      <c r="L37" s="204"/>
      <c r="M37" s="204"/>
      <c r="N37" s="204"/>
      <c r="O37" s="204"/>
      <c r="P37" s="205"/>
      <c r="Q37" s="205"/>
      <c r="R37" s="206"/>
      <c r="S37" s="207">
        <v>0</v>
      </c>
      <c r="T37" s="207">
        <v>0</v>
      </c>
      <c r="U37" s="207">
        <v>0</v>
      </c>
      <c r="V37" s="207">
        <v>0</v>
      </c>
      <c r="W37" s="205"/>
      <c r="X37" s="205"/>
      <c r="Y37" s="208">
        <v>0</v>
      </c>
      <c r="Z37" s="209">
        <v>0</v>
      </c>
      <c r="AA37" s="207"/>
      <c r="AB37" s="206"/>
      <c r="AC37" s="210"/>
      <c r="AD37" s="211">
        <v>0</v>
      </c>
      <c r="AE37" s="216">
        <v>0</v>
      </c>
      <c r="AF37" s="190"/>
      <c r="AG37" s="191"/>
      <c r="AH37" s="191"/>
      <c r="AI37" s="191"/>
      <c r="AJ37" s="191"/>
      <c r="AK37" s="191"/>
      <c r="AL37" s="191"/>
      <c r="AM37" s="191"/>
      <c r="AN37" s="191"/>
      <c r="AO37" s="191"/>
    </row>
    <row r="38" spans="1:41" ht="12" customHeight="1" outlineLevel="6">
      <c r="A38" s="203"/>
      <c r="B38" s="203"/>
      <c r="C38" s="203">
        <v>7</v>
      </c>
      <c r="D38" s="214" t="s">
        <v>1710</v>
      </c>
      <c r="E38" s="204"/>
      <c r="F38" s="204"/>
      <c r="G38" s="204"/>
      <c r="H38" s="204"/>
      <c r="I38" s="204"/>
      <c r="J38" s="204"/>
      <c r="K38" s="204" t="s">
        <v>1584</v>
      </c>
      <c r="L38" s="204"/>
      <c r="M38" s="204"/>
      <c r="N38" s="204"/>
      <c r="O38" s="204" t="s">
        <v>1638</v>
      </c>
      <c r="P38" s="205"/>
      <c r="Q38" s="205"/>
      <c r="R38" s="206"/>
      <c r="S38" s="207">
        <v>0</v>
      </c>
      <c r="T38" s="207">
        <v>0</v>
      </c>
      <c r="U38" s="207">
        <v>0</v>
      </c>
      <c r="V38" s="207">
        <v>0</v>
      </c>
      <c r="W38" s="205"/>
      <c r="X38" s="205"/>
      <c r="Y38" s="208">
        <v>0</v>
      </c>
      <c r="Z38" s="209">
        <v>0</v>
      </c>
      <c r="AA38" s="207">
        <v>1</v>
      </c>
      <c r="AB38" s="206" t="s">
        <v>1630</v>
      </c>
      <c r="AC38" s="210"/>
      <c r="AD38" s="211">
        <v>0</v>
      </c>
      <c r="AE38" s="216">
        <v>0</v>
      </c>
      <c r="AF38" s="190"/>
      <c r="AG38" s="191"/>
      <c r="AH38" s="191"/>
      <c r="AI38" s="191"/>
      <c r="AJ38" s="191"/>
      <c r="AK38" s="191"/>
      <c r="AL38" s="191"/>
      <c r="AM38" s="191"/>
      <c r="AN38" s="191"/>
      <c r="AO38" s="191"/>
    </row>
    <row r="39" spans="1:41" ht="12" customHeight="1" outlineLevel="6">
      <c r="A39" s="203"/>
      <c r="B39" s="203"/>
      <c r="C39" s="203">
        <v>7</v>
      </c>
      <c r="D39" s="214" t="s">
        <v>1711</v>
      </c>
      <c r="E39" s="204"/>
      <c r="F39" s="204"/>
      <c r="G39" s="204"/>
      <c r="H39" s="204"/>
      <c r="I39" s="204"/>
      <c r="J39" s="204"/>
      <c r="K39" s="204" t="s">
        <v>1585</v>
      </c>
      <c r="L39" s="204"/>
      <c r="M39" s="204"/>
      <c r="N39" s="204"/>
      <c r="O39" s="204"/>
      <c r="P39" s="205"/>
      <c r="Q39" s="205"/>
      <c r="R39" s="206"/>
      <c r="S39" s="207">
        <v>0</v>
      </c>
      <c r="T39" s="207">
        <v>0</v>
      </c>
      <c r="U39" s="207">
        <v>0</v>
      </c>
      <c r="V39" s="207">
        <v>0</v>
      </c>
      <c r="W39" s="205"/>
      <c r="X39" s="205"/>
      <c r="Y39" s="208">
        <v>0</v>
      </c>
      <c r="Z39" s="209">
        <v>0</v>
      </c>
      <c r="AA39" s="207"/>
      <c r="AB39" s="206" t="s">
        <v>1630</v>
      </c>
      <c r="AC39" s="210"/>
      <c r="AD39" s="211">
        <v>0</v>
      </c>
      <c r="AE39" s="216">
        <v>0</v>
      </c>
      <c r="AF39" s="190"/>
      <c r="AG39" s="191"/>
      <c r="AH39" s="191"/>
      <c r="AI39" s="191"/>
      <c r="AJ39" s="191"/>
      <c r="AK39" s="191"/>
      <c r="AL39" s="191"/>
      <c r="AM39" s="191"/>
      <c r="AN39" s="191"/>
      <c r="AO39" s="191"/>
    </row>
    <row r="40" spans="1:41" ht="12" customHeight="1" outlineLevel="4">
      <c r="A40" s="203">
        <v>1</v>
      </c>
      <c r="B40" s="203" t="s">
        <v>1570</v>
      </c>
      <c r="C40" s="203">
        <v>5</v>
      </c>
      <c r="D40" s="214" t="s">
        <v>1602</v>
      </c>
      <c r="E40" s="204"/>
      <c r="F40" s="204"/>
      <c r="G40" s="204"/>
      <c r="H40" s="204"/>
      <c r="I40" s="204" t="s">
        <v>1591</v>
      </c>
      <c r="J40" s="204"/>
      <c r="K40" s="204"/>
      <c r="L40" s="204"/>
      <c r="M40" s="204"/>
      <c r="N40" s="204"/>
      <c r="O40" s="204"/>
      <c r="P40" s="205">
        <v>44571</v>
      </c>
      <c r="Q40" s="205">
        <v>44581</v>
      </c>
      <c r="R40" s="206"/>
      <c r="S40" s="207">
        <v>20</v>
      </c>
      <c r="T40" s="207">
        <v>0</v>
      </c>
      <c r="U40" s="207">
        <v>9</v>
      </c>
      <c r="V40" s="207">
        <v>0</v>
      </c>
      <c r="W40" s="205"/>
      <c r="X40" s="205"/>
      <c r="Y40" s="208">
        <v>0</v>
      </c>
      <c r="Z40" s="209">
        <v>0</v>
      </c>
      <c r="AA40" s="207"/>
      <c r="AB40" s="206"/>
      <c r="AC40" s="210"/>
      <c r="AD40" s="211">
        <v>0</v>
      </c>
      <c r="AE40" s="247">
        <v>0</v>
      </c>
      <c r="AF40" s="190"/>
      <c r="AG40" s="191"/>
      <c r="AH40" s="191"/>
      <c r="AI40" s="191"/>
      <c r="AJ40" s="191"/>
      <c r="AK40" s="191"/>
      <c r="AL40" s="191" t="str">
        <f>"     " &amp; TEXT(AE40,"#0.00%") &amp; " " &amp; "레벨 디자인" &amp; " " &amp; IF(P40="","",TEXT(P40,"M/D-")) &amp; IF(Q40="","",TEXT(Q40,"M/D")) &amp; " "</f>
        <v xml:space="preserve">     0.00% 레벨 디자인 1/10-1/20 </v>
      </c>
      <c r="AM40" s="191"/>
      <c r="AN40" s="191"/>
      <c r="AO40" s="191"/>
    </row>
    <row r="41" spans="1:41" ht="12" customHeight="1" outlineLevel="5">
      <c r="A41" s="203"/>
      <c r="B41" s="203" t="s">
        <v>1570</v>
      </c>
      <c r="C41" s="203">
        <v>6</v>
      </c>
      <c r="D41" s="214" t="s">
        <v>1712</v>
      </c>
      <c r="E41" s="204"/>
      <c r="F41" s="204"/>
      <c r="G41" s="204"/>
      <c r="H41" s="204"/>
      <c r="I41" s="204"/>
      <c r="J41" s="204" t="s">
        <v>1669</v>
      </c>
      <c r="K41" s="204"/>
      <c r="L41" s="204"/>
      <c r="M41" s="204"/>
      <c r="N41" s="204"/>
      <c r="O41" s="204"/>
      <c r="P41" s="205">
        <v>44571</v>
      </c>
      <c r="Q41" s="205">
        <v>44581</v>
      </c>
      <c r="R41" s="206"/>
      <c r="S41" s="207">
        <v>20</v>
      </c>
      <c r="T41" s="207">
        <v>0</v>
      </c>
      <c r="U41" s="207">
        <v>9</v>
      </c>
      <c r="V41" s="207">
        <v>0</v>
      </c>
      <c r="W41" s="205"/>
      <c r="X41" s="205"/>
      <c r="Y41" s="208">
        <v>0</v>
      </c>
      <c r="Z41" s="209">
        <v>0</v>
      </c>
      <c r="AA41" s="207"/>
      <c r="AB41" s="206"/>
      <c r="AC41" s="210"/>
      <c r="AD41" s="211">
        <v>0</v>
      </c>
      <c r="AE41" s="247">
        <v>0</v>
      </c>
      <c r="AF41" s="190"/>
      <c r="AG41" s="191"/>
      <c r="AH41" s="191"/>
      <c r="AI41" s="191"/>
      <c r="AJ41" s="191"/>
      <c r="AK41" s="191"/>
      <c r="AL41" s="191" t="str">
        <f>" " &amp; TEXT(AE41,"#0.00%") &amp; " " &amp; "튜토리얼" &amp; " " &amp; IF(P41="","",TEXT(P41,"M/D-")) &amp; IF(Q41="","",TEXT(Q41,"M/D")) &amp; " "</f>
        <v xml:space="preserve"> 0.00% 튜토리얼 1/10-1/20 </v>
      </c>
      <c r="AM41" s="191"/>
      <c r="AN41" s="191"/>
      <c r="AO41" s="191"/>
    </row>
    <row r="42" spans="1:41" ht="12" customHeight="1" outlineLevel="6">
      <c r="A42" s="203"/>
      <c r="B42" s="203"/>
      <c r="C42" s="203">
        <v>7</v>
      </c>
      <c r="D42" s="214" t="s">
        <v>1713</v>
      </c>
      <c r="E42" s="204"/>
      <c r="F42" s="204"/>
      <c r="G42" s="204"/>
      <c r="H42" s="204"/>
      <c r="I42" s="204"/>
      <c r="J42" s="204"/>
      <c r="K42" s="204" t="s">
        <v>1670</v>
      </c>
      <c r="L42" s="204"/>
      <c r="M42" s="204"/>
      <c r="N42" s="204"/>
      <c r="O42" s="204"/>
      <c r="P42" s="205">
        <v>44571</v>
      </c>
      <c r="Q42" s="205">
        <v>44576</v>
      </c>
      <c r="R42" s="206"/>
      <c r="S42" s="207">
        <v>5</v>
      </c>
      <c r="T42" s="207">
        <v>0</v>
      </c>
      <c r="U42" s="207">
        <v>5</v>
      </c>
      <c r="V42" s="207">
        <v>0</v>
      </c>
      <c r="W42" s="205"/>
      <c r="X42" s="205"/>
      <c r="Y42" s="208"/>
      <c r="Z42" s="209">
        <v>0</v>
      </c>
      <c r="AA42" s="207"/>
      <c r="AB42" s="206" t="s">
        <v>1603</v>
      </c>
      <c r="AC42" s="210"/>
      <c r="AD42" s="211">
        <v>0</v>
      </c>
      <c r="AE42" s="213">
        <v>0</v>
      </c>
      <c r="AF42" s="190"/>
      <c r="AG42" s="191"/>
      <c r="AH42" s="191"/>
      <c r="AI42" s="191"/>
      <c r="AJ42" s="191"/>
      <c r="AK42" s="191"/>
      <c r="AL42" s="191" t="str">
        <f>" " &amp; TEXT(AE42,"#0.00%") &amp; " " &amp; "튜토리얼 레벨 디자인" &amp; "(황민재)" &amp; " " &amp; IF(P42="","",TEXT(P42,"M/D-")) &amp; IF(Q42="","",TEXT(Q42,"M/D")) &amp; " "</f>
        <v xml:space="preserve"> 0.00% 튜토리얼 레벨 디자인(황민재) 1/10-1/15 </v>
      </c>
      <c r="AM42" s="191"/>
      <c r="AN42" s="191"/>
      <c r="AO42" s="191"/>
    </row>
    <row r="43" spans="1:41" ht="12" customHeight="1" outlineLevel="6">
      <c r="A43" s="203"/>
      <c r="B43" s="203"/>
      <c r="C43" s="203">
        <v>7</v>
      </c>
      <c r="D43" s="214" t="s">
        <v>1714</v>
      </c>
      <c r="E43" s="204"/>
      <c r="F43" s="204"/>
      <c r="G43" s="204"/>
      <c r="H43" s="204"/>
      <c r="I43" s="204"/>
      <c r="J43" s="204"/>
      <c r="K43" s="204" t="s">
        <v>1671</v>
      </c>
      <c r="L43" s="204"/>
      <c r="M43" s="204"/>
      <c r="N43" s="204"/>
      <c r="O43" s="204"/>
      <c r="P43" s="205">
        <v>44571</v>
      </c>
      <c r="Q43" s="205">
        <v>44577</v>
      </c>
      <c r="R43" s="206"/>
      <c r="S43" s="207">
        <v>5</v>
      </c>
      <c r="T43" s="207">
        <v>0</v>
      </c>
      <c r="U43" s="207">
        <v>5</v>
      </c>
      <c r="V43" s="207">
        <v>0</v>
      </c>
      <c r="W43" s="205"/>
      <c r="X43" s="205"/>
      <c r="Y43" s="208"/>
      <c r="Z43" s="209">
        <v>0</v>
      </c>
      <c r="AA43" s="207"/>
      <c r="AB43" s="206" t="s">
        <v>1603</v>
      </c>
      <c r="AC43" s="210"/>
      <c r="AD43" s="211">
        <v>0</v>
      </c>
      <c r="AE43" s="213">
        <v>0</v>
      </c>
      <c r="AF43" s="190"/>
      <c r="AG43" s="191"/>
      <c r="AH43" s="191"/>
      <c r="AI43" s="191"/>
      <c r="AJ43" s="191"/>
      <c r="AK43" s="191"/>
      <c r="AL43" s="191" t="str">
        <f>" " &amp; TEXT(AE43,"#0.00%") &amp; " " &amp; "튜토리얼 사물 배치" &amp; "(황민재)" &amp; " " &amp; IF(P43="","",TEXT(P43,"M/D-")) &amp; IF(Q43="","",TEXT(Q43,"M/D")) &amp; " "</f>
        <v xml:space="preserve"> 0.00% 튜토리얼 사물 배치(황민재) 1/10-1/16 </v>
      </c>
      <c r="AM43" s="191"/>
      <c r="AN43" s="191"/>
      <c r="AO43" s="191"/>
    </row>
    <row r="44" spans="1:41" ht="12" customHeight="1" outlineLevel="6">
      <c r="A44" s="203"/>
      <c r="B44" s="203"/>
      <c r="C44" s="203">
        <v>7</v>
      </c>
      <c r="D44" s="214" t="s">
        <v>1715</v>
      </c>
      <c r="E44" s="204"/>
      <c r="F44" s="204"/>
      <c r="G44" s="204"/>
      <c r="H44" s="204"/>
      <c r="I44" s="204"/>
      <c r="J44" s="204"/>
      <c r="K44" s="204" t="s">
        <v>1672</v>
      </c>
      <c r="L44" s="204"/>
      <c r="M44" s="204"/>
      <c r="N44" s="204"/>
      <c r="O44" s="204"/>
      <c r="P44" s="205">
        <v>44571</v>
      </c>
      <c r="Q44" s="205">
        <v>44578</v>
      </c>
      <c r="R44" s="206"/>
      <c r="S44" s="207">
        <v>6</v>
      </c>
      <c r="T44" s="207">
        <v>0</v>
      </c>
      <c r="U44" s="207">
        <v>6</v>
      </c>
      <c r="V44" s="207">
        <v>0</v>
      </c>
      <c r="W44" s="205"/>
      <c r="X44" s="205"/>
      <c r="Y44" s="208"/>
      <c r="Z44" s="209">
        <v>0</v>
      </c>
      <c r="AA44" s="207"/>
      <c r="AB44" s="206" t="s">
        <v>1603</v>
      </c>
      <c r="AC44" s="210"/>
      <c r="AD44" s="211">
        <v>0</v>
      </c>
      <c r="AE44" s="213">
        <v>0</v>
      </c>
      <c r="AF44" s="190"/>
      <c r="AG44" s="191"/>
      <c r="AH44" s="191"/>
      <c r="AI44" s="191"/>
      <c r="AJ44" s="191"/>
      <c r="AK44" s="191"/>
      <c r="AL44" s="191" t="str">
        <f>" " &amp; TEXT(AE44,"#0.00%") &amp; " " &amp; "튜토리얼 퍼즐 배치" &amp; "(황민재)" &amp; " " &amp; IF(P44="","",TEXT(P44,"M/D-")) &amp; IF(Q44="","",TEXT(Q44,"M/D")) &amp; " "</f>
        <v xml:space="preserve"> 0.00% 튜토리얼 퍼즐 배치(황민재) 1/10-1/17 </v>
      </c>
      <c r="AM44" s="191"/>
      <c r="AN44" s="191"/>
      <c r="AO44" s="191"/>
    </row>
    <row r="45" spans="1:41" ht="12" customHeight="1" outlineLevel="6">
      <c r="A45" s="203"/>
      <c r="B45" s="203"/>
      <c r="C45" s="203">
        <v>7</v>
      </c>
      <c r="D45" s="214" t="s">
        <v>1716</v>
      </c>
      <c r="E45" s="204"/>
      <c r="F45" s="204"/>
      <c r="G45" s="204"/>
      <c r="H45" s="204"/>
      <c r="I45" s="204"/>
      <c r="J45" s="204"/>
      <c r="K45" s="204" t="s">
        <v>1673</v>
      </c>
      <c r="L45" s="204"/>
      <c r="M45" s="204"/>
      <c r="N45" s="204"/>
      <c r="O45" s="204"/>
      <c r="P45" s="205">
        <v>44578</v>
      </c>
      <c r="Q45" s="205">
        <v>44581</v>
      </c>
      <c r="R45" s="206"/>
      <c r="S45" s="207">
        <v>4</v>
      </c>
      <c r="T45" s="207">
        <v>0</v>
      </c>
      <c r="U45" s="207">
        <v>4</v>
      </c>
      <c r="V45" s="207">
        <v>0</v>
      </c>
      <c r="W45" s="205"/>
      <c r="X45" s="205"/>
      <c r="Y45" s="208"/>
      <c r="Z45" s="209">
        <v>0</v>
      </c>
      <c r="AA45" s="207"/>
      <c r="AB45" s="206" t="s">
        <v>1603</v>
      </c>
      <c r="AC45" s="210"/>
      <c r="AD45" s="211">
        <v>0</v>
      </c>
      <c r="AE45" s="213">
        <v>0</v>
      </c>
      <c r="AF45" s="190"/>
      <c r="AG45" s="191"/>
      <c r="AH45" s="191"/>
      <c r="AI45" s="191"/>
      <c r="AJ45" s="191"/>
      <c r="AK45" s="191"/>
      <c r="AL45" s="191"/>
      <c r="AM45" s="191" t="str">
        <f>" " &amp; TEXT(AE45,"#0.00%") &amp; " " &amp; "튜토리얼 수집물 배치" &amp; "(황민재)" &amp; " " &amp; IF(P45="","",TEXT(P45,"M/D-")) &amp; IF(Q45="","",TEXT(Q45,"M/D")) &amp; " "</f>
        <v xml:space="preserve"> 0.00% 튜토리얼 수집물 배치(황민재) 1/17-1/20 </v>
      </c>
      <c r="AN45" s="191"/>
      <c r="AO45" s="191"/>
    </row>
    <row r="46" spans="1:41" ht="12" customHeight="1" outlineLevel="5">
      <c r="A46" s="203" t="s">
        <v>1641</v>
      </c>
      <c r="B46" s="203" t="s">
        <v>1570</v>
      </c>
      <c r="C46" s="203">
        <v>6</v>
      </c>
      <c r="D46" s="214" t="s">
        <v>1717</v>
      </c>
      <c r="E46" s="204"/>
      <c r="F46" s="204"/>
      <c r="G46" s="204"/>
      <c r="H46" s="204"/>
      <c r="I46" s="204"/>
      <c r="J46" s="204" t="s">
        <v>1642</v>
      </c>
      <c r="K46" s="204"/>
      <c r="L46" s="204"/>
      <c r="M46" s="204"/>
      <c r="N46" s="204"/>
      <c r="O46" s="204"/>
      <c r="P46" s="205"/>
      <c r="Q46" s="205"/>
      <c r="R46" s="206"/>
      <c r="S46" s="207">
        <v>0</v>
      </c>
      <c r="T46" s="207">
        <v>0</v>
      </c>
      <c r="U46" s="207">
        <v>0</v>
      </c>
      <c r="V46" s="207">
        <v>0</v>
      </c>
      <c r="W46" s="205"/>
      <c r="X46" s="205"/>
      <c r="Y46" s="208">
        <v>0</v>
      </c>
      <c r="Z46" s="209">
        <v>0</v>
      </c>
      <c r="AA46" s="207"/>
      <c r="AB46" s="206"/>
      <c r="AC46" s="210"/>
      <c r="AD46" s="211">
        <v>0</v>
      </c>
      <c r="AE46" s="216">
        <v>0</v>
      </c>
      <c r="AF46" s="190"/>
      <c r="AG46" s="191"/>
      <c r="AH46" s="191"/>
      <c r="AI46" s="191"/>
      <c r="AJ46" s="191"/>
      <c r="AK46" s="191"/>
      <c r="AL46" s="191"/>
      <c r="AM46" s="191"/>
      <c r="AN46" s="191"/>
      <c r="AO46" s="191"/>
    </row>
    <row r="47" spans="1:41" ht="12" customHeight="1" outlineLevel="6">
      <c r="A47" s="203"/>
      <c r="B47" s="203"/>
      <c r="C47" s="203">
        <v>7</v>
      </c>
      <c r="D47" s="214" t="s">
        <v>1718</v>
      </c>
      <c r="E47" s="204"/>
      <c r="F47" s="204"/>
      <c r="G47" s="204"/>
      <c r="H47" s="204"/>
      <c r="I47" s="204"/>
      <c r="J47" s="204"/>
      <c r="K47" s="204" t="s">
        <v>1593</v>
      </c>
      <c r="L47" s="204"/>
      <c r="M47" s="204"/>
      <c r="N47" s="204"/>
      <c r="O47" s="204"/>
      <c r="P47" s="205"/>
      <c r="Q47" s="205"/>
      <c r="R47" s="206"/>
      <c r="S47" s="207">
        <v>0</v>
      </c>
      <c r="T47" s="207">
        <v>0</v>
      </c>
      <c r="U47" s="207">
        <v>0</v>
      </c>
      <c r="V47" s="207">
        <v>0</v>
      </c>
      <c r="W47" s="205"/>
      <c r="X47" s="205"/>
      <c r="Y47" s="208">
        <v>0</v>
      </c>
      <c r="Z47" s="209">
        <v>0</v>
      </c>
      <c r="AA47" s="207"/>
      <c r="AB47" s="206" t="s">
        <v>1603</v>
      </c>
      <c r="AC47" s="210"/>
      <c r="AD47" s="211">
        <v>0</v>
      </c>
      <c r="AE47" s="216">
        <v>0</v>
      </c>
      <c r="AF47" s="190"/>
      <c r="AG47" s="191"/>
      <c r="AH47" s="191"/>
      <c r="AI47" s="191"/>
      <c r="AJ47" s="191"/>
      <c r="AK47" s="191"/>
      <c r="AL47" s="191"/>
      <c r="AM47" s="191"/>
      <c r="AN47" s="191"/>
      <c r="AO47" s="191"/>
    </row>
    <row r="48" spans="1:41" ht="12" customHeight="1" outlineLevel="6">
      <c r="A48" s="203"/>
      <c r="B48" s="203"/>
      <c r="C48" s="203">
        <v>7</v>
      </c>
      <c r="D48" s="214" t="s">
        <v>1719</v>
      </c>
      <c r="E48" s="204"/>
      <c r="F48" s="204"/>
      <c r="G48" s="204"/>
      <c r="H48" s="204"/>
      <c r="I48" s="204"/>
      <c r="J48" s="204"/>
      <c r="K48" s="204" t="s">
        <v>1592</v>
      </c>
      <c r="L48" s="204"/>
      <c r="M48" s="204"/>
      <c r="N48" s="204"/>
      <c r="O48" s="204"/>
      <c r="P48" s="205"/>
      <c r="Q48" s="205"/>
      <c r="R48" s="206"/>
      <c r="S48" s="207">
        <v>0</v>
      </c>
      <c r="T48" s="207">
        <v>0</v>
      </c>
      <c r="U48" s="207">
        <v>0</v>
      </c>
      <c r="V48" s="207">
        <v>0</v>
      </c>
      <c r="W48" s="205"/>
      <c r="X48" s="205"/>
      <c r="Y48" s="208">
        <v>0</v>
      </c>
      <c r="Z48" s="209">
        <v>0</v>
      </c>
      <c r="AA48" s="207"/>
      <c r="AB48" s="206" t="s">
        <v>1603</v>
      </c>
      <c r="AC48" s="210"/>
      <c r="AD48" s="211">
        <v>0</v>
      </c>
      <c r="AE48" s="216">
        <v>0</v>
      </c>
      <c r="AF48" s="190"/>
      <c r="AG48" s="191"/>
      <c r="AH48" s="191"/>
      <c r="AI48" s="191"/>
      <c r="AJ48" s="191"/>
      <c r="AK48" s="191"/>
      <c r="AL48" s="191"/>
      <c r="AM48" s="191"/>
      <c r="AN48" s="191"/>
      <c r="AO48" s="191"/>
    </row>
    <row r="49" spans="1:41" ht="12" customHeight="1" outlineLevel="6">
      <c r="A49" s="203"/>
      <c r="B49" s="203"/>
      <c r="C49" s="203">
        <v>7</v>
      </c>
      <c r="D49" s="214" t="s">
        <v>1720</v>
      </c>
      <c r="E49" s="204"/>
      <c r="F49" s="204"/>
      <c r="G49" s="204"/>
      <c r="H49" s="204"/>
      <c r="I49" s="204"/>
      <c r="J49" s="204"/>
      <c r="K49" s="204" t="s">
        <v>1594</v>
      </c>
      <c r="L49" s="204"/>
      <c r="M49" s="204"/>
      <c r="N49" s="204"/>
      <c r="O49" s="204"/>
      <c r="P49" s="205"/>
      <c r="Q49" s="205"/>
      <c r="R49" s="206"/>
      <c r="S49" s="207">
        <v>0</v>
      </c>
      <c r="T49" s="207">
        <v>0</v>
      </c>
      <c r="U49" s="207">
        <v>0</v>
      </c>
      <c r="V49" s="207">
        <v>0</v>
      </c>
      <c r="W49" s="205"/>
      <c r="X49" s="205"/>
      <c r="Y49" s="208">
        <v>0</v>
      </c>
      <c r="Z49" s="209">
        <v>0</v>
      </c>
      <c r="AA49" s="207"/>
      <c r="AB49" s="206" t="s">
        <v>1603</v>
      </c>
      <c r="AC49" s="210"/>
      <c r="AD49" s="211">
        <v>0</v>
      </c>
      <c r="AE49" s="216">
        <v>0</v>
      </c>
      <c r="AF49" s="190"/>
      <c r="AG49" s="191"/>
      <c r="AH49" s="191"/>
      <c r="AI49" s="191"/>
      <c r="AJ49" s="191"/>
      <c r="AK49" s="191"/>
      <c r="AL49" s="191"/>
      <c r="AM49" s="191"/>
      <c r="AN49" s="191"/>
      <c r="AO49" s="191"/>
    </row>
    <row r="50" spans="1:41" ht="12" customHeight="1" outlineLevel="6">
      <c r="A50" s="203"/>
      <c r="B50" s="203"/>
      <c r="C50" s="203">
        <v>7</v>
      </c>
      <c r="D50" s="214" t="s">
        <v>1721</v>
      </c>
      <c r="E50" s="204"/>
      <c r="F50" s="204"/>
      <c r="G50" s="204"/>
      <c r="H50" s="204"/>
      <c r="I50" s="204"/>
      <c r="J50" s="204"/>
      <c r="K50" s="204" t="s">
        <v>1595</v>
      </c>
      <c r="L50" s="204"/>
      <c r="M50" s="204"/>
      <c r="N50" s="204"/>
      <c r="O50" s="204"/>
      <c r="P50" s="205"/>
      <c r="Q50" s="205"/>
      <c r="R50" s="206"/>
      <c r="S50" s="207">
        <v>0</v>
      </c>
      <c r="T50" s="207">
        <v>0</v>
      </c>
      <c r="U50" s="207">
        <v>0</v>
      </c>
      <c r="V50" s="207">
        <v>0</v>
      </c>
      <c r="W50" s="205">
        <v>44190</v>
      </c>
      <c r="X50" s="205">
        <v>44208</v>
      </c>
      <c r="Y50" s="208">
        <v>0</v>
      </c>
      <c r="Z50" s="209">
        <v>11</v>
      </c>
      <c r="AA50" s="207">
        <v>1</v>
      </c>
      <c r="AB50" s="206" t="s">
        <v>1603</v>
      </c>
      <c r="AC50" s="210"/>
      <c r="AD50" s="211">
        <v>0</v>
      </c>
      <c r="AE50" s="216">
        <v>0</v>
      </c>
      <c r="AF50" s="190"/>
      <c r="AG50" s="191"/>
      <c r="AH50" s="191"/>
      <c r="AI50" s="191"/>
      <c r="AJ50" s="191"/>
      <c r="AK50" s="191"/>
      <c r="AL50" s="191"/>
      <c r="AM50" s="191"/>
      <c r="AN50" s="191"/>
      <c r="AO50" s="191"/>
    </row>
    <row r="51" spans="1:41" ht="12" customHeight="1" outlineLevel="4">
      <c r="A51" s="203"/>
      <c r="B51" s="203" t="s">
        <v>1570</v>
      </c>
      <c r="C51" s="203">
        <v>5</v>
      </c>
      <c r="D51" s="214" t="s">
        <v>1722</v>
      </c>
      <c r="E51" s="204"/>
      <c r="F51" s="204"/>
      <c r="G51" s="204"/>
      <c r="H51" s="204"/>
      <c r="I51" s="204" t="s">
        <v>1629</v>
      </c>
      <c r="J51" s="204"/>
      <c r="K51" s="204"/>
      <c r="L51" s="204"/>
      <c r="M51" s="204"/>
      <c r="N51" s="204"/>
      <c r="O51" s="204"/>
      <c r="P51" s="205">
        <v>44552</v>
      </c>
      <c r="Q51" s="205">
        <v>44571</v>
      </c>
      <c r="R51" s="206"/>
      <c r="S51" s="207">
        <v>14</v>
      </c>
      <c r="T51" s="207">
        <v>12</v>
      </c>
      <c r="U51" s="207">
        <v>14</v>
      </c>
      <c r="V51" s="207">
        <v>12</v>
      </c>
      <c r="W51" s="205"/>
      <c r="X51" s="205"/>
      <c r="Y51" s="208">
        <v>0</v>
      </c>
      <c r="Z51" s="209">
        <v>0</v>
      </c>
      <c r="AA51" s="207"/>
      <c r="AB51" s="206"/>
      <c r="AC51" s="210"/>
      <c r="AD51" s="211">
        <v>0.8571428571428571</v>
      </c>
      <c r="AE51" s="249">
        <v>1</v>
      </c>
      <c r="AF51" s="190"/>
      <c r="AG51" s="191"/>
      <c r="AH51" s="191"/>
      <c r="AI51" s="191"/>
      <c r="AJ51" s="191"/>
      <c r="AK51" s="191"/>
      <c r="AL51" s="191" t="str">
        <f>"  " &amp; TEXT(AE51,"#0.00%") &amp; " " &amp; "게임 콘텐츠 기획" &amp; " " &amp; IF(P51="","",TEXT(P51,"M/D-")) &amp; IF(Q51="","",TEXT(Q51,"M/D")) &amp; " "</f>
        <v xml:space="preserve">  100.00% 게임 콘텐츠 기획 12/22-1/10 </v>
      </c>
      <c r="AM51" s="191"/>
      <c r="AN51" s="191"/>
      <c r="AO51" s="191"/>
    </row>
    <row r="52" spans="1:41" ht="12" customHeight="1" outlineLevel="5">
      <c r="A52" s="203"/>
      <c r="B52" s="203"/>
      <c r="C52" s="203">
        <v>6</v>
      </c>
      <c r="D52" s="214" t="s">
        <v>1723</v>
      </c>
      <c r="E52" s="204"/>
      <c r="F52" s="204"/>
      <c r="G52" s="204"/>
      <c r="H52" s="204"/>
      <c r="I52" s="204"/>
      <c r="J52" s="204" t="s">
        <v>1640</v>
      </c>
      <c r="K52" s="204"/>
      <c r="L52" s="204"/>
      <c r="M52" s="204"/>
      <c r="N52" s="204"/>
      <c r="O52" s="204"/>
      <c r="P52" s="205">
        <v>44552</v>
      </c>
      <c r="Q52" s="205">
        <v>44571</v>
      </c>
      <c r="R52" s="206"/>
      <c r="S52" s="207">
        <v>14</v>
      </c>
      <c r="T52" s="207">
        <v>12</v>
      </c>
      <c r="U52" s="207">
        <v>14</v>
      </c>
      <c r="V52" s="207">
        <v>12</v>
      </c>
      <c r="W52" s="205"/>
      <c r="X52" s="205"/>
      <c r="Y52" s="208"/>
      <c r="Z52" s="209">
        <v>0</v>
      </c>
      <c r="AA52" s="207"/>
      <c r="AB52" s="206" t="s">
        <v>1630</v>
      </c>
      <c r="AC52" s="210"/>
      <c r="AD52" s="211">
        <v>0.8571428571428571</v>
      </c>
      <c r="AE52" s="248">
        <v>1</v>
      </c>
      <c r="AF52" s="190"/>
      <c r="AG52" s="191"/>
      <c r="AH52" s="191"/>
      <c r="AI52" s="191"/>
      <c r="AJ52" s="191"/>
      <c r="AK52" s="191"/>
      <c r="AL52" s="191" t="str">
        <f>"  " &amp; TEXT(AE52,"#0.00%") &amp; " " &amp; "챕터별 퍼즐 형태 기획" &amp; "(회의)" &amp; " " &amp; IF(P52="","",TEXT(P52,"M/D-")) &amp; IF(Q52="","",TEXT(Q52,"M/D")) &amp; " "</f>
        <v xml:space="preserve">  100.00% 챕터별 퍼즐 형태 기획(회의) 12/22-1/10 </v>
      </c>
      <c r="AM52" s="191"/>
      <c r="AN52" s="191"/>
      <c r="AO52" s="191"/>
    </row>
    <row r="53" spans="1:41" ht="12" customHeight="1" outlineLevel="3">
      <c r="A53" s="203"/>
      <c r="B53" s="203" t="s">
        <v>1570</v>
      </c>
      <c r="C53" s="203">
        <v>4</v>
      </c>
      <c r="D53" s="214" t="s">
        <v>1599</v>
      </c>
      <c r="E53" s="204"/>
      <c r="F53" s="204"/>
      <c r="G53" s="204"/>
      <c r="H53" s="204" t="s">
        <v>1724</v>
      </c>
      <c r="I53" s="204"/>
      <c r="J53" s="204"/>
      <c r="K53" s="204"/>
      <c r="L53" s="204"/>
      <c r="M53" s="204"/>
      <c r="N53" s="204"/>
      <c r="O53" s="204"/>
      <c r="P53" s="205">
        <v>44568</v>
      </c>
      <c r="Q53" s="205">
        <v>44571</v>
      </c>
      <c r="R53" s="206"/>
      <c r="S53" s="207">
        <v>2</v>
      </c>
      <c r="T53" s="207">
        <v>0</v>
      </c>
      <c r="U53" s="207">
        <v>2</v>
      </c>
      <c r="V53" s="207">
        <v>0</v>
      </c>
      <c r="W53" s="205"/>
      <c r="X53" s="205"/>
      <c r="Y53" s="208">
        <v>0</v>
      </c>
      <c r="Z53" s="209">
        <v>0</v>
      </c>
      <c r="AA53" s="207"/>
      <c r="AB53" s="206"/>
      <c r="AC53" s="210"/>
      <c r="AD53" s="211">
        <v>0</v>
      </c>
      <c r="AE53" s="247">
        <v>0</v>
      </c>
      <c r="AF53" s="190"/>
      <c r="AG53" s="191"/>
      <c r="AH53" s="191"/>
      <c r="AI53" s="191"/>
      <c r="AJ53" s="191"/>
      <c r="AK53" s="191" t="str">
        <f>"     " &amp; TEXT(AE53,"#0.00%") &amp; " " &amp; "기획서 작성" &amp; " " &amp; IF(P53="","",TEXT(P53,"M/D-")) &amp; IF(Q53="","",TEXT(Q53,"M/D")) &amp; " "</f>
        <v xml:space="preserve">     0.00% 기획서 작성 1/7-1/10 </v>
      </c>
      <c r="AL53" s="191"/>
      <c r="AM53" s="191"/>
      <c r="AN53" s="191"/>
      <c r="AO53" s="191"/>
    </row>
    <row r="54" spans="1:41" ht="12" customHeight="1" outlineLevel="4">
      <c r="A54" s="203"/>
      <c r="B54" s="203"/>
      <c r="C54" s="203">
        <v>5</v>
      </c>
      <c r="D54" s="214" t="s">
        <v>1600</v>
      </c>
      <c r="E54" s="204"/>
      <c r="F54" s="204"/>
      <c r="G54" s="204"/>
      <c r="H54" s="204"/>
      <c r="I54" s="204" t="s">
        <v>1725</v>
      </c>
      <c r="J54" s="204"/>
      <c r="K54" s="204"/>
      <c r="L54" s="204"/>
      <c r="M54" s="204"/>
      <c r="N54" s="204"/>
      <c r="O54" s="204"/>
      <c r="P54" s="205">
        <v>44568</v>
      </c>
      <c r="Q54" s="205">
        <v>44571</v>
      </c>
      <c r="R54" s="206"/>
      <c r="S54" s="207">
        <v>2</v>
      </c>
      <c r="T54" s="207">
        <v>0</v>
      </c>
      <c r="U54" s="207">
        <v>2</v>
      </c>
      <c r="V54" s="207">
        <v>0</v>
      </c>
      <c r="W54" s="205"/>
      <c r="X54" s="205"/>
      <c r="Y54" s="208"/>
      <c r="Z54" s="209">
        <v>0</v>
      </c>
      <c r="AA54" s="207"/>
      <c r="AB54" s="206" t="s">
        <v>1579</v>
      </c>
      <c r="AC54" s="210"/>
      <c r="AD54" s="211">
        <v>0</v>
      </c>
      <c r="AE54" s="213">
        <v>0</v>
      </c>
      <c r="AF54" s="190"/>
      <c r="AG54" s="191"/>
      <c r="AH54" s="191"/>
      <c r="AI54" s="191"/>
      <c r="AJ54" s="191"/>
      <c r="AK54" s="191" t="str">
        <f>"     " &amp; TEXT(AE54,"#0.00%") &amp; " " &amp; "전체 게임의 기획서 작성" &amp; "(권성빈)" &amp; " " &amp; IF(P54="","",TEXT(P54,"M/D-")) &amp; IF(Q54="","",TEXT(Q54,"M/D")) &amp; " "</f>
        <v xml:space="preserve">     0.00% 전체 게임의 기획서 작성(권성빈) 1/7-1/10 </v>
      </c>
      <c r="AL54" s="191"/>
      <c r="AM54" s="191"/>
      <c r="AN54" s="191"/>
      <c r="AO54" s="191"/>
    </row>
    <row r="55" spans="1:41" ht="12" customHeight="1" outlineLevel="1">
      <c r="A55" s="203"/>
      <c r="B55" s="203" t="s">
        <v>1570</v>
      </c>
      <c r="C55" s="203">
        <v>2</v>
      </c>
      <c r="D55" s="214" t="s">
        <v>1086</v>
      </c>
      <c r="E55" s="204"/>
      <c r="F55" s="204" t="s">
        <v>1605</v>
      </c>
      <c r="G55" s="204"/>
      <c r="H55" s="204"/>
      <c r="I55" s="204"/>
      <c r="J55" s="204"/>
      <c r="K55" s="204"/>
      <c r="L55" s="204"/>
      <c r="M55" s="204"/>
      <c r="N55" s="204"/>
      <c r="O55" s="204"/>
      <c r="P55" s="205">
        <v>44558</v>
      </c>
      <c r="Q55" s="205">
        <v>44585</v>
      </c>
      <c r="R55" s="206"/>
      <c r="S55" s="207">
        <v>45</v>
      </c>
      <c r="T55" s="207">
        <v>29</v>
      </c>
      <c r="U55" s="207">
        <v>20</v>
      </c>
      <c r="V55" s="207">
        <v>8</v>
      </c>
      <c r="W55" s="205"/>
      <c r="X55" s="205"/>
      <c r="Y55" s="208">
        <v>0</v>
      </c>
      <c r="Z55" s="209">
        <v>0</v>
      </c>
      <c r="AA55" s="207"/>
      <c r="AB55" s="206"/>
      <c r="AC55" s="210"/>
      <c r="AD55" s="211">
        <v>0.64444444444444449</v>
      </c>
      <c r="AE55" s="251">
        <v>0.29888888888888887</v>
      </c>
      <c r="AF55" s="190"/>
      <c r="AG55" s="191"/>
      <c r="AH55" s="191"/>
      <c r="AI55" s="191"/>
      <c r="AJ55" s="191"/>
      <c r="AK55" s="191" t="str">
        <f>"   " &amp; TEXT(AE55,"#0.00%") &amp; " "</f>
        <v xml:space="preserve">   29.89% </v>
      </c>
      <c r="AL55" s="191"/>
      <c r="AM55" s="191"/>
      <c r="AN55" s="191" t="str">
        <f>"  " &amp; "아트 관련" &amp; " " &amp; IF(P55="","",TEXT(P55,"M/D-")) &amp; IF(Q55="","",TEXT(Q55,"M/D")) &amp; " "</f>
        <v xml:space="preserve">  아트 관련 12/28-1/24 </v>
      </c>
      <c r="AO55" s="191"/>
    </row>
    <row r="56" spans="1:41" ht="12" customHeight="1" outlineLevel="2">
      <c r="A56" s="203"/>
      <c r="B56" s="203" t="s">
        <v>1570</v>
      </c>
      <c r="C56" s="203">
        <v>3</v>
      </c>
      <c r="D56" s="214" t="s">
        <v>1087</v>
      </c>
      <c r="E56" s="204"/>
      <c r="F56" s="204"/>
      <c r="G56" s="204" t="s">
        <v>1606</v>
      </c>
      <c r="H56" s="204"/>
      <c r="I56" s="204"/>
      <c r="J56" s="204"/>
      <c r="K56" s="204"/>
      <c r="L56" s="204"/>
      <c r="M56" s="204"/>
      <c r="N56" s="204"/>
      <c r="O56" s="204"/>
      <c r="P56" s="205">
        <v>44558</v>
      </c>
      <c r="Q56" s="205">
        <v>44585</v>
      </c>
      <c r="R56" s="206"/>
      <c r="S56" s="207">
        <v>31</v>
      </c>
      <c r="T56" s="207">
        <v>16</v>
      </c>
      <c r="U56" s="207">
        <v>20</v>
      </c>
      <c r="V56" s="207">
        <v>8</v>
      </c>
      <c r="W56" s="205"/>
      <c r="X56" s="205"/>
      <c r="Y56" s="208">
        <v>0</v>
      </c>
      <c r="Z56" s="209">
        <v>0</v>
      </c>
      <c r="AA56" s="207"/>
      <c r="AB56" s="206"/>
      <c r="AC56" s="210"/>
      <c r="AD56" s="211">
        <v>0.5161290322580645</v>
      </c>
      <c r="AE56" s="251">
        <v>0.15161290322580645</v>
      </c>
      <c r="AF56" s="190"/>
      <c r="AG56" s="191"/>
      <c r="AH56" s="191"/>
      <c r="AI56" s="191"/>
      <c r="AJ56" s="191" t="str">
        <f>"      " &amp; TEXT(AE56,"#0.00%") &amp; " "</f>
        <v xml:space="preserve">      15.16% </v>
      </c>
      <c r="AK56" s="191"/>
      <c r="AL56" s="191"/>
      <c r="AM56" s="191"/>
      <c r="AN56" s="191" t="str">
        <f>"  " &amp; "3D 모델 작업" &amp; " " &amp; IF(P56="","",TEXT(P56,"M/D-")) &amp; IF(Q56="","",TEXT(Q56,"M/D")) &amp; " "</f>
        <v xml:space="preserve">  3D 모델 작업 12/28-1/24 </v>
      </c>
      <c r="AO56" s="191"/>
    </row>
    <row r="57" spans="1:41" ht="12" customHeight="1" outlineLevel="3">
      <c r="A57" s="203"/>
      <c r="B57" s="203" t="s">
        <v>1570</v>
      </c>
      <c r="C57" s="203">
        <v>4</v>
      </c>
      <c r="D57" s="214" t="s">
        <v>1609</v>
      </c>
      <c r="E57" s="204"/>
      <c r="F57" s="204"/>
      <c r="G57" s="204"/>
      <c r="H57" s="204" t="s">
        <v>1608</v>
      </c>
      <c r="I57" s="204"/>
      <c r="J57" s="204"/>
      <c r="K57" s="204"/>
      <c r="L57" s="204"/>
      <c r="M57" s="204"/>
      <c r="N57" s="204"/>
      <c r="O57" s="204"/>
      <c r="P57" s="205">
        <v>44558</v>
      </c>
      <c r="Q57" s="205">
        <v>44585</v>
      </c>
      <c r="R57" s="206"/>
      <c r="S57" s="207">
        <v>31</v>
      </c>
      <c r="T57" s="207">
        <v>16</v>
      </c>
      <c r="U57" s="207">
        <v>20</v>
      </c>
      <c r="V57" s="207">
        <v>8</v>
      </c>
      <c r="W57" s="205"/>
      <c r="X57" s="205"/>
      <c r="Y57" s="208">
        <v>0</v>
      </c>
      <c r="Z57" s="209">
        <v>0</v>
      </c>
      <c r="AA57" s="207"/>
      <c r="AB57" s="206"/>
      <c r="AC57" s="210"/>
      <c r="AD57" s="211">
        <v>0.5161290322580645</v>
      </c>
      <c r="AE57" s="251">
        <v>0.15161290322580645</v>
      </c>
      <c r="AF57" s="190"/>
      <c r="AG57" s="191"/>
      <c r="AH57" s="191"/>
      <c r="AI57" s="191"/>
      <c r="AJ57" s="191" t="str">
        <f>"      " &amp; TEXT(AE57,"#0.00%") &amp; " "</f>
        <v xml:space="preserve">      15.16% </v>
      </c>
      <c r="AK57" s="191"/>
      <c r="AL57" s="191"/>
      <c r="AM57" s="191"/>
      <c r="AN57" s="191" t="str">
        <f>"  " &amp; "각종 사물들 작업" &amp; " " &amp; IF(P57="","",TEXT(P57,"M/D-")) &amp; IF(Q57="","",TEXT(Q57,"M/D")) &amp; " "</f>
        <v xml:space="preserve">  각종 사물들 작업 12/28-1/24 </v>
      </c>
      <c r="AO57" s="191"/>
    </row>
    <row r="58" spans="1:41" ht="12" customHeight="1" outlineLevel="4">
      <c r="A58" s="203"/>
      <c r="B58" s="203" t="s">
        <v>1570</v>
      </c>
      <c r="C58" s="203">
        <v>5</v>
      </c>
      <c r="D58" s="214" t="s">
        <v>1618</v>
      </c>
      <c r="E58" s="204"/>
      <c r="F58" s="204"/>
      <c r="G58" s="204"/>
      <c r="H58" s="204"/>
      <c r="I58" s="204" t="s">
        <v>1625</v>
      </c>
      <c r="J58" s="204"/>
      <c r="K58" s="204"/>
      <c r="L58" s="204"/>
      <c r="M58" s="204"/>
      <c r="N58" s="204"/>
      <c r="O58" s="204"/>
      <c r="P58" s="205">
        <v>44558</v>
      </c>
      <c r="Q58" s="205">
        <v>44585</v>
      </c>
      <c r="R58" s="206"/>
      <c r="S58" s="207">
        <v>31</v>
      </c>
      <c r="T58" s="207">
        <v>16</v>
      </c>
      <c r="U58" s="207">
        <v>20</v>
      </c>
      <c r="V58" s="207">
        <v>8</v>
      </c>
      <c r="W58" s="205"/>
      <c r="X58" s="205"/>
      <c r="Y58" s="208">
        <v>0</v>
      </c>
      <c r="Z58" s="209">
        <v>0</v>
      </c>
      <c r="AA58" s="207"/>
      <c r="AB58" s="206"/>
      <c r="AC58" s="210"/>
      <c r="AD58" s="211">
        <v>0.5161290322580645</v>
      </c>
      <c r="AE58" s="251">
        <v>0.15161290322580645</v>
      </c>
      <c r="AF58" s="190"/>
      <c r="AG58" s="191"/>
      <c r="AH58" s="191"/>
      <c r="AI58" s="191"/>
      <c r="AJ58" s="191" t="str">
        <f>"      " &amp; TEXT(AE58,"#0.00%") &amp; " "</f>
        <v xml:space="preserve">      15.16% </v>
      </c>
      <c r="AK58" s="191"/>
      <c r="AL58" s="191"/>
      <c r="AM58" s="191"/>
      <c r="AN58" s="191" t="str">
        <f>"  " &amp; "01. 튜토리얼" &amp; " " &amp; IF(P58="","",TEXT(P58,"M/D-")) &amp; IF(Q58="","",TEXT(Q58,"M/D")) &amp; " "</f>
        <v xml:space="preserve">  01. 튜토리얼 12/28-1/24 </v>
      </c>
      <c r="AO58" s="191"/>
    </row>
    <row r="59" spans="1:41" ht="12" customHeight="1" outlineLevel="5">
      <c r="A59" s="203"/>
      <c r="B59" s="203" t="s">
        <v>1570</v>
      </c>
      <c r="C59" s="203">
        <v>6</v>
      </c>
      <c r="D59" s="214" t="s">
        <v>1622</v>
      </c>
      <c r="E59" s="204"/>
      <c r="F59" s="204"/>
      <c r="G59" s="204"/>
      <c r="H59" s="204"/>
      <c r="I59" s="204"/>
      <c r="J59" s="204" t="s">
        <v>1617</v>
      </c>
      <c r="K59" s="204"/>
      <c r="L59" s="204"/>
      <c r="M59" s="204"/>
      <c r="N59" s="204"/>
      <c r="O59" s="204"/>
      <c r="P59" s="205">
        <v>44558</v>
      </c>
      <c r="Q59" s="205">
        <v>44577</v>
      </c>
      <c r="R59" s="206"/>
      <c r="S59" s="207">
        <v>24</v>
      </c>
      <c r="T59" s="207">
        <v>16</v>
      </c>
      <c r="U59" s="207">
        <v>14</v>
      </c>
      <c r="V59" s="207">
        <v>8</v>
      </c>
      <c r="W59" s="205"/>
      <c r="X59" s="205"/>
      <c r="Y59" s="208">
        <v>0</v>
      </c>
      <c r="Z59" s="209">
        <v>0</v>
      </c>
      <c r="AA59" s="207"/>
      <c r="AB59" s="206"/>
      <c r="AC59" s="210"/>
      <c r="AD59" s="211">
        <v>0.66666666666666663</v>
      </c>
      <c r="AE59" s="251">
        <v>0.19583333333333333</v>
      </c>
      <c r="AF59" s="190"/>
      <c r="AG59" s="191"/>
      <c r="AH59" s="191"/>
      <c r="AI59" s="191"/>
      <c r="AJ59" s="191" t="str">
        <f>"      " &amp; TEXT(AE59,"#0.00%") &amp; " " &amp; "튜토리얼 관련 프롭 제작" &amp; " " &amp; IF(P59="","",TEXT(P59,"M/D-")) &amp; IF(Q59="","",TEXT(Q59,"M/D")) &amp; " "</f>
        <v xml:space="preserve">      19.58% 튜토리얼 관련 프롭 제작 12/28-1/16 </v>
      </c>
      <c r="AK59" s="191"/>
      <c r="AL59" s="191"/>
      <c r="AM59" s="191"/>
      <c r="AN59" s="191"/>
      <c r="AO59" s="191"/>
    </row>
    <row r="60" spans="1:41" ht="12" customHeight="1" outlineLevel="6">
      <c r="A60" s="203"/>
      <c r="B60" s="203"/>
      <c r="C60" s="203">
        <v>7</v>
      </c>
      <c r="D60" s="214" t="s">
        <v>1644</v>
      </c>
      <c r="E60" s="204"/>
      <c r="F60" s="204"/>
      <c r="G60" s="204"/>
      <c r="H60" s="204"/>
      <c r="I60" s="204"/>
      <c r="J60" s="204"/>
      <c r="K60" s="204" t="s">
        <v>1639</v>
      </c>
      <c r="L60" s="204"/>
      <c r="M60" s="204"/>
      <c r="N60" s="204"/>
      <c r="O60" s="204"/>
      <c r="P60" s="205">
        <v>44558</v>
      </c>
      <c r="Q60" s="205">
        <v>44571</v>
      </c>
      <c r="R60" s="206"/>
      <c r="S60" s="207">
        <v>10</v>
      </c>
      <c r="T60" s="207">
        <v>8</v>
      </c>
      <c r="U60" s="207">
        <v>10</v>
      </c>
      <c r="V60" s="207">
        <v>8</v>
      </c>
      <c r="W60" s="205"/>
      <c r="X60" s="205"/>
      <c r="Y60" s="208"/>
      <c r="Z60" s="209">
        <v>0</v>
      </c>
      <c r="AA60" s="207"/>
      <c r="AB60" s="206" t="s">
        <v>1603</v>
      </c>
      <c r="AC60" s="210"/>
      <c r="AD60" s="211">
        <v>0.8</v>
      </c>
      <c r="AE60" s="250">
        <v>0.33</v>
      </c>
      <c r="AF60" s="190"/>
      <c r="AG60" s="191"/>
      <c r="AH60" s="191"/>
      <c r="AI60" s="191"/>
      <c r="AJ60" s="191"/>
      <c r="AK60" s="191" t="str">
        <f>"" &amp; TEXT(AE60,"#0.00%") &amp; " " &amp; "러시아워 퍼즐 프롭 제작" &amp; "(황민재)" &amp; " " &amp; IF(P60="","",TEXT(P60,"M/D-")) &amp; IF(Q60="","",TEXT(Q60,"M/D")) &amp; " "</f>
        <v xml:space="preserve">33.00% 러시아워 퍼즐 프롭 제작(황민재) 12/28-1/10 </v>
      </c>
      <c r="AL60" s="191"/>
      <c r="AM60" s="191"/>
      <c r="AN60" s="191"/>
      <c r="AO60" s="191"/>
    </row>
    <row r="61" spans="1:41" ht="12" customHeight="1" outlineLevel="6">
      <c r="A61" s="203"/>
      <c r="B61" s="203"/>
      <c r="C61" s="203">
        <v>7</v>
      </c>
      <c r="D61" s="214" t="s">
        <v>1646</v>
      </c>
      <c r="E61" s="204"/>
      <c r="F61" s="204"/>
      <c r="G61" s="204"/>
      <c r="H61" s="204"/>
      <c r="I61" s="204"/>
      <c r="J61" s="204"/>
      <c r="K61" s="204" t="s">
        <v>1645</v>
      </c>
      <c r="L61" s="204"/>
      <c r="M61" s="204"/>
      <c r="N61" s="204"/>
      <c r="O61" s="204"/>
      <c r="P61" s="205">
        <v>44558</v>
      </c>
      <c r="Q61" s="205">
        <v>44577</v>
      </c>
      <c r="R61" s="206"/>
      <c r="S61" s="207">
        <v>14</v>
      </c>
      <c r="T61" s="207">
        <v>8</v>
      </c>
      <c r="U61" s="207">
        <v>14</v>
      </c>
      <c r="V61" s="207">
        <v>8</v>
      </c>
      <c r="W61" s="205"/>
      <c r="X61" s="205"/>
      <c r="Y61" s="208"/>
      <c r="Z61" s="209">
        <v>0</v>
      </c>
      <c r="AA61" s="207"/>
      <c r="AB61" s="206" t="s">
        <v>1603</v>
      </c>
      <c r="AC61" s="210"/>
      <c r="AD61" s="211">
        <v>0.5714285714285714</v>
      </c>
      <c r="AE61" s="250">
        <v>0.1</v>
      </c>
      <c r="AF61" s="190"/>
      <c r="AG61" s="191"/>
      <c r="AH61" s="191"/>
      <c r="AI61" s="191"/>
      <c r="AJ61" s="191" t="str">
        <f>"    " &amp; TEXT(AE61,"#0.00%") &amp; " " &amp; "튜토리얼 맵 프롭" &amp; "(황민재)" &amp; " " &amp; IF(P61="","",TEXT(P61,"M/D-")) &amp; IF(Q61="","",TEXT(Q61,"M/D")) &amp; " "</f>
        <v xml:space="preserve">    10.00% 튜토리얼 맵 프롭(황민재) 12/28-1/16 </v>
      </c>
      <c r="AK61" s="191"/>
      <c r="AL61" s="191"/>
      <c r="AM61" s="191"/>
      <c r="AN61" s="191"/>
      <c r="AO61" s="191"/>
    </row>
    <row r="62" spans="1:41" ht="12" customHeight="1" outlineLevel="5">
      <c r="A62" s="204" t="s">
        <v>1639</v>
      </c>
      <c r="B62" s="203"/>
      <c r="C62" s="203">
        <v>6</v>
      </c>
      <c r="D62" s="214" t="s">
        <v>1623</v>
      </c>
      <c r="E62" s="204"/>
      <c r="F62" s="204"/>
      <c r="G62" s="204"/>
      <c r="H62" s="204"/>
      <c r="I62" s="204"/>
      <c r="J62" s="204" t="s">
        <v>1619</v>
      </c>
      <c r="K62" s="204"/>
      <c r="L62" s="204"/>
      <c r="M62" s="204"/>
      <c r="N62" s="204"/>
      <c r="O62" s="204"/>
      <c r="P62" s="205">
        <v>44578</v>
      </c>
      <c r="Q62" s="205">
        <v>44581</v>
      </c>
      <c r="R62" s="206"/>
      <c r="S62" s="207">
        <v>4</v>
      </c>
      <c r="T62" s="207">
        <v>0</v>
      </c>
      <c r="U62" s="207">
        <v>4</v>
      </c>
      <c r="V62" s="207">
        <v>0</v>
      </c>
      <c r="W62" s="205"/>
      <c r="X62" s="205"/>
      <c r="Y62" s="208"/>
      <c r="Z62" s="209">
        <v>0</v>
      </c>
      <c r="AA62" s="207"/>
      <c r="AB62" s="206" t="s">
        <v>1603</v>
      </c>
      <c r="AC62" s="210"/>
      <c r="AD62" s="211">
        <v>0</v>
      </c>
      <c r="AE62" s="213">
        <v>0</v>
      </c>
      <c r="AF62" s="190"/>
      <c r="AG62" s="191"/>
      <c r="AH62" s="191"/>
      <c r="AI62" s="191"/>
      <c r="AJ62" s="191"/>
      <c r="AK62" s="191"/>
      <c r="AL62" s="191"/>
      <c r="AM62" s="191" t="str">
        <f>" " &amp; TEXT(AE62,"#0.00%") &amp; " " &amp; "튜토리얼 관련 맵 제작" &amp; "(황민재)" &amp; " " &amp; IF(P62="","",TEXT(P62,"M/D-")) &amp; IF(Q62="","",TEXT(Q62,"M/D")) &amp; " "</f>
        <v xml:space="preserve"> 0.00% 튜토리얼 관련 맵 제작(황민재) 1/17-1/20 </v>
      </c>
      <c r="AN62" s="191"/>
      <c r="AO62" s="191"/>
    </row>
    <row r="63" spans="1:41" ht="12" customHeight="1" outlineLevel="5">
      <c r="A63" s="203"/>
      <c r="B63" s="203"/>
      <c r="C63" s="203">
        <v>6</v>
      </c>
      <c r="D63" s="214" t="s">
        <v>1624</v>
      </c>
      <c r="E63" s="204"/>
      <c r="F63" s="204"/>
      <c r="G63" s="204"/>
      <c r="H63" s="204"/>
      <c r="I63" s="204"/>
      <c r="J63" s="204" t="s">
        <v>1620</v>
      </c>
      <c r="K63" s="204"/>
      <c r="L63" s="204"/>
      <c r="M63" s="204"/>
      <c r="N63" s="204"/>
      <c r="O63" s="204"/>
      <c r="P63" s="205">
        <v>44581</v>
      </c>
      <c r="Q63" s="205">
        <v>44585</v>
      </c>
      <c r="R63" s="206"/>
      <c r="S63" s="207">
        <v>3</v>
      </c>
      <c r="T63" s="207">
        <v>0</v>
      </c>
      <c r="U63" s="207">
        <v>3</v>
      </c>
      <c r="V63" s="207">
        <v>0</v>
      </c>
      <c r="W63" s="205"/>
      <c r="X63" s="205"/>
      <c r="Y63" s="208"/>
      <c r="Z63" s="209">
        <v>0</v>
      </c>
      <c r="AA63" s="207"/>
      <c r="AB63" s="206" t="s">
        <v>1603</v>
      </c>
      <c r="AC63" s="210"/>
      <c r="AD63" s="211">
        <v>0</v>
      </c>
      <c r="AE63" s="213">
        <v>0</v>
      </c>
      <c r="AF63" s="190"/>
      <c r="AG63" s="191"/>
      <c r="AH63" s="191"/>
      <c r="AI63" s="191"/>
      <c r="AJ63" s="191"/>
      <c r="AK63" s="191"/>
      <c r="AL63" s="191"/>
      <c r="AM63" s="191" t="str">
        <f>"    " &amp; TEXT(AE63,"#0.00%") &amp; " " &amp; "튜토리얼 맵에 사물 배치 ( 기획 적용 )" &amp; "(황민재)" &amp; " " &amp; IF(P63="","",TEXT(P63,"M/D-")) &amp; IF(Q63="","",TEXT(Q63,"M/D")) &amp; " "</f>
        <v xml:space="preserve">    0.00% 튜토리얼 맵에 사물 배치 ( 기획 적용 )(황민재) 1/20-1/24 </v>
      </c>
      <c r="AN63" s="191"/>
      <c r="AO63" s="191"/>
    </row>
    <row r="64" spans="1:41" ht="12" customHeight="1" outlineLevel="2">
      <c r="A64" s="203"/>
      <c r="B64" s="203" t="s">
        <v>1570</v>
      </c>
      <c r="C64" s="203">
        <v>3</v>
      </c>
      <c r="D64" s="214" t="s">
        <v>1107</v>
      </c>
      <c r="E64" s="204"/>
      <c r="F64" s="204"/>
      <c r="G64" s="204" t="s">
        <v>1607</v>
      </c>
      <c r="H64" s="204"/>
      <c r="I64" s="204"/>
      <c r="J64" s="204"/>
      <c r="K64" s="204"/>
      <c r="L64" s="204"/>
      <c r="M64" s="204"/>
      <c r="N64" s="204"/>
      <c r="O64" s="204"/>
      <c r="P64" s="205">
        <v>44558</v>
      </c>
      <c r="Q64" s="205">
        <v>44568</v>
      </c>
      <c r="R64" s="206"/>
      <c r="S64" s="207">
        <v>14</v>
      </c>
      <c r="T64" s="207">
        <v>13</v>
      </c>
      <c r="U64" s="207">
        <v>9</v>
      </c>
      <c r="V64" s="207">
        <v>8</v>
      </c>
      <c r="W64" s="205"/>
      <c r="X64" s="205"/>
      <c r="Y64" s="208">
        <v>0</v>
      </c>
      <c r="Z64" s="209">
        <v>0</v>
      </c>
      <c r="AA64" s="207"/>
      <c r="AB64" s="206"/>
      <c r="AC64" s="210"/>
      <c r="AD64" s="211">
        <v>0.9285714285714286</v>
      </c>
      <c r="AE64" s="251">
        <v>0.625</v>
      </c>
      <c r="AF64" s="190"/>
      <c r="AG64" s="191"/>
      <c r="AH64" s="191"/>
      <c r="AI64" s="191"/>
      <c r="AJ64" s="191"/>
      <c r="AK64" s="191" t="str">
        <f>"  " &amp; TEXT(AE64,"#0.00%") &amp; " " &amp; "2D 이미지 작업" &amp; " " &amp; IF(P64="","",TEXT(P64,"M/D-")) &amp; IF(Q64="","",TEXT(Q64,"M/D")) &amp; " "</f>
        <v xml:space="preserve">  62.50% 2D 이미지 작업 12/28-1/7 </v>
      </c>
      <c r="AL64" s="191"/>
      <c r="AM64" s="191"/>
      <c r="AN64" s="191"/>
      <c r="AO64" s="191"/>
    </row>
    <row r="65" spans="1:41" ht="12" customHeight="1" outlineLevel="3">
      <c r="A65" s="203"/>
      <c r="B65" s="203" t="s">
        <v>1570</v>
      </c>
      <c r="C65" s="203">
        <v>4</v>
      </c>
      <c r="D65" s="214" t="s">
        <v>1610</v>
      </c>
      <c r="E65" s="204"/>
      <c r="F65" s="204"/>
      <c r="G65" s="204"/>
      <c r="H65" s="204" t="s">
        <v>1621</v>
      </c>
      <c r="I65" s="204"/>
      <c r="J65" s="204"/>
      <c r="K65" s="204"/>
      <c r="L65" s="204"/>
      <c r="M65" s="204"/>
      <c r="N65" s="204"/>
      <c r="O65" s="204"/>
      <c r="P65" s="205">
        <v>44558</v>
      </c>
      <c r="Q65" s="205">
        <v>44568</v>
      </c>
      <c r="R65" s="206"/>
      <c r="S65" s="207">
        <v>14</v>
      </c>
      <c r="T65" s="207">
        <v>13</v>
      </c>
      <c r="U65" s="207">
        <v>9</v>
      </c>
      <c r="V65" s="207">
        <v>8</v>
      </c>
      <c r="W65" s="205"/>
      <c r="X65" s="205"/>
      <c r="Y65" s="208">
        <v>0</v>
      </c>
      <c r="Z65" s="209">
        <v>0</v>
      </c>
      <c r="AA65" s="207"/>
      <c r="AB65" s="206"/>
      <c r="AC65" s="210"/>
      <c r="AD65" s="211">
        <v>0.9285714285714286</v>
      </c>
      <c r="AE65" s="251">
        <v>0.625</v>
      </c>
      <c r="AF65" s="190"/>
      <c r="AG65" s="191"/>
      <c r="AH65" s="191"/>
      <c r="AI65" s="191"/>
      <c r="AJ65" s="191"/>
      <c r="AK65" s="191" t="str">
        <f>"  " &amp; TEXT(AE65,"#0.00%") &amp; " " &amp; "UI 디자인 및 기획" &amp; " " &amp; IF(P65="","",TEXT(P65,"M/D-")) &amp; IF(Q65="","",TEXT(Q65,"M/D")) &amp; " "</f>
        <v xml:space="preserve">  62.50% UI 디자인 및 기획 12/28-1/7 </v>
      </c>
      <c r="AL65" s="191"/>
      <c r="AM65" s="191"/>
      <c r="AN65" s="191"/>
      <c r="AO65" s="191"/>
    </row>
    <row r="66" spans="1:41" ht="12" customHeight="1" outlineLevel="4">
      <c r="A66" s="203"/>
      <c r="B66" s="203"/>
      <c r="C66" s="203">
        <v>5</v>
      </c>
      <c r="D66" s="214" t="s">
        <v>1627</v>
      </c>
      <c r="E66" s="204"/>
      <c r="F66" s="204"/>
      <c r="G66" s="204"/>
      <c r="H66" s="204"/>
      <c r="I66" s="204" t="s">
        <v>1626</v>
      </c>
      <c r="J66" s="204"/>
      <c r="K66" s="204"/>
      <c r="L66" s="204"/>
      <c r="M66" s="204"/>
      <c r="N66" s="204"/>
      <c r="O66" s="204"/>
      <c r="P66" s="205">
        <v>44558</v>
      </c>
      <c r="Q66" s="205">
        <v>44564</v>
      </c>
      <c r="R66" s="206"/>
      <c r="S66" s="207">
        <v>5</v>
      </c>
      <c r="T66" s="207">
        <v>5</v>
      </c>
      <c r="U66" s="207">
        <v>5</v>
      </c>
      <c r="V66" s="207">
        <v>5</v>
      </c>
      <c r="W66" s="205"/>
      <c r="X66" s="205"/>
      <c r="Y66" s="208"/>
      <c r="Z66" s="209">
        <v>0</v>
      </c>
      <c r="AA66" s="207">
        <v>1</v>
      </c>
      <c r="AB66" s="206" t="s">
        <v>1704</v>
      </c>
      <c r="AC66" s="210"/>
      <c r="AD66" s="211">
        <v>1</v>
      </c>
      <c r="AE66" s="250">
        <v>0.6</v>
      </c>
      <c r="AF66" s="190"/>
      <c r="AG66" s="191"/>
      <c r="AH66" s="191"/>
      <c r="AI66" s="191"/>
      <c r="AJ66" s="191" t="str">
        <f>"      " &amp; TEXT(AE66,"#0.00%") &amp; " " &amp; "타이틀 화면 UI 디자인" &amp; "(이재유 및 팀원)" &amp; " " &amp; IF(P66="","",TEXT(P66,"M/D-")) &amp; IF(Q66="","",TEXT(Q66,"M/D")) &amp; " "</f>
        <v xml:space="preserve">      60.00% 타이틀 화면 UI 디자인(이재유 및 팀원) 12/28-1/3 </v>
      </c>
      <c r="AK66" s="191"/>
      <c r="AL66" s="191"/>
      <c r="AM66" s="191"/>
      <c r="AN66" s="191"/>
      <c r="AO66" s="191"/>
    </row>
    <row r="67" spans="1:41" ht="12" customHeight="1" outlineLevel="4">
      <c r="A67" s="203"/>
      <c r="B67" s="203"/>
      <c r="C67" s="203">
        <v>5</v>
      </c>
      <c r="D67" s="214" t="s">
        <v>1628</v>
      </c>
      <c r="E67" s="204"/>
      <c r="F67" s="204"/>
      <c r="G67" s="204"/>
      <c r="H67" s="204"/>
      <c r="I67" s="204" t="s">
        <v>1661</v>
      </c>
      <c r="J67" s="204"/>
      <c r="K67" s="204"/>
      <c r="L67" s="204"/>
      <c r="M67" s="204"/>
      <c r="N67" s="204"/>
      <c r="O67" s="204"/>
      <c r="P67" s="205">
        <v>44562</v>
      </c>
      <c r="Q67" s="205">
        <v>44564</v>
      </c>
      <c r="R67" s="206"/>
      <c r="S67" s="207">
        <v>1</v>
      </c>
      <c r="T67" s="207">
        <v>1</v>
      </c>
      <c r="U67" s="207">
        <v>1</v>
      </c>
      <c r="V67" s="207">
        <v>1</v>
      </c>
      <c r="W67" s="205"/>
      <c r="X67" s="205"/>
      <c r="Y67" s="208"/>
      <c r="Z67" s="209">
        <v>0</v>
      </c>
      <c r="AA67" s="207">
        <v>1</v>
      </c>
      <c r="AB67" s="206" t="s">
        <v>1703</v>
      </c>
      <c r="AC67" s="210"/>
      <c r="AD67" s="211">
        <v>1</v>
      </c>
      <c r="AE67" s="250">
        <v>0.75</v>
      </c>
      <c r="AF67" s="190"/>
      <c r="AG67" s="191"/>
      <c r="AH67" s="191"/>
      <c r="AI67" s="191"/>
      <c r="AJ67" s="191"/>
      <c r="AK67" s="191" t="str">
        <f>" " &amp; TEXT(AE67,"#0.00%") &amp; " " &amp; "인벤토리 기획" &amp; "(이재유 / 권성빈)" &amp; " " &amp; IF(P67="","",TEXT(P67,"M/D-")) &amp; IF(Q67="","",TEXT(Q67,"M/D")) &amp; " "</f>
        <v xml:space="preserve"> 75.00% 인벤토리 기획(이재유 / 권성빈) 1/1-1/3 </v>
      </c>
      <c r="AL67" s="191"/>
      <c r="AM67" s="191"/>
      <c r="AN67" s="191"/>
      <c r="AO67" s="191"/>
    </row>
    <row r="68" spans="1:41" ht="12" customHeight="1" outlineLevel="4">
      <c r="A68" s="203"/>
      <c r="B68" s="203"/>
      <c r="C68" s="203">
        <v>5</v>
      </c>
      <c r="D68" s="214" t="s">
        <v>1663</v>
      </c>
      <c r="E68" s="204"/>
      <c r="F68" s="204"/>
      <c r="G68" s="204"/>
      <c r="H68" s="204"/>
      <c r="I68" s="204" t="s">
        <v>1662</v>
      </c>
      <c r="J68" s="204"/>
      <c r="K68" s="204"/>
      <c r="L68" s="204"/>
      <c r="M68" s="204"/>
      <c r="N68" s="204"/>
      <c r="O68" s="204"/>
      <c r="P68" s="205">
        <v>44564</v>
      </c>
      <c r="Q68" s="205">
        <v>44566</v>
      </c>
      <c r="R68" s="206"/>
      <c r="S68" s="207">
        <v>3</v>
      </c>
      <c r="T68" s="207">
        <v>3</v>
      </c>
      <c r="U68" s="207">
        <v>3</v>
      </c>
      <c r="V68" s="207">
        <v>3</v>
      </c>
      <c r="W68" s="205"/>
      <c r="X68" s="205"/>
      <c r="Y68" s="208"/>
      <c r="Z68" s="209">
        <v>0</v>
      </c>
      <c r="AA68" s="207">
        <v>1</v>
      </c>
      <c r="AB68" s="206" t="s">
        <v>1703</v>
      </c>
      <c r="AC68" s="210"/>
      <c r="AD68" s="211">
        <v>1</v>
      </c>
      <c r="AE68" s="250">
        <v>0</v>
      </c>
      <c r="AF68" s="190"/>
      <c r="AG68" s="191"/>
      <c r="AH68" s="191"/>
      <c r="AI68" s="191"/>
      <c r="AJ68" s="191"/>
      <c r="AK68" s="191" t="str">
        <f>" " &amp; TEXT(AE68,"#0.00%") &amp; " " &amp; "진단서 UI 기획" &amp; "(이재유 / 권성빈)" &amp; " " &amp; IF(P68="","",TEXT(P68,"M/D-")) &amp; IF(Q68="","",TEXT(Q68,"M/D")) &amp; " "</f>
        <v xml:space="preserve"> 0.00% 진단서 UI 기획(이재유 / 권성빈) 1/3-1/5 </v>
      </c>
      <c r="AL68" s="191"/>
      <c r="AM68" s="191"/>
      <c r="AN68" s="191"/>
      <c r="AO68" s="191"/>
    </row>
    <row r="69" spans="1:41" ht="12" customHeight="1" outlineLevel="4">
      <c r="A69" s="203"/>
      <c r="B69" s="203"/>
      <c r="C69" s="203">
        <v>5</v>
      </c>
      <c r="D69" s="214" t="s">
        <v>1665</v>
      </c>
      <c r="E69" s="204"/>
      <c r="F69" s="204"/>
      <c r="G69" s="204"/>
      <c r="H69" s="204"/>
      <c r="I69" s="204" t="s">
        <v>1664</v>
      </c>
      <c r="J69" s="204"/>
      <c r="K69" s="204"/>
      <c r="L69" s="204"/>
      <c r="M69" s="204"/>
      <c r="N69" s="204"/>
      <c r="O69" s="204"/>
      <c r="P69" s="205">
        <v>44564</v>
      </c>
      <c r="Q69" s="205">
        <v>44568</v>
      </c>
      <c r="R69" s="206"/>
      <c r="S69" s="207">
        <v>5</v>
      </c>
      <c r="T69" s="207">
        <v>4</v>
      </c>
      <c r="U69" s="207">
        <v>5</v>
      </c>
      <c r="V69" s="207">
        <v>4</v>
      </c>
      <c r="W69" s="205"/>
      <c r="X69" s="205"/>
      <c r="Y69" s="208"/>
      <c r="Z69" s="209">
        <v>0</v>
      </c>
      <c r="AA69" s="207">
        <v>1</v>
      </c>
      <c r="AB69" s="206" t="s">
        <v>1703</v>
      </c>
      <c r="AC69" s="210"/>
      <c r="AD69" s="211">
        <v>0.8</v>
      </c>
      <c r="AE69" s="248">
        <v>1</v>
      </c>
      <c r="AF69" s="190"/>
      <c r="AG69" s="191"/>
      <c r="AH69" s="191"/>
      <c r="AI69" s="191"/>
      <c r="AJ69" s="191"/>
      <c r="AK69" s="191" t="str">
        <f>"      " &amp; TEXT(AE69,"#0.00%") &amp; " " &amp; "인게임 일시정지 메뉴 기획" &amp; "(이재유 / 권성빈)" &amp; " " &amp; IF(P69="","",TEXT(P69,"M/D-")) &amp; IF(Q69="","",TEXT(Q69,"M/D")) &amp; " "</f>
        <v xml:space="preserve">      100.00% 인게임 일시정지 메뉴 기획(이재유 / 권성빈) 1/3-1/7 </v>
      </c>
      <c r="AL69" s="191"/>
      <c r="AM69" s="191"/>
      <c r="AN69" s="191"/>
      <c r="AO69" s="191"/>
    </row>
    <row r="70" spans="1:41" ht="12" customHeight="1">
      <c r="A70" s="236"/>
      <c r="B70" s="236"/>
      <c r="C70" s="236">
        <v>0</v>
      </c>
      <c r="D70" s="237"/>
      <c r="E70" s="238"/>
      <c r="F70" s="238"/>
      <c r="G70" s="238"/>
      <c r="H70" s="238"/>
      <c r="I70" s="238"/>
      <c r="J70" s="238"/>
      <c r="K70" s="238"/>
      <c r="L70" s="238"/>
      <c r="M70" s="238"/>
      <c r="N70" s="238"/>
      <c r="O70" s="238"/>
      <c r="P70" s="239"/>
      <c r="Q70" s="239"/>
      <c r="R70" s="240"/>
      <c r="S70" s="241"/>
      <c r="T70" s="241"/>
      <c r="U70" s="241"/>
      <c r="V70" s="241"/>
      <c r="W70" s="239"/>
      <c r="X70" s="239"/>
      <c r="Y70" s="242"/>
      <c r="Z70" s="243">
        <v>0</v>
      </c>
      <c r="AA70" s="241"/>
      <c r="AB70" s="240"/>
      <c r="AC70" s="244"/>
      <c r="AD70" s="245"/>
      <c r="AE70" s="246"/>
      <c r="AF70" s="189"/>
      <c r="AG70" s="189"/>
      <c r="AH70" s="189"/>
      <c r="AI70" s="189"/>
      <c r="AJ70" s="189"/>
      <c r="AK70" s="189"/>
      <c r="AL70" s="189"/>
      <c r="AM70" s="189"/>
      <c r="AN70" s="189"/>
      <c r="AO70" s="189"/>
    </row>
    <row r="71" spans="1:41" ht="12" customHeight="1">
      <c r="A71" s="203"/>
      <c r="B71" s="203"/>
      <c r="C71" s="203">
        <v>0</v>
      </c>
      <c r="D71" s="214"/>
      <c r="E71" s="204"/>
      <c r="F71" s="204"/>
      <c r="G71" s="204"/>
      <c r="H71" s="204"/>
      <c r="I71" s="204"/>
      <c r="J71" s="204"/>
      <c r="K71" s="204"/>
      <c r="L71" s="204"/>
      <c r="M71" s="204"/>
      <c r="N71" s="204"/>
      <c r="O71" s="204"/>
      <c r="P71" s="205"/>
      <c r="Q71" s="205"/>
      <c r="R71" s="206"/>
      <c r="S71" s="207"/>
      <c r="T71" s="207"/>
      <c r="U71" s="207"/>
      <c r="V71" s="207"/>
      <c r="W71" s="205"/>
      <c r="X71" s="205"/>
      <c r="Y71" s="208"/>
      <c r="Z71" s="209">
        <v>0</v>
      </c>
      <c r="AA71" s="207"/>
      <c r="AB71" s="206"/>
      <c r="AC71" s="210"/>
      <c r="AD71" s="211"/>
      <c r="AE71" s="216"/>
    </row>
    <row r="72" spans="1:41" ht="12" customHeight="1">
      <c r="A72" s="203"/>
      <c r="B72" s="203"/>
      <c r="C72" s="203">
        <v>0</v>
      </c>
      <c r="D72" s="214"/>
      <c r="E72" s="204"/>
      <c r="F72" s="204"/>
      <c r="G72" s="204"/>
      <c r="H72" s="204"/>
      <c r="I72" s="204"/>
      <c r="J72" s="204"/>
      <c r="K72" s="204"/>
      <c r="L72" s="204"/>
      <c r="M72" s="204"/>
      <c r="N72" s="204"/>
      <c r="O72" s="204"/>
      <c r="P72" s="205"/>
      <c r="Q72" s="205"/>
      <c r="R72" s="206"/>
      <c r="S72" s="207"/>
      <c r="T72" s="207"/>
      <c r="U72" s="207"/>
      <c r="V72" s="207"/>
      <c r="W72" s="205"/>
      <c r="X72" s="205"/>
      <c r="Y72" s="208"/>
      <c r="Z72" s="209">
        <v>0</v>
      </c>
      <c r="AA72" s="207">
        <v>1</v>
      </c>
      <c r="AB72" s="206"/>
      <c r="AC72" s="210"/>
      <c r="AD72" s="211"/>
      <c r="AE72" s="216"/>
    </row>
    <row r="73" spans="1:41" ht="12" customHeight="1">
      <c r="A73" s="203"/>
      <c r="B73" s="203"/>
      <c r="C73" s="203">
        <v>0</v>
      </c>
      <c r="D73" s="214"/>
      <c r="E73" s="204"/>
      <c r="F73" s="204"/>
      <c r="G73" s="204"/>
      <c r="H73" s="204"/>
      <c r="I73" s="204"/>
      <c r="J73" s="204"/>
      <c r="K73" s="204"/>
      <c r="L73" s="204"/>
      <c r="M73" s="204"/>
      <c r="N73" s="204"/>
      <c r="O73" s="204"/>
      <c r="P73" s="205"/>
      <c r="Q73" s="205"/>
      <c r="R73" s="206"/>
      <c r="S73" s="207"/>
      <c r="T73" s="207"/>
      <c r="U73" s="207"/>
      <c r="V73" s="207"/>
      <c r="W73" s="205"/>
      <c r="X73" s="205"/>
      <c r="Y73" s="208"/>
      <c r="Z73" s="209">
        <v>0</v>
      </c>
      <c r="AA73" s="207"/>
      <c r="AB73" s="206"/>
      <c r="AC73" s="210"/>
      <c r="AD73" s="211"/>
      <c r="AE73" s="216"/>
    </row>
    <row r="74" spans="1:41" ht="12" customHeight="1">
      <c r="A74" s="203"/>
      <c r="B74" s="203"/>
      <c r="C74" s="203">
        <v>0</v>
      </c>
      <c r="D74" s="214"/>
      <c r="E74" s="204"/>
      <c r="F74" s="204"/>
      <c r="G74" s="204"/>
      <c r="H74" s="204"/>
      <c r="I74" s="204"/>
      <c r="J74" s="204"/>
      <c r="K74" s="204"/>
      <c r="L74" s="204"/>
      <c r="M74" s="204"/>
      <c r="N74" s="204"/>
      <c r="O74" s="204"/>
      <c r="P74" s="205"/>
      <c r="Q74" s="205"/>
      <c r="R74" s="206"/>
      <c r="S74" s="207"/>
      <c r="T74" s="207"/>
      <c r="U74" s="207"/>
      <c r="V74" s="207"/>
      <c r="W74" s="205"/>
      <c r="X74" s="205"/>
      <c r="Y74" s="208"/>
      <c r="Z74" s="209">
        <v>0</v>
      </c>
      <c r="AA74" s="207"/>
      <c r="AB74" s="206"/>
      <c r="AC74" s="210"/>
      <c r="AD74" s="211"/>
      <c r="AE74" s="216"/>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v>1</v>
      </c>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v>1</v>
      </c>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v>1</v>
      </c>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35"/>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04"/>
      <c r="J84" s="204"/>
      <c r="K84" s="204"/>
      <c r="L84" s="204"/>
      <c r="M84" s="204"/>
      <c r="N84" s="204"/>
      <c r="O84" s="204"/>
      <c r="P84" s="205"/>
      <c r="Q84" s="205"/>
      <c r="R84" s="206"/>
      <c r="S84" s="207"/>
      <c r="T84" s="207"/>
      <c r="U84" s="207"/>
      <c r="V84" s="207"/>
      <c r="W84" s="205"/>
      <c r="X84" s="205"/>
      <c r="Y84" s="208"/>
      <c r="Z84" s="209">
        <v>0</v>
      </c>
      <c r="AA84" s="207"/>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v>1</v>
      </c>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v>1</v>
      </c>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v>1</v>
      </c>
      <c r="AB91" s="206"/>
      <c r="AC91" s="210"/>
      <c r="AD91" s="211"/>
      <c r="AE91" s="216"/>
    </row>
    <row r="92" spans="1:31" ht="12" customHeight="1">
      <c r="A92" s="203">
        <v>1</v>
      </c>
      <c r="B92" s="192"/>
      <c r="C92" s="192"/>
      <c r="D92" s="193"/>
      <c r="E92" s="194"/>
      <c r="F92" s="194"/>
      <c r="G92" s="194"/>
      <c r="H92" s="194"/>
      <c r="I92" s="194"/>
      <c r="J92" s="194"/>
      <c r="K92" s="194"/>
      <c r="L92" s="194"/>
      <c r="M92" s="194"/>
      <c r="N92" s="194"/>
      <c r="O92" s="194"/>
      <c r="P92" s="195"/>
      <c r="Q92" s="195"/>
      <c r="R92" s="196"/>
      <c r="S92" s="197"/>
      <c r="T92" s="197"/>
      <c r="U92" s="197"/>
      <c r="V92" s="197"/>
      <c r="W92" s="195"/>
      <c r="X92" s="195"/>
      <c r="Y92" s="198"/>
      <c r="Z92" s="199"/>
      <c r="AA92" s="197"/>
      <c r="AB92" s="196"/>
      <c r="AC92" s="200"/>
      <c r="AD92" s="201"/>
      <c r="AE92" s="202"/>
    </row>
    <row r="93" spans="1:31" ht="12" customHeight="1">
      <c r="A93" s="192"/>
    </row>
  </sheetData>
  <sheetProtection formatCells="0" formatColumns="0" formatRows="0" insertColumns="0" insertRows="0" insertHyperlinks="0" deleteColumns="0" deleteRows="0" sort="0" autoFilter="0" pivotTables="0"/>
  <dataConsolidate/>
  <mergeCells count="29">
    <mergeCell ref="D2:F2"/>
    <mergeCell ref="O3:O4"/>
    <mergeCell ref="V3:V4"/>
    <mergeCell ref="AF3:AI3"/>
    <mergeCell ref="AF2:AI2"/>
    <mergeCell ref="A3:A4"/>
    <mergeCell ref="B3:B4"/>
    <mergeCell ref="C3:C4"/>
    <mergeCell ref="D3:D4"/>
    <mergeCell ref="E3:N4"/>
    <mergeCell ref="W3:W4"/>
    <mergeCell ref="U3:U4"/>
    <mergeCell ref="Y3:Y4"/>
    <mergeCell ref="AD3:AD4"/>
    <mergeCell ref="AB3:AB4"/>
    <mergeCell ref="AA3:AA4"/>
    <mergeCell ref="AC3:AC4"/>
    <mergeCell ref="P3:P4"/>
    <mergeCell ref="Q3:Q4"/>
    <mergeCell ref="S3:S4"/>
    <mergeCell ref="R3:R4"/>
    <mergeCell ref="T3:T4"/>
    <mergeCell ref="AN3:AQ3"/>
    <mergeCell ref="AN2:AQ2"/>
    <mergeCell ref="AE3:AE4"/>
    <mergeCell ref="X3:X4"/>
    <mergeCell ref="Z3:Z4"/>
    <mergeCell ref="AJ3:AM3"/>
    <mergeCell ref="AJ2:AM2"/>
  </mergeCells>
  <phoneticPr fontId="4" type="noConversion"/>
  <conditionalFormatting sqref="D5:AD69">
    <cfRule type="expression" dxfId="1" priority="2">
      <formula>($B5="G")</formula>
    </cfRule>
    <cfRule type="expression" dxfId="0" priority="1">
      <formula>($AE5=1)</formula>
    </cfRule>
  </conditionalFormatting>
  <hyperlinks>
    <hyperlink ref="AF1:BJ1" r:id="rId1" display="https://xlworks.net/xlgantt-project-scheduler/" xr:uid="{BF93DFE2-21E0-434C-891B-D513D526523D}"/>
  </hyperlinks>
  <pageMargins left="0.19685039370078741" right="0.23622047244094491" top="0.43307086614173229" bottom="0.23622047244094491" header="0.23622047244094491" footer="0.19685039370078741"/>
  <pageSetup paperSize="9" scale="6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140</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86</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60.45</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0.61428571428571432</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0.43178571428571433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-0.1825</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2022-01-06T06:33:11Z</dcterms:modified>
</cp:coreProperties>
</file>