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COCONUT\Documents\BadGuys_2022\Plan\"/>
    </mc:Choice>
  </mc:AlternateContent>
  <xr:revisionPtr revIDLastSave="0" documentId="13_ncr:1_{F72E74C0-2F17-47AB-9B36-4B875C5CB61E}" xr6:coauthVersionLast="47" xr6:coauthVersionMax="47" xr10:uidLastSave="{00000000-0000-0000-0000-000000000000}"/>
  <bookViews>
    <workbookView xWindow="-120" yWindow="-120" windowWidth="290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Schedule!$D$1:$AX$73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J5" i="2" l="1"/>
  <c r="AN5" i="2"/>
  <c r="AK6" i="2"/>
  <c r="AL7" i="2"/>
  <c r="AK8" i="2"/>
  <c r="AJ9" i="2"/>
  <c r="AK10" i="2"/>
  <c r="AJ11" i="2"/>
  <c r="AK12" i="2"/>
  <c r="AK13" i="2"/>
  <c r="AK14" i="2"/>
  <c r="AL15" i="2"/>
  <c r="AK16" i="2"/>
  <c r="AL17" i="2"/>
  <c r="AL18" i="2"/>
  <c r="AK19" i="2"/>
  <c r="AK20" i="2"/>
  <c r="AL21" i="2"/>
  <c r="AJ22" i="2"/>
  <c r="AM22" i="2"/>
  <c r="AJ23" i="2"/>
  <c r="AM23" i="2"/>
  <c r="AJ24" i="2"/>
  <c r="AL25" i="2"/>
  <c r="AL26" i="2"/>
  <c r="AJ27" i="2"/>
  <c r="AJ28" i="2"/>
  <c r="AL29" i="2"/>
  <c r="AL30" i="2"/>
  <c r="AM31" i="2"/>
  <c r="AL32" i="2"/>
  <c r="AM33" i="2"/>
  <c r="AM34" i="2"/>
  <c r="AM35" i="2"/>
  <c r="AF36" i="2"/>
  <c r="AF37" i="2"/>
  <c r="AF38" i="2"/>
  <c r="AF39" i="2"/>
  <c r="AL44" i="2"/>
  <c r="AM45" i="2"/>
  <c r="AM46" i="2"/>
  <c r="AM47" i="2"/>
  <c r="AM48" i="2"/>
  <c r="AM49" i="2"/>
  <c r="AL55" i="2"/>
  <c r="AL56" i="2"/>
  <c r="AL57" i="2"/>
  <c r="AL58" i="2"/>
  <c r="AK59" i="2"/>
  <c r="AK60" i="2"/>
  <c r="AN60" i="2"/>
  <c r="AK61" i="2"/>
  <c r="AN61" i="2"/>
  <c r="AK62" i="2"/>
  <c r="AN62" i="2"/>
  <c r="AK63" i="2"/>
  <c r="AK64" i="2"/>
  <c r="AJ65" i="2"/>
  <c r="AM66" i="2"/>
  <c r="AM67" i="2"/>
  <c r="AM68" i="2"/>
  <c r="AM69" i="2"/>
  <c r="AM70" i="2"/>
  <c r="AL71" i="2"/>
  <c r="AL72" i="2"/>
  <c r="AK73"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J49" i="4" s="1"/>
  <c r="G49" i="4"/>
  <c r="I43" i="4"/>
  <c r="K43" i="4" s="1"/>
  <c r="H43" i="4"/>
  <c r="J43" i="4" s="1"/>
  <c r="G43" i="4"/>
  <c r="I41" i="4"/>
  <c r="H41" i="4"/>
  <c r="G41" i="4"/>
  <c r="I37" i="4"/>
  <c r="K37" i="4" s="1"/>
  <c r="H37" i="4"/>
  <c r="G37" i="4"/>
  <c r="I35" i="4"/>
  <c r="K35" i="4" s="1"/>
  <c r="H35" i="4"/>
  <c r="G35" i="4"/>
  <c r="I33" i="4"/>
  <c r="H33" i="4"/>
  <c r="G33" i="4"/>
  <c r="J33" i="4" s="1"/>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D1" i="2"/>
  <c r="AE1" i="2" a="1"/>
  <c r="J51" i="4" l="1"/>
  <c r="J35" i="4"/>
  <c r="J30" i="4"/>
  <c r="K51" i="4"/>
  <c r="L51" i="4" s="1"/>
  <c r="G53" i="4"/>
  <c r="L35" i="4"/>
  <c r="L43" i="4"/>
  <c r="I53" i="4"/>
  <c r="K53" i="4" s="1"/>
  <c r="J37" i="4"/>
  <c r="K49" i="4"/>
  <c r="L49" i="4" s="1"/>
  <c r="L37" i="4"/>
  <c r="K33" i="4"/>
  <c r="J41" i="4"/>
  <c r="K41" i="4"/>
  <c r="L33" i="4"/>
  <c r="L41" i="4"/>
  <c r="K30" i="4"/>
  <c r="H53" i="4"/>
  <c r="J53" i="4" s="1"/>
  <c r="AE2" i="2"/>
  <c r="AE1" i="2"/>
  <c r="L30" i="4" l="1"/>
  <c r="L53" i="4"/>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<sst xmlns="http://schemas.openxmlformats.org/spreadsheetml/2006/main" count="3360" uniqueCount="1734">
  <si>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</si>
  <si>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</si>
  <si>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</si>
  <si>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</si>
  <si>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</si>
  <si>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</si>
  <si>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</si>
  <si>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</si>
  <si>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</si>
  <si>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</si>
  <si>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</si>
  <si>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</si>
  <si>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</si>
  <si>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</si>
  <si>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</si>
  <si>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</si>
  <si>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</si>
  <si>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</si>
  <si>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</si>
  <si>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</si>
  <si>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</si>
  <si>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</si>
  <si>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</si>
  <si>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</si>
  <si>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</si>
  <si>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</si>
  <si>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</si>
  <si>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</si>
  <si>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</si>
  <si>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</si>
  <si>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</si>
  <si>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</si>
  <si>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</si>
  <si>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</si>
  <si>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</si>
  <si>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</si>
  <si>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</si>
  <si>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</si>
  <si>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</si>
  <si>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</si>
  <si>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</si>
  <si>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</si>
  <si>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</si>
  <si>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</si>
  <si>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</si>
  <si>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</si>
  <si>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</si>
  <si>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</si>
  <si>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</si>
  <si>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</si>
  <si>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</si>
  <si>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</si>
  <si>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</si>
  <si>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</si>
  <si>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</si>
  <si>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</si>
  <si>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</si>
  <si>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</si>
  <si>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</si>
  <si>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</si>
  <si>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</si>
  <si>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</si>
  <si>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</si>
  <si>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</si>
  <si>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</si>
  <si>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</si>
  <si>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</si>
  <si>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</si>
  <si>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</si>
  <si>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</si>
  <si>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</si>
  <si>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</si>
  <si>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</si>
  <si>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</si>
  <si>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</si>
  <si>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</si>
  <si>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</si>
  <si>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</si>
  <si>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</si>
  <si>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</si>
  <si>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</si>
  <si>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</si>
  <si>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</si>
  <si>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</si>
  <si>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</si>
  <si>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</si>
  <si>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</si>
  <si>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</si>
  <si>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</si>
  <si>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</si>
  <si>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</si>
  <si>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</si>
  <si>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</si>
  <si>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</si>
  <si>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</si>
  <si>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</si>
  <si>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</si>
  <si>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</si>
  <si>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</si>
  <si>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</si>
  <si>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</si>
  <si>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</si>
  <si>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</si>
  <si>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</si>
  <si>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</si>
  <si>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</si>
  <si>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</si>
  <si>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</si>
  <si>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</si>
  <si>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</si>
  <si>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</si>
  <si>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</si>
  <si>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</si>
  <si>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</si>
  <si>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</si>
  <si>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</si>
  <si>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</si>
  <si>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</si>
  <si>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</si>
  <si>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</si>
  <si>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</si>
  <si>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</si>
  <si>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</si>
  <si>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</si>
  <si>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</si>
  <si>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</si>
  <si>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</si>
  <si>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</si>
  <si>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</si>
  <si>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</si>
  <si>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</si>
  <si>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</si>
  <si>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</si>
  <si>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</si>
  <si>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</si>
  <si>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</si>
  <si>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</si>
  <si>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</si>
  <si>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</si>
  <si>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</si>
  <si>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</si>
  <si>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</si>
  <si>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</si>
  <si>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</si>
  <si>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</si>
  <si>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</si>
  <si>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</si>
  <si>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</si>
  <si>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</si>
  <si>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</si>
  <si>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</si>
  <si>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</si>
  <si>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</si>
  <si>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</si>
  <si>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</si>
  <si>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</si>
  <si>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</si>
  <si>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</si>
  <si>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</si>
  <si>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</si>
  <si>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</si>
  <si>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</si>
  <si>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</si>
  <si>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</si>
  <si>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</si>
  <si>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</si>
  <si>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</si>
  <si>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</si>
  <si>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</si>
  <si>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</si>
  <si>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</si>
  <si>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</si>
  <si>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</si>
  <si>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</si>
  <si>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</si>
  <si>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</si>
  <si>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</si>
  <si>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</si>
  <si>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</si>
  <si>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</si>
  <si>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</si>
  <si>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</si>
  <si>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</si>
  <si>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</si>
  <si>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</si>
  <si>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</si>
  <si>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</si>
  <si>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</si>
  <si>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</si>
  <si>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</si>
  <si>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</si>
  <si>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</si>
  <si>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</si>
  <si>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</si>
  <si>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</si>
  <si>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</si>
  <si>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</si>
  <si>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</si>
  <si>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</si>
  <si>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</si>
  <si>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</si>
  <si>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</si>
  <si>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</si>
  <si>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</si>
  <si>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</si>
  <si>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</si>
  <si>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</si>
  <si>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</si>
  <si>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</si>
  <si>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</si>
  <si>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</si>
  <si>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</si>
  <si>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</si>
  <si>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</si>
  <si>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</si>
  <si>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</si>
  <si>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</si>
  <si>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</si>
  <si>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</si>
  <si>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</si>
  <si>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</si>
  <si>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</si>
  <si>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</si>
  <si>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</si>
  <si>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</si>
  <si>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</si>
  <si>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</si>
  <si>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</si>
  <si>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</si>
  <si>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</si>
  <si>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</si>
  <si>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</si>
  <si>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</si>
  <si>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</si>
  <si>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</si>
  <si>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</si>
  <si>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</si>
  <si>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</si>
  <si>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</si>
  <si>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</si>
  <si>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</si>
  <si>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</si>
  <si>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</si>
  <si>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</si>
  <si>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</si>
  <si>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</si>
  <si>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</si>
  <si>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</si>
  <si>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</si>
  <si>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</si>
  <si>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</si>
  <si>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</si>
  <si>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</si>
  <si>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</si>
  <si>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</si>
  <si>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</si>
  <si>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</si>
  <si>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</si>
  <si>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</si>
  <si>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</si>
  <si>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</si>
  <si>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</si>
  <si>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</si>
  <si>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</si>
  <si>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</si>
  <si>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</si>
  <si>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</si>
  <si>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</si>
  <si>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</si>
  <si>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</si>
  <si>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</si>
  <si>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</si>
  <si>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</si>
  <si>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</si>
  <si>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</si>
  <si>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</si>
  <si>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</si>
  <si>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</si>
  <si>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</si>
  <si>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</si>
  <si>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</si>
  <si>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</si>
  <si>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</si>
  <si>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</si>
  <si>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</si>
  <si>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</si>
  <si>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</si>
  <si>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</si>
  <si>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</si>
  <si>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</si>
  <si>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</si>
  <si>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</si>
  <si>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</si>
  <si>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</si>
  <si>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</si>
  <si>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</si>
  <si>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</si>
  <si>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</si>
  <si>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</si>
  <si>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</si>
  <si>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</si>
  <si>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</si>
  <si>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</si>
  <si>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</si>
  <si>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</si>
  <si>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</si>
  <si>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</si>
  <si>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</si>
  <si>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</si>
  <si>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</si>
  <si>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</si>
  <si>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</si>
  <si>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</si>
  <si>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</si>
  <si>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</si>
  <si>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</si>
  <si>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</si>
  <si>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</si>
  <si>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</si>
  <si>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</si>
  <si>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</si>
  <si>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</si>
  <si>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</si>
  <si>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</si>
  <si>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</si>
  <si>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</si>
  <si>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</si>
  <si>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</si>
  <si>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</si>
  <si>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</si>
  <si>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</si>
  <si>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</si>
  <si>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</si>
  <si>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</si>
  <si>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</si>
  <si>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</si>
  <si>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</si>
  <si>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</si>
  <si>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</si>
  <si>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</si>
  <si>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</si>
  <si>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</si>
  <si>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</si>
  <si>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</si>
  <si>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</si>
  <si>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</si>
  <si>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</si>
  <si>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</si>
  <si>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</si>
  <si>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</si>
  <si>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</si>
  <si>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</si>
  <si>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</si>
  <si>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</si>
  <si>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</si>
  <si>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</si>
  <si>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</si>
  <si>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</si>
  <si>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</si>
  <si>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</si>
  <si>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</si>
  <si>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</si>
  <si>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</si>
  <si>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</si>
  <si>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</si>
  <si>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</si>
  <si>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</si>
  <si>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</si>
  <si>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</si>
  <si>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</si>
  <si>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</si>
  <si>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</si>
  <si>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</si>
  <si>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</si>
  <si>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</si>
  <si>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</si>
  <si>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</si>
  <si>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</si>
  <si>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</si>
  <si>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</si>
  <si>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</si>
  <si>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</si>
  <si>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</si>
  <si>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</si>
  <si>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</si>
  <si>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</si>
  <si>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</si>
  <si>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</si>
  <si>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</si>
  <si>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</si>
  <si>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</si>
  <si>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</si>
  <si>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</si>
  <si>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</si>
  <si>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</si>
  <si>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</si>
  <si>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</si>
  <si>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</si>
  <si>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</si>
  <si>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</si>
  <si>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</si>
  <si>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</si>
  <si>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</si>
  <si>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</si>
  <si>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</si>
  <si>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</si>
  <si>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</si>
  <si>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</si>
  <si>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</si>
  <si>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</si>
  <si>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</si>
  <si>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</si>
  <si>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</si>
  <si>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</si>
  <si>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</si>
  <si>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</si>
  <si>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</si>
  <si>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</si>
  <si>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</si>
  <si>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</si>
  <si>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</si>
  <si>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</si>
  <si>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</si>
  <si>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</si>
  <si>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</si>
  <si>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</si>
  <si>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</si>
  <si>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</si>
  <si>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</si>
  <si>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</si>
  <si>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</si>
  <si>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</si>
  <si>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</si>
  <si>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</si>
  <si>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</si>
  <si>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</si>
  <si>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</si>
  <si>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</si>
  <si>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</si>
  <si>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</si>
  <si>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</si>
  <si>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</si>
  <si>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</si>
  <si>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</si>
  <si>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</si>
  <si>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</si>
  <si>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</si>
  <si>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</si>
  <si>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</si>
  <si>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</si>
  <si>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</si>
  <si>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</si>
  <si>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</si>
  <si>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</si>
  <si>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</si>
  <si>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</si>
  <si>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</si>
  <si>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</si>
  <si>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</si>
  <si>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</si>
  <si>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</si>
  <si>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</si>
  <si>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</si>
  <si>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</si>
  <si>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</si>
  <si>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</si>
  <si>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</si>
  <si>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</si>
  <si>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</si>
  <si>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</si>
  <si>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</si>
  <si>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</si>
  <si>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</si>
  <si>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</si>
  <si>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</si>
  <si>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</si>
  <si>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</si>
  <si>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</si>
  <si>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</si>
  <si>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</si>
  <si>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</si>
  <si>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</si>
  <si>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</si>
  <si>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</si>
  <si>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</si>
  <si>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</si>
  <si>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</si>
  <si>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</si>
  <si>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</si>
  <si>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</si>
  <si>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</si>
  <si>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</si>
  <si>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</si>
  <si>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</si>
  <si>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</si>
  <si>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</si>
  <si>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</si>
  <si>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</si>
  <si>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</si>
  <si>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</si>
  <si>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</si>
  <si>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</si>
  <si>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</si>
  <si>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</si>
  <si>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</si>
  <si>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</si>
  <si>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</si>
  <si>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</si>
  <si>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</si>
  <si>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</si>
  <si>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</si>
  <si>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</si>
  <si>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</si>
  <si>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</si>
  <si>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</si>
  <si>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</si>
  <si>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</si>
  <si>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</si>
  <si>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</si>
  <si>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</si>
  <si>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</si>
  <si>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</si>
  <si>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</si>
  <si>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</si>
  <si>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</si>
  <si>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</si>
  <si>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</si>
  <si>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</si>
  <si>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</si>
  <si>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</si>
  <si>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</si>
  <si>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</si>
  <si>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</si>
  <si>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</si>
  <si>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</si>
  <si>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</si>
  <si>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</si>
  <si>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</si>
  <si>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</si>
  <si>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</si>
  <si>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</si>
  <si>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</si>
  <si>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</si>
  <si>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</si>
  <si>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</si>
  <si>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</si>
  <si>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</si>
  <si>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</si>
  <si>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</si>
  <si>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</si>
  <si>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</si>
  <si>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</si>
  <si>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</si>
  <si>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</si>
  <si>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</si>
  <si>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</si>
  <si>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</si>
  <si>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</si>
  <si>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</si>
  <si>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</si>
  <si>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</si>
  <si>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</si>
  <si>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</si>
  <si>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</si>
  <si>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</si>
  <si>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</si>
  <si>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</si>
  <si>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</si>
  <si>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</si>
  <si>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</si>
  <si>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</si>
  <si>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</si>
  <si>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</si>
  <si>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</si>
  <si>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</si>
  <si>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</si>
  <si>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</si>
  <si>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</si>
  <si>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</si>
  <si>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</si>
  <si>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</si>
  <si>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</si>
  <si>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</si>
  <si>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</si>
  <si>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</si>
  <si>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</si>
  <si>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</si>
  <si>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</si>
  <si>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</si>
  <si>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</si>
  <si>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</si>
  <si>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</si>
  <si>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</si>
  <si>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</si>
  <si>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</si>
  <si>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</si>
  <si>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</si>
  <si>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</si>
  <si>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</si>
  <si>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</si>
  <si>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</si>
  <si>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</si>
  <si>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</si>
  <si>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</si>
  <si>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</si>
  <si>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</si>
  <si>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</si>
  <si>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</si>
  <si>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</si>
  <si>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</si>
  <si>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</si>
  <si>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</si>
  <si>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</si>
  <si>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</si>
  <si>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</si>
  <si>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</si>
  <si>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</si>
  <si>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</si>
  <si>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</si>
  <si>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</si>
  <si>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</si>
  <si>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</si>
  <si>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</si>
  <si>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</si>
  <si>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</si>
  <si>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</si>
  <si>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</si>
  <si>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</si>
  <si>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</si>
  <si>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</si>
  <si>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</si>
  <si>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</si>
  <si>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</si>
  <si>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</si>
  <si>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</si>
  <si>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</si>
  <si>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</si>
  <si>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</si>
  <si>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</si>
  <si>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</si>
  <si>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</si>
  <si>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</si>
  <si>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</si>
  <si>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</si>
  <si>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</si>
  <si>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</si>
  <si>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</si>
  <si>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</si>
  <si>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</si>
  <si>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</si>
  <si>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</si>
  <si>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</si>
  <si>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</si>
  <si>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</si>
  <si>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</si>
  <si>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</si>
  <si>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</si>
  <si>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</si>
  <si>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</si>
  <si>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</si>
  <si>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</si>
  <si>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</si>
  <si>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</si>
  <si>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</si>
  <si>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</si>
  <si>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</si>
  <si>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</si>
  <si>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</si>
  <si>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</si>
  <si>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</si>
  <si>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</si>
  <si>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</si>
  <si>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</si>
  <si>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</si>
  <si>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</si>
  <si>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</si>
  <si>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</si>
  <si>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</si>
  <si>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</si>
  <si>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</si>
  <si>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</si>
  <si>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</si>
  <si>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</si>
  <si>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</si>
  <si>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</si>
  <si>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</si>
  <si>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</si>
  <si>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</si>
  <si>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</si>
  <si>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</si>
  <si>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</si>
  <si>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</si>
  <si>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</si>
  <si>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</si>
  <si>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</si>
  <si>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</si>
  <si>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</si>
  <si>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</si>
  <si>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</si>
  <si>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</si>
  <si>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</si>
  <si>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</si>
  <si>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</si>
  <si>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</si>
  <si>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</si>
  <si>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</si>
  <si>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</si>
  <si>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</si>
  <si>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</si>
  <si>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</si>
  <si>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</si>
  <si>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</si>
  <si>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</si>
  <si>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</si>
  <si>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</si>
  <si>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</si>
  <si>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</si>
  <si>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</si>
  <si>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</si>
  <si>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</si>
  <si>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</si>
  <si>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</si>
  <si>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</si>
  <si>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</si>
  <si>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</si>
  <si>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</si>
  <si>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</si>
  <si>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</si>
  <si>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</si>
  <si>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</si>
  <si>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</si>
  <si>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</si>
  <si>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</si>
  <si>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</si>
  <si>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</si>
  <si>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</si>
  <si>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</si>
  <si>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</si>
  <si>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</si>
  <si>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</si>
  <si>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</si>
  <si>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</si>
  <si>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</si>
  <si>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</si>
  <si>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</si>
  <si>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</si>
  <si>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</si>
  <si>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</si>
  <si>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</si>
  <si>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</si>
  <si>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</si>
  <si>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</si>
  <si>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</si>
  <si>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</si>
  <si>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</si>
  <si>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</si>
  <si>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</si>
  <si>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</si>
  <si>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</si>
  <si>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</si>
  <si>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</si>
  <si>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</si>
  <si>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</si>
  <si>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</si>
  <si>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</si>
  <si>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</si>
  <si>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</si>
  <si>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</si>
  <si>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</si>
  <si>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</si>
  <si>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</si>
  <si>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</si>
  <si>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</si>
  <si>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</si>
  <si>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</si>
  <si>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</si>
  <si>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</si>
  <si>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</si>
  <si>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</si>
  <si>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</si>
  <si>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</si>
  <si>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</si>
  <si>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</si>
  <si>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</si>
  <si>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</si>
  <si>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</si>
  <si>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</si>
  <si>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</si>
  <si>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</si>
  <si>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</si>
  <si>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</si>
  <si>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</si>
  <si>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</si>
  <si>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</si>
  <si>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</si>
  <si>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</si>
  <si>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</si>
  <si>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</si>
  <si>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</si>
  <si>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</si>
  <si>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</si>
  <si>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</si>
  <si>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</si>
  <si>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</si>
  <si>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</si>
  <si>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</si>
  <si>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</si>
  <si>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</si>
  <si>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</si>
  <si>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</si>
  <si>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</si>
  <si>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</si>
  <si>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</si>
  <si>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</si>
  <si>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</si>
  <si>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</si>
  <si>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</si>
  <si>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</si>
  <si>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</si>
  <si>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</si>
  <si>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</si>
  <si>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</si>
  <si>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</si>
  <si>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</si>
  <si>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</si>
  <si>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</si>
  <si>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</si>
  <si>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</si>
  <si>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</si>
  <si>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</si>
  <si>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</si>
  <si>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</si>
  <si>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</si>
  <si>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</si>
  <si>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</si>
  <si>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</si>
  <si>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</si>
  <si>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</si>
  <si>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</si>
  <si>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</si>
  <si>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</si>
  <si>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</si>
  <si>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</si>
  <si>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</si>
  <si>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</si>
  <si>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</si>
  <si>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</si>
  <si>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</si>
  <si>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</si>
  <si>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</si>
  <si>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</si>
  <si>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</si>
  <si>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</si>
  <si>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</si>
  <si>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</si>
  <si>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</si>
  <si>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</si>
  <si>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</si>
  <si>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</si>
  <si>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</si>
  <si>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</si>
  <si>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</si>
  <si>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</si>
  <si>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</si>
  <si>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</si>
  <si>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</si>
  <si>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</si>
  <si>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</si>
  <si>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</si>
  <si>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</si>
  <si>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</si>
  <si>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</si>
  <si>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</si>
  <si>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</si>
  <si>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</si>
  <si>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</si>
  <si>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</si>
  <si>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</si>
  <si>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</si>
  <si>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</si>
  <si>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</si>
  <si>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</si>
  <si>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</si>
  <si>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</si>
  <si>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</si>
  <si>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</si>
  <si>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</si>
  <si>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</si>
  <si>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</si>
  <si>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</si>
  <si>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</si>
  <si>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</si>
  <si>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</si>
  <si>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</si>
  <si>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</si>
  <si>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</si>
  <si>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</si>
  <si>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</si>
  <si>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</si>
  <si>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</si>
  <si>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</si>
  <si>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</si>
  <si>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</si>
  <si>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</si>
  <si>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</si>
  <si>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</si>
  <si>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</si>
  <si>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</si>
  <si>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</si>
  <si>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</si>
  <si>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</si>
  <si>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</si>
  <si>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</si>
  <si>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</si>
  <si>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</si>
  <si>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</si>
  <si>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</si>
  <si>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</si>
  <si>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</si>
  <si>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</si>
  <si>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</si>
  <si>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</si>
  <si>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</si>
  <si>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</si>
  <si>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</si>
  <si>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</si>
  <si>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</si>
  <si>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</si>
  <si>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</si>
  <si>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</si>
  <si>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</si>
  <si>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</si>
  <si>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</si>
  <si>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</si>
  <si>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</si>
  <si>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</si>
  <si>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</si>
  <si>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</si>
  <si>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</si>
  <si>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</si>
  <si>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</si>
  <si>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</si>
  <si>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</si>
  <si>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</si>
  <si>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</si>
  <si>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</si>
  <si>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</si>
  <si>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</si>
  <si>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</si>
  <si>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</si>
  <si>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</si>
  <si>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</si>
  <si>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</si>
  <si>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</si>
  <si>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</si>
  <si>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</si>
  <si>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</si>
  <si>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</si>
  <si>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</si>
  <si>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</si>
  <si>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</si>
  <si>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</si>
  <si>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</si>
  <si>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</si>
  <si>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</si>
  <si>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</si>
  <si>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</si>
  <si>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</si>
  <si>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</si>
  <si>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</si>
  <si>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</si>
  <si>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</si>
  <si>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</si>
  <si>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</si>
  <si>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</si>
  <si>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</si>
  <si>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</si>
  <si>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</si>
  <si>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</si>
  <si>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</si>
  <si>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</si>
  <si>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</si>
  <si>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</si>
  <si>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</si>
  <si>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</si>
  <si>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</si>
  <si>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</si>
  <si>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</si>
  <si>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</si>
  <si>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</si>
  <si>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</si>
  <si>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</si>
  <si>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</si>
  <si>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</si>
  <si>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</si>
  <si>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</si>
  <si>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</si>
  <si>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</si>
  <si>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</si>
  <si>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</si>
  <si>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</si>
  <si>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</si>
  <si>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</si>
  <si>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</si>
  <si>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</si>
  <si>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</si>
  <si>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</si>
  <si>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</si>
  <si>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</si>
  <si>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</si>
  <si>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</si>
  <si>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</si>
  <si>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</si>
  <si>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</si>
  <si>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</si>
  <si>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</si>
  <si>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</si>
  <si>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</si>
  <si>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</si>
  <si>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</si>
  <si>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</si>
  <si>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</si>
  <si>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</si>
  <si>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</si>
  <si>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</si>
  <si>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</si>
  <si>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</si>
  <si>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</si>
  <si>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</si>
  <si>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</si>
  <si>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</si>
  <si>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</si>
  <si>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</si>
  <si>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</si>
  <si>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</si>
  <si>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</si>
  <si>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</si>
  <si>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</si>
  <si>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</si>
  <si>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</si>
  <si>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</si>
  <si>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</si>
  <si>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</si>
  <si>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</si>
  <si>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</si>
  <si>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</si>
  <si>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</si>
  <si>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</si>
  <si>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</si>
  <si>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</si>
  <si>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</si>
  <si>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</si>
  <si>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</si>
  <si>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</si>
  <si>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</si>
  <si>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</si>
  <si>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</si>
  <si>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</si>
  <si>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</si>
  <si>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</si>
  <si>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</si>
  <si>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</si>
  <si>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</si>
  <si>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</si>
  <si>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</si>
  <si>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</si>
  <si>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</si>
  <si>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</si>
  <si>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</si>
  <si>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</si>
  <si>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</si>
  <si>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</si>
  <si>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</si>
  <si>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</si>
  <si>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</si>
  <si>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</si>
  <si>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</si>
  <si>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</si>
  <si>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</si>
  <si>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</si>
  <si>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</si>
  <si>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</si>
  <si>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</si>
  <si>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</si>
  <si>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</si>
  <si>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</si>
  <si>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</si>
  <si>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</si>
  <si>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</si>
  <si>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</si>
  <si>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</si>
  <si>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</si>
  <si>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</si>
  <si>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</si>
  <si>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</si>
  <si>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</si>
  <si>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</si>
  <si>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</si>
  <si>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</si>
  <si>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</si>
  <si>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</si>
  <si>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</si>
  <si>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</si>
  <si>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</si>
  <si>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</si>
  <si>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</si>
  <si>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</si>
  <si>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</si>
  <si>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</si>
  <si>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</si>
  <si>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</si>
  <si>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</si>
  <si>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</si>
  <si>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</si>
  <si>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</si>
  <si>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</si>
  <si>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</si>
  <si>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</si>
  <si>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</si>
  <si>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</si>
  <si>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</si>
  <si>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</si>
  <si>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</si>
  <si>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</si>
  <si>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</si>
  <si>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</si>
  <si>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</si>
  <si>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</si>
  <si>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</si>
  <si>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</si>
  <si>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</si>
  <si>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</si>
  <si>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</si>
  <si>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</si>
  <si>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</si>
  <si>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</si>
  <si>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</si>
  <si>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</si>
  <si>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</si>
  <si>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</si>
  <si>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</si>
  <si>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</si>
  <si>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</si>
  <si>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</si>
  <si>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</si>
  <si>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</si>
  <si>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</si>
  <si>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</si>
  <si>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</si>
  <si>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</si>
  <si>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</si>
  <si>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</si>
  <si>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</si>
  <si>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</si>
  <si>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</si>
  <si>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</si>
  <si>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</si>
  <si>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</si>
  <si>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</si>
  <si>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</si>
  <si>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</si>
  <si>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</si>
  <si>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</si>
  <si>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</si>
  <si>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</si>
  <si>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</si>
  <si>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</si>
  <si>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</si>
  <si>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</si>
  <si>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</si>
  <si>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</si>
  <si>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</si>
  <si>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</si>
  <si>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</si>
  <si>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</si>
  <si>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</si>
  <si>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</si>
  <si>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</si>
  <si>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</si>
  <si>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</si>
  <si>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</si>
  <si>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</si>
  <si>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</si>
  <si>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</si>
  <si>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</si>
  <si>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</si>
  <si>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</si>
  <si>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</si>
  <si>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</si>
  <si>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</si>
  <si>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</si>
  <si>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</si>
  <si>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</si>
  <si>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</si>
  <si>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</si>
  <si>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</si>
  <si>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</si>
  <si>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</si>
  <si>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</si>
  <si>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</si>
  <si>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</si>
  <si>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</si>
  <si>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</si>
  <si>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</si>
  <si>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</si>
  <si>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</si>
  <si>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</si>
  <si>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</si>
  <si>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</si>
  <si>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</si>
  <si>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</si>
  <si>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</si>
  <si>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</si>
  <si>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</si>
  <si>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</si>
  <si>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</si>
  <si>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</si>
  <si>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</si>
  <si>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</si>
  <si>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</si>
  <si>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</si>
  <si>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</si>
  <si>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</si>
  <si>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</si>
  <si>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</si>
  <si>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</si>
  <si>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</si>
  <si>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</si>
  <si>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</si>
  <si>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</si>
  <si>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</si>
  <si>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</si>
  <si>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</si>
  <si>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</si>
  <si>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</si>
  <si>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</si>
  <si>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</si>
  <si>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</si>
  <si>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</si>
  <si>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</si>
  <si>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</si>
  <si>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</si>
  <si>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</si>
  <si>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</si>
  <si>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</si>
  <si>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</si>
  <si>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</si>
  <si>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</si>
  <si>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</si>
  <si>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</si>
  <si>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</si>
  <si>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</si>
  <si>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</si>
  <si>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</si>
  <si>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</si>
  <si>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</si>
  <si>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</si>
  <si>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</si>
  <si>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</si>
  <si>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</si>
  <si>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</si>
  <si>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</si>
  <si>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</si>
  <si>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</si>
  <si>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</si>
  <si>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</si>
  <si>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</si>
  <si>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</si>
  <si>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</si>
  <si>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</si>
  <si>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</si>
  <si>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</si>
  <si>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</si>
  <si>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</si>
  <si>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</si>
  <si>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</si>
  <si>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</si>
  <si>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</si>
  <si>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</si>
  <si>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</si>
  <si>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</si>
  <si>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</si>
  <si>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</si>
  <si>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</si>
  <si>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</si>
  <si>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</si>
  <si>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</si>
  <si>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</si>
  <si>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</si>
  <si>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</si>
  <si>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</si>
  <si>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</si>
  <si>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</si>
  <si>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</si>
  <si>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</si>
  <si>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</si>
  <si>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</si>
  <si>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</si>
  <si>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</si>
  <si>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</si>
  <si>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</si>
  <si>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</si>
  <si>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</si>
  <si>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</si>
  <si>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</si>
  <si>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</si>
  <si>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</si>
  <si>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</si>
  <si>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</si>
  <si>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</si>
  <si>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</si>
  <si>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</si>
  <si>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</si>
  <si>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</si>
  <si>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</si>
  <si>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</si>
  <si>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</si>
  <si>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</si>
  <si>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</si>
  <si>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</si>
  <si>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</si>
  <si>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</si>
  <si>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</si>
  <si>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</si>
  <si>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</si>
  <si>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</si>
  <si>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</si>
  <si>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</si>
  <si>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</si>
  <si>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</si>
  <si>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</si>
  <si>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</si>
  <si>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</si>
  <si>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</si>
  <si>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</si>
  <si>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</si>
  <si>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</si>
  <si>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</si>
  <si>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</si>
  <si>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</si>
  <si>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</si>
  <si>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</si>
  <si>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</si>
  <si>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</si>
  <si>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</si>
  <si>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</si>
  <si>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</si>
  <si>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</si>
  <si>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</si>
  <si>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</si>
  <si>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</si>
  <si>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</si>
  <si>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</si>
  <si>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</si>
  <si>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</si>
  <si>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</si>
  <si>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</si>
  <si>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</si>
  <si>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</si>
  <si>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</si>
  <si>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</si>
  <si>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</si>
  <si>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</si>
  <si>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</si>
  <si>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</si>
  <si>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</si>
  <si>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</si>
  <si>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</si>
  <si>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</si>
  <si>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</si>
  <si>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</si>
  <si>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</si>
  <si>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</si>
  <si>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</si>
  <si>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</si>
  <si>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</si>
  <si>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</si>
  <si>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</si>
  <si>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</si>
  <si>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</si>
  <si>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</si>
  <si>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</si>
  <si>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</si>
  <si>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</si>
  <si>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</si>
  <si>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</si>
  <si>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</si>
  <si>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</si>
  <si>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</si>
  <si>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</si>
  <si>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</si>
  <si>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</si>
  <si>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</si>
  <si>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</si>
  <si>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</si>
  <si>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</si>
  <si>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</si>
  <si>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</si>
  <si>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</si>
  <si>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</si>
  <si>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</si>
  <si>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</si>
  <si>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</si>
  <si>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</si>
  <si>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</si>
  <si>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</si>
  <si>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</si>
  <si>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</si>
  <si>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</si>
  <si>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</si>
  <si>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</si>
  <si>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</si>
  <si>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</si>
  <si>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</si>
  <si>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</si>
  <si>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</si>
  <si>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</si>
  <si>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</si>
  <si>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</si>
  <si>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</si>
  <si>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</si>
  <si>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</si>
  <si>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</si>
  <si>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</si>
  <si>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</si>
  <si>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</si>
  <si>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</si>
  <si>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</si>
  <si>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</si>
  <si>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</si>
  <si>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</si>
  <si>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</si>
  <si>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</si>
  <si>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</si>
  <si>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</si>
  <si>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</si>
  <si>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</si>
  <si>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</si>
  <si>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</si>
  <si>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</si>
  <si>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</si>
  <si>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</si>
  <si>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</si>
  <si>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</si>
  <si>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</si>
  <si>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</si>
  <si>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</si>
  <si>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</si>
  <si>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</si>
  <si>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</si>
  <si>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</si>
  <si>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</si>
  <si>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</si>
  <si>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</si>
  <si>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</si>
  <si>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</si>
  <si>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</si>
  <si>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</si>
  <si>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</si>
  <si>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</si>
  <si>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</si>
  <si>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</si>
  <si>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</si>
  <si>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</si>
  <si>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</si>
  <si>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</si>
  <si>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</si>
  <si>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</si>
  <si>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</si>
  <si>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</si>
  <si>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</si>
  <si>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</si>
  <si>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</si>
  <si>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</si>
  <si>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</si>
  <si>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</si>
  <si>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</si>
  <si>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</si>
  <si>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</si>
  <si>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</si>
  <si>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</si>
  <si>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</si>
  <si>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</si>
  <si>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</si>
  <si>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</si>
  <si>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</si>
  <si>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</si>
  <si>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</si>
  <si>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</si>
  <si>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</si>
  <si>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</si>
  <si>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</si>
  <si>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</si>
  <si>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</si>
  <si>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</si>
  <si>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</si>
  <si>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</si>
  <si>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</si>
  <si>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</si>
  <si>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</si>
  <si>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</si>
  <si>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</si>
  <si>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</si>
  <si>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</si>
  <si>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</si>
  <si>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</si>
  <si>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</si>
  <si>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</si>
  <si>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</si>
  <si>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</si>
  <si>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</si>
  <si>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</si>
  <si>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</si>
  <si>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</si>
  <si>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</si>
  <si>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</si>
  <si>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</si>
  <si>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</si>
  <si>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</si>
  <si>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</si>
  <si>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</si>
  <si>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</si>
  <si>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</si>
  <si>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</si>
  <si>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</si>
  <si>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</si>
  <si>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</si>
  <si>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</si>
  <si>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</si>
  <si>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</si>
  <si>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</si>
  <si>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</si>
  <si>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</si>
  <si>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</si>
  <si>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</si>
  <si>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</si>
  <si>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</si>
  <si>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</si>
  <si>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</si>
  <si>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</si>
  <si>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</si>
  <si>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</si>
  <si>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</si>
  <si>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나쁜넘들</t>
    <phoneticPr fontId="2" type="noConversion"/>
  </si>
  <si>
    <t>TODAY</t>
    <phoneticPr fontId="2" type="noConversion"/>
  </si>
  <si>
    <t>DEFINED</t>
    <phoneticPr fontId="4"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</si>
  <si>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</si>
  <si>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</si>
  <si>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</si>
  <si>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</si>
  <si>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</si>
  <si>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</si>
  <si>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</si>
  <si>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</si>
  <si>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</si>
  <si>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</si>
  <si>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</si>
  <si>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</si>
  <si>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</si>
  <si>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</si>
  <si>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</si>
  <si>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</si>
  <si>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</si>
  <si>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</si>
  <si>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</si>
  <si>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2022 졸업작품 프로젝트</t>
  </si>
  <si>
    <t>개발 관련</t>
  </si>
  <si>
    <t>플레이어 WASD 조작</t>
  </si>
  <si>
    <t>플레이어 상호작용 관련</t>
  </si>
  <si>
    <t>수집 오브젝트</t>
  </si>
  <si>
    <t>G</t>
  </si>
  <si>
    <t>1.1.1.1</t>
  </si>
  <si>
    <t>1.1.1.1.1</t>
  </si>
  <si>
    <t>1.1.1.2</t>
  </si>
  <si>
    <t>1.1.1.2.1</t>
  </si>
  <si>
    <t>플레이어 조작 관련</t>
  </si>
  <si>
    <t>플레이어 마우스 시점 조작</t>
  </si>
  <si>
    <t>1.1.1.1.2</t>
  </si>
  <si>
    <t>오브젝트 아웃라인 관련 구현</t>
  </si>
  <si>
    <t>권성빈</t>
  </si>
  <si>
    <t>박광현</t>
  </si>
  <si>
    <t>김 건</t>
  </si>
  <si>
    <t>1.1.1.2.2</t>
  </si>
  <si>
    <t>기획 관련</t>
  </si>
  <si>
    <t>1 챕터 트라우마 확립</t>
  </si>
  <si>
    <t>1 챕터 인물 배경 확립</t>
  </si>
  <si>
    <t>플레이어 관련</t>
  </si>
  <si>
    <t>주변 세계관</t>
  </si>
  <si>
    <t>주인공 소속사 확립</t>
  </si>
  <si>
    <t>주인공 역할 확립</t>
  </si>
  <si>
    <t>스토리 관련</t>
  </si>
  <si>
    <t>레벨 디자인</t>
  </si>
  <si>
    <t>1 챕터 사물 배치</t>
  </si>
  <si>
    <t>1 챕터 전체적인 레벨 디자인</t>
  </si>
  <si>
    <t>1 챕터 퍼즐 배치</t>
  </si>
  <si>
    <t>1 챕터 수집물 배치</t>
  </si>
  <si>
    <t>1.2.1.1</t>
  </si>
  <si>
    <t>1.2.1.1.1</t>
  </si>
  <si>
    <t>1.2.1.1.2</t>
  </si>
  <si>
    <t>1.2.1.2</t>
  </si>
  <si>
    <t>1.2.1.2.1</t>
  </si>
  <si>
    <t>시대상 or 기술수준 확립</t>
  </si>
  <si>
    <t>1.2.1.1.3</t>
  </si>
  <si>
    <t>황민재</t>
  </si>
  <si>
    <t>추후 회의를 통해 검토</t>
  </si>
  <si>
    <t>아트 관련</t>
  </si>
  <si>
    <t>3D 모델 작업</t>
  </si>
  <si>
    <t>2D 이미지 작업</t>
  </si>
  <si>
    <t>각종 사물들 작업</t>
  </si>
  <si>
    <t>1.3.1.1</t>
  </si>
  <si>
    <t>1.3.2.1</t>
  </si>
  <si>
    <t>플레이어 수집물 인벤토리 구현</t>
  </si>
  <si>
    <t>1.1.1.2.3</t>
  </si>
  <si>
    <t>UI 관련</t>
  </si>
  <si>
    <t>11/28
W49</t>
  </si>
  <si>
    <t>12/26
W53</t>
  </si>
  <si>
    <t>W5</t>
  </si>
  <si>
    <t>튜토리얼 관련 프롭 제작</t>
  </si>
  <si>
    <t>1.3.1.1.1</t>
  </si>
  <si>
    <t>튜토리얼 관련 맵 제작</t>
  </si>
  <si>
    <t>튜토리얼 맵에 사물 배치 ( 기획 적용 )</t>
  </si>
  <si>
    <t>UI 디자인 및 기획</t>
  </si>
  <si>
    <t>1.3.1.1.1.1</t>
  </si>
  <si>
    <t>1.3.1.1.1.2</t>
  </si>
  <si>
    <t>1.3.1.1.1.3</t>
  </si>
  <si>
    <t>01. 튜토리얼</t>
  </si>
  <si>
    <t>타이틀 화면 UI 디자인</t>
  </si>
  <si>
    <t>1.3.2.1.1</t>
  </si>
  <si>
    <t>1.3.2.1.2</t>
  </si>
  <si>
    <t>게임 콘텐츠 기획</t>
  </si>
  <si>
    <t>회의</t>
  </si>
  <si>
    <t>타이틀 화면 UI</t>
  </si>
  <si>
    <t>게임 플레이로 이동</t>
  </si>
  <si>
    <t>1.1.2.1.1</t>
  </si>
  <si>
    <t>퍼즐 관련 개발</t>
  </si>
  <si>
    <t>1.1.1.3</t>
  </si>
  <si>
    <t>3D 러시아워 퍼즐 개발</t>
  </si>
  <si>
    <t>1.1.1.3.1</t>
  </si>
  <si>
    <t>프로토타입 개발 끝난 후 회의</t>
  </si>
  <si>
    <t>러시아워 퍼즐 프롭 제작</t>
  </si>
  <si>
    <t>챕터별 퍼즐 형태 기획</t>
  </si>
  <si>
    <t>ㅊ</t>
  </si>
  <si>
    <t>챕터 1</t>
  </si>
  <si>
    <t>챕터 별 설정</t>
  </si>
  <si>
    <t>1.3.1.1.1.1.1</t>
  </si>
  <si>
    <t>튜토리얼 맵 프롭</t>
  </si>
  <si>
    <t>1.3.1.1.1.1.2</t>
  </si>
  <si>
    <t>플레이어의 상호작용 구현</t>
  </si>
  <si>
    <t>1.1.1.2.1.1</t>
  </si>
  <si>
    <t>3D 큐브로 프로토타입 개발</t>
  </si>
  <si>
    <t>1.1.1.3.1.1</t>
  </si>
  <si>
    <t>모델링 된 모델 적용</t>
  </si>
  <si>
    <t>1.1.1.3.1.2</t>
  </si>
  <si>
    <t>프로토타입 제출</t>
  </si>
  <si>
    <t>프로토타입 씬과 메인메뉴 연결</t>
  </si>
  <si>
    <t>1.1.3.1</t>
  </si>
  <si>
    <t>1.1.3.2</t>
  </si>
  <si>
    <t>프로토타입 제출 전 연출들 제작 및 연결</t>
  </si>
  <si>
    <t>개발 전원 협력</t>
  </si>
  <si>
    <t>플레이어 입력 반영</t>
  </si>
  <si>
    <t>1.1.1.3.1.3</t>
  </si>
  <si>
    <t>인벤토리 기획</t>
  </si>
  <si>
    <t>진단서 UI 기획</t>
  </si>
  <si>
    <t>1.3.2.1.3</t>
  </si>
  <si>
    <t>인게임 일시정지 메뉴 기획</t>
  </si>
  <si>
    <t>1.3.2.1.4</t>
  </si>
  <si>
    <t>인게임 UI</t>
  </si>
  <si>
    <t>일시정지 UI 및 옵션 조절</t>
  </si>
  <si>
    <t>1.1.2.2.1</t>
  </si>
  <si>
    <t>튜토리얼</t>
  </si>
  <si>
    <t>튜토리얼 레벨 디자인</t>
  </si>
  <si>
    <t>튜토리얼 사물 배치</t>
  </si>
  <si>
    <t>튜토리얼 퍼즐 배치</t>
  </si>
  <si>
    <t>튜토리얼 수집물 배치</t>
  </si>
  <si>
    <t>{"TASK_FIRST_COL":"5","START_ROW":"5","WBS_AREA_LAST_COL":"31"}</t>
    <phoneticPr fontId="4" type="noConversion"/>
  </si>
  <si>
    <t>SCHEDULE_SHEET_POSITION:3545151617181920212223242526272829303132</t>
    <phoneticPr fontId="2" type="noConversion"/>
  </si>
  <si>
    <t>시작일*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</si>
  <si>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</si>
  <si>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</si>
  <si>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</si>
  <si>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</si>
  <si>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</si>
  <si>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총기간</t>
    <phoneticPr fontId="4" type="noConversion"/>
  </si>
  <si>
    <t>가중치</t>
    <phoneticPr fontId="4" type="noConversion"/>
  </si>
  <si>
    <t>완료일*</t>
    <phoneticPr fontId="4" type="noConversion"/>
  </si>
  <si>
    <t>실제_x000D_
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</si>
  <si>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</si>
  <si>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</si>
  <si>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</si>
  <si>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</si>
  <si>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</si>
  <si>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Calendar</t>
    <phoneticPr fontId="4" type="noConversion"/>
  </si>
  <si>
    <t>실제_x000D_
총작업량</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</si>
  <si>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</si>
  <si>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</si>
  <si>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</si>
  <si>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</si>
  <si>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</si>
  <si>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</si>
  <si>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</si>
  <si>
    <t>reserved</t>
    <phoneticPr fontId="4" type="noConversion"/>
  </si>
  <si>
    <t>2022
W5</t>
  </si>
  <si>
    <t>W9</t>
  </si>
  <si>
    <t>이재유 / 권성빈</t>
  </si>
  <si>
    <t>이재유 및 팀원</t>
  </si>
  <si>
    <t>인게임 관련 기획</t>
  </si>
  <si>
    <t>1.2.1.1.1.1</t>
  </si>
  <si>
    <t>1.2.1.1.1.2</t>
  </si>
  <si>
    <t>1.2.1.1.1.3</t>
  </si>
  <si>
    <t>1.2.1.1.2.1</t>
  </si>
  <si>
    <t>1.2.1.1.2.1.1</t>
  </si>
  <si>
    <t>1.2.1.1.2.1.2</t>
  </si>
  <si>
    <t>1.2.1.1.3.1</t>
  </si>
  <si>
    <t>1.2.1.1.3.1.1</t>
  </si>
  <si>
    <t>1.2.1.1.3.1.2</t>
  </si>
  <si>
    <t>1.2.1.1.3.1.3</t>
  </si>
  <si>
    <t>1.2.1.1.3.1.4</t>
  </si>
  <si>
    <t>1.2.1.1.3.2</t>
  </si>
  <si>
    <t>1.2.1.1.3.2.1</t>
  </si>
  <si>
    <t>1.2.1.1.3.2.2</t>
  </si>
  <si>
    <t>1.2.1.1.3.2.3</t>
  </si>
  <si>
    <t>1.2.1.1.3.2.4</t>
  </si>
  <si>
    <t>1.2.1.1.4</t>
  </si>
  <si>
    <t>1.2.1.1.4.1</t>
  </si>
  <si>
    <t>기획서 작성</t>
  </si>
  <si>
    <t>전체 게임의 기획서 작성</t>
  </si>
  <si>
    <t>게임 플레이로 이동 전에 로딩화면에 진입 후 이동</t>
  </si>
  <si>
    <t>1.1.2.1.2</t>
  </si>
  <si>
    <t>로딩화면 메시지 띄우는 기능 완성</t>
  </si>
  <si>
    <t>1.1.2.1.3</t>
  </si>
  <si>
    <t>인게임 중 대사 ( 로그 시스템 추가 )</t>
  </si>
  <si>
    <t>1.1.2.2.2</t>
  </si>
  <si>
    <t>인벤토리 새로운 기획에 맞춰 구현</t>
  </si>
  <si>
    <t>1.1.1.2.4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</si>
</sst>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b/>
      <sz val="9"/>
      <name val="맑은 고딕"/>
      <family val="3"/>
      <charset val="129"/>
      <scheme val="minor"/>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51" fillId="0" borderId="0" xfId="4" applyFont="1" applyFill="1" applyBorder="1" applyAlignment="1" applyProtection="1">
      <alignment horizontal="left" vertical="center"/>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2" fillId="21" borderId="0" xfId="4" applyFont="1" applyFill="1" applyBorder="1"/>
    <xf numFmtId="0" fontId="9" fillId="21" borderId="0" xfId="4" applyFont="1" applyFill="1" applyBorder="1"/>
    <xf numFmtId="10" fontId="53" fillId="0" borderId="0" xfId="4" applyNumberFormat="1" applyFont="1" applyBorder="1"/>
    <xf numFmtId="10" fontId="53" fillId="21" borderId="0" xfId="4" applyNumberFormat="1" applyFont="1" applyFill="1" applyBorder="1"/>
    <xf numFmtId="0" fontId="23" fillId="0" borderId="30" xfId="4" applyFont="1" applyFill="1" applyBorder="1" applyAlignment="1" applyProtection="1">
      <alignment horizontal="left" vertical="center"/>
      <protection locked="0"/>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10" fontId="23" fillId="0" borderId="31" xfId="6" applyNumberFormat="1" applyFont="1" applyFill="1" applyBorder="1" applyAlignment="1" applyProtection="1">
      <alignment horizontal="right" vertical="top"/>
      <protection locked="0"/>
    </xf>
    <xf numFmtId="10" fontId="54" fillId="17"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54" fillId="22" borderId="30" xfId="6" applyNumberFormat="1" applyFont="1" applyFill="1" applyBorder="1" applyAlignment="1" applyProtection="1">
      <alignment horizontal="right" vertical="top"/>
      <protection locked="0"/>
    </xf>
    <xf numFmtId="10" fontId="23" fillId="23" borderId="30" xfId="6" applyNumberFormat="1" applyFont="1" applyFill="1" applyBorder="1" applyAlignment="1" applyProtection="1">
      <alignment horizontal="right" vertical="top"/>
      <protection locked="0"/>
    </xf>
    <xf numFmtId="10" fontId="54" fillId="23" borderId="30" xfId="6" applyNumberFormat="1" applyFont="1" applyFill="1" applyBorder="1" applyAlignment="1" applyProtection="1">
      <alignment horizontal="right" vertical="top"/>
      <protection locked="0"/>
    </xf>
    <xf numFmtId="0" fontId="47" fillId="19" borderId="20" xfId="4" applyFont="1" applyFill="1" applyBorder="1" applyAlignment="1" applyProtection="1">
      <alignment horizontal="left" vertical="center"/>
    </xf>
    <xf numFmtId="0" fontId="47" fillId="19" borderId="21" xfId="4" applyFont="1" applyFill="1" applyBorder="1" applyAlignment="1" applyProtection="1">
      <alignment horizontal="left" vertical="center"/>
    </xf>
    <xf numFmtId="0" fontId="36"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4" fontId="20" fillId="18" borderId="2" xfId="4" applyNumberFormat="1" applyFont="1" applyFill="1" applyBorder="1" applyAlignment="1" applyProtection="1">
      <alignment horizontal="center" vertical="center"/>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23">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3</xdr:row>
      <xdr:rowOff>76073</xdr:rowOff>
    </xdr:from>
    <xdr:to>
      <xdr:col>37</xdr:col>
      <xdr:colOff>40821</xdr:colOff>
      <xdr:row>73</xdr:row>
      <xdr:rowOff>0</xdr:rowOff>
    </xdr:to>
    <xdr:cxnSp macro="">
      <xdr:nvCxnSpPr>
        <xdr:cNvPr id="33394" name="직선 화살표 연결선 33393">
          <a:extLst>
            <a:ext uri="{FF2B5EF4-FFF2-40B4-BE49-F238E27FC236}">
              <a16:creationId xmlns:a16="http://schemas.microsoft.com/office/drawing/2014/main" id="{EC75AC84-827A-46EE-A6C1-4BEA19CE2503}"/>
            </a:ext>
          </a:extLst>
        </xdr:cNvPr>
        <xdr:cNvCxnSpPr/>
      </xdr:nvCxnSpPr>
      <xdr:spPr>
        <a:xfrm>
          <a:off x="14033046" y="752348"/>
          <a:ext cx="0" cy="10515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72</xdr:row>
      <xdr:rowOff>19050</xdr:rowOff>
    </xdr:from>
    <xdr:to>
      <xdr:col>36</xdr:col>
      <xdr:colOff>123734</xdr:colOff>
      <xdr:row>72</xdr:row>
      <xdr:rowOff>133350</xdr:rowOff>
    </xdr:to>
    <xdr:sp macro="" textlink="">
      <xdr:nvSpPr>
        <xdr:cNvPr id="33395" name="69">
          <a:extLst>
            <a:ext uri="{FF2B5EF4-FFF2-40B4-BE49-F238E27FC236}">
              <a16:creationId xmlns:a16="http://schemas.microsoft.com/office/drawing/2014/main" id="{826C3CAD-9049-4D6F-8BAD-20038A18CFC8}"/>
            </a:ext>
          </a:extLst>
        </xdr:cNvPr>
        <xdr:cNvSpPr/>
      </xdr:nvSpPr>
      <xdr:spPr>
        <a:xfrm>
          <a:off x="13869761" y="11134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72</xdr:row>
      <xdr:rowOff>76200</xdr:rowOff>
    </xdr:from>
    <xdr:to>
      <xdr:col>36</xdr:col>
      <xdr:colOff>122464</xdr:colOff>
      <xdr:row>72</xdr:row>
      <xdr:rowOff>76200</xdr:rowOff>
    </xdr:to>
    <xdr:cxnSp macro="">
      <xdr:nvCxnSpPr>
        <xdr:cNvPr id="33396" name="직선 화살표 연결선 33395">
          <a:extLst>
            <a:ext uri="{FF2B5EF4-FFF2-40B4-BE49-F238E27FC236}">
              <a16:creationId xmlns:a16="http://schemas.microsoft.com/office/drawing/2014/main" id="{70BEEC30-8E86-4DBA-B4A7-AABBC592451C}"/>
            </a:ext>
          </a:extLst>
        </xdr:cNvPr>
        <xdr:cNvCxnSpPr/>
      </xdr:nvCxnSpPr>
      <xdr:spPr>
        <a:xfrm>
          <a:off x="13869761" y="11191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61232</xdr:colOff>
      <xdr:row>71</xdr:row>
      <xdr:rowOff>19050</xdr:rowOff>
    </xdr:from>
    <xdr:to>
      <xdr:col>38</xdr:col>
      <xdr:colOff>103324</xdr:colOff>
      <xdr:row>71</xdr:row>
      <xdr:rowOff>133350</xdr:rowOff>
    </xdr:to>
    <xdr:sp macro="" textlink="">
      <xdr:nvSpPr>
        <xdr:cNvPr id="33397" name="68">
          <a:extLst>
            <a:ext uri="{FF2B5EF4-FFF2-40B4-BE49-F238E27FC236}">
              <a16:creationId xmlns:a16="http://schemas.microsoft.com/office/drawing/2014/main" id="{BBE51895-35EF-41B4-B367-CC9AAFC2D223}"/>
            </a:ext>
          </a:extLst>
        </xdr:cNvPr>
        <xdr:cNvSpPr/>
      </xdr:nvSpPr>
      <xdr:spPr>
        <a:xfrm>
          <a:off x="14053457" y="10982325"/>
          <a:ext cx="1849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61232</xdr:colOff>
      <xdr:row>71</xdr:row>
      <xdr:rowOff>76200</xdr:rowOff>
    </xdr:from>
    <xdr:to>
      <xdr:col>37</xdr:col>
      <xdr:colOff>61232</xdr:colOff>
      <xdr:row>71</xdr:row>
      <xdr:rowOff>76200</xdr:rowOff>
    </xdr:to>
    <xdr:cxnSp macro="">
      <xdr:nvCxnSpPr>
        <xdr:cNvPr id="33398" name="직선 화살표 연결선 33397">
          <a:extLst>
            <a:ext uri="{FF2B5EF4-FFF2-40B4-BE49-F238E27FC236}">
              <a16:creationId xmlns:a16="http://schemas.microsoft.com/office/drawing/2014/main" id="{113DC3B9-A3A5-4FC4-B206-71660CE85DCA}"/>
            </a:ext>
          </a:extLst>
        </xdr:cNvPr>
        <xdr:cNvCxnSpPr/>
      </xdr:nvCxnSpPr>
      <xdr:spPr>
        <a:xfrm>
          <a:off x="14053457" y="1103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70</xdr:row>
      <xdr:rowOff>19050</xdr:rowOff>
    </xdr:from>
    <xdr:to>
      <xdr:col>37</xdr:col>
      <xdr:colOff>103324</xdr:colOff>
      <xdr:row>70</xdr:row>
      <xdr:rowOff>133350</xdr:rowOff>
    </xdr:to>
    <xdr:sp macro="" textlink="">
      <xdr:nvSpPr>
        <xdr:cNvPr id="33399" name="67">
          <a:extLst>
            <a:ext uri="{FF2B5EF4-FFF2-40B4-BE49-F238E27FC236}">
              <a16:creationId xmlns:a16="http://schemas.microsoft.com/office/drawing/2014/main" id="{26EFB823-9C6E-49AA-97AC-1709468055ED}"/>
            </a:ext>
          </a:extLst>
        </xdr:cNvPr>
        <xdr:cNvSpPr/>
      </xdr:nvSpPr>
      <xdr:spPr>
        <a:xfrm>
          <a:off x="13828939" y="10829925"/>
          <a:ext cx="2666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70</xdr:row>
      <xdr:rowOff>76200</xdr:rowOff>
    </xdr:from>
    <xdr:to>
      <xdr:col>37</xdr:col>
      <xdr:colOff>102054</xdr:colOff>
      <xdr:row>70</xdr:row>
      <xdr:rowOff>76200</xdr:rowOff>
    </xdr:to>
    <xdr:cxnSp macro="">
      <xdr:nvCxnSpPr>
        <xdr:cNvPr id="33400" name="직선 화살표 연결선 33399">
          <a:extLst>
            <a:ext uri="{FF2B5EF4-FFF2-40B4-BE49-F238E27FC236}">
              <a16:creationId xmlns:a16="http://schemas.microsoft.com/office/drawing/2014/main" id="{AC728448-6637-4C10-8DC6-4E2363B11995}"/>
            </a:ext>
          </a:extLst>
        </xdr:cNvPr>
        <xdr:cNvCxnSpPr/>
      </xdr:nvCxnSpPr>
      <xdr:spPr>
        <a:xfrm>
          <a:off x="13828939" y="10887075"/>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69</xdr:row>
      <xdr:rowOff>19050</xdr:rowOff>
    </xdr:from>
    <xdr:to>
      <xdr:col>39</xdr:col>
      <xdr:colOff>62502</xdr:colOff>
      <xdr:row>69</xdr:row>
      <xdr:rowOff>133350</xdr:rowOff>
    </xdr:to>
    <xdr:sp macro="" textlink="">
      <xdr:nvSpPr>
        <xdr:cNvPr id="33401" name="66">
          <a:extLst>
            <a:ext uri="{FF2B5EF4-FFF2-40B4-BE49-F238E27FC236}">
              <a16:creationId xmlns:a16="http://schemas.microsoft.com/office/drawing/2014/main" id="{DD23077D-FF55-417E-A518-0561393C55D8}"/>
            </a:ext>
          </a:extLst>
        </xdr:cNvPr>
        <xdr:cNvSpPr/>
      </xdr:nvSpPr>
      <xdr:spPr>
        <a:xfrm>
          <a:off x="14012636" y="10677525"/>
          <a:ext cx="3278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69</xdr:row>
      <xdr:rowOff>76200</xdr:rowOff>
    </xdr:from>
    <xdr:to>
      <xdr:col>38</xdr:col>
      <xdr:colOff>73479</xdr:colOff>
      <xdr:row>69</xdr:row>
      <xdr:rowOff>76200</xdr:rowOff>
    </xdr:to>
    <xdr:cxnSp macro="">
      <xdr:nvCxnSpPr>
        <xdr:cNvPr id="33402" name="직선 화살표 연결선 33401">
          <a:extLst>
            <a:ext uri="{FF2B5EF4-FFF2-40B4-BE49-F238E27FC236}">
              <a16:creationId xmlns:a16="http://schemas.microsoft.com/office/drawing/2014/main" id="{512CBB33-022B-46A2-A8AD-837DC0E92EDD}"/>
            </a:ext>
          </a:extLst>
        </xdr:cNvPr>
        <xdr:cNvCxnSpPr/>
      </xdr:nvCxnSpPr>
      <xdr:spPr>
        <a:xfrm>
          <a:off x="14012636" y="10734675"/>
          <a:ext cx="1959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68</xdr:row>
      <xdr:rowOff>19050</xdr:rowOff>
    </xdr:from>
    <xdr:to>
      <xdr:col>39</xdr:col>
      <xdr:colOff>62502</xdr:colOff>
      <xdr:row>68</xdr:row>
      <xdr:rowOff>133350</xdr:rowOff>
    </xdr:to>
    <xdr:sp macro="" textlink="">
      <xdr:nvSpPr>
        <xdr:cNvPr id="33403" name="65">
          <a:extLst>
            <a:ext uri="{FF2B5EF4-FFF2-40B4-BE49-F238E27FC236}">
              <a16:creationId xmlns:a16="http://schemas.microsoft.com/office/drawing/2014/main" id="{28EAB9FE-2954-4BF6-989B-047FFCC230F1}"/>
            </a:ext>
          </a:extLst>
        </xdr:cNvPr>
        <xdr:cNvSpPr/>
      </xdr:nvSpPr>
      <xdr:spPr>
        <a:xfrm>
          <a:off x="13828939" y="105251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68</xdr:row>
      <xdr:rowOff>76200</xdr:rowOff>
    </xdr:from>
    <xdr:to>
      <xdr:col>38</xdr:col>
      <xdr:colOff>21647</xdr:colOff>
      <xdr:row>68</xdr:row>
      <xdr:rowOff>76200</xdr:rowOff>
    </xdr:to>
    <xdr:cxnSp macro="">
      <xdr:nvCxnSpPr>
        <xdr:cNvPr id="33404" name="직선 화살표 연결선 33403">
          <a:extLst>
            <a:ext uri="{FF2B5EF4-FFF2-40B4-BE49-F238E27FC236}">
              <a16:creationId xmlns:a16="http://schemas.microsoft.com/office/drawing/2014/main" id="{C5902D43-1212-4FD7-8FCB-C26BFCA940B7}"/>
            </a:ext>
          </a:extLst>
        </xdr:cNvPr>
        <xdr:cNvCxnSpPr/>
      </xdr:nvCxnSpPr>
      <xdr:spPr>
        <a:xfrm>
          <a:off x="13828939" y="10582275"/>
          <a:ext cx="3278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67</xdr:row>
      <xdr:rowOff>19050</xdr:rowOff>
    </xdr:from>
    <xdr:to>
      <xdr:col>39</xdr:col>
      <xdr:colOff>62502</xdr:colOff>
      <xdr:row>67</xdr:row>
      <xdr:rowOff>133350</xdr:rowOff>
    </xdr:to>
    <xdr:sp macro="" textlink="">
      <xdr:nvSpPr>
        <xdr:cNvPr id="33405" name="64">
          <a:extLst>
            <a:ext uri="{FF2B5EF4-FFF2-40B4-BE49-F238E27FC236}">
              <a16:creationId xmlns:a16="http://schemas.microsoft.com/office/drawing/2014/main" id="{D048C0A4-C648-41D1-8452-8B34505A79FF}"/>
            </a:ext>
          </a:extLst>
        </xdr:cNvPr>
        <xdr:cNvSpPr/>
      </xdr:nvSpPr>
      <xdr:spPr>
        <a:xfrm>
          <a:off x="13828939" y="103727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67</xdr:row>
      <xdr:rowOff>76200</xdr:rowOff>
    </xdr:from>
    <xdr:to>
      <xdr:col>38</xdr:col>
      <xdr:colOff>21647</xdr:colOff>
      <xdr:row>67</xdr:row>
      <xdr:rowOff>76200</xdr:rowOff>
    </xdr:to>
    <xdr:cxnSp macro="">
      <xdr:nvCxnSpPr>
        <xdr:cNvPr id="33406" name="직선 화살표 연결선 33405">
          <a:extLst>
            <a:ext uri="{FF2B5EF4-FFF2-40B4-BE49-F238E27FC236}">
              <a16:creationId xmlns:a16="http://schemas.microsoft.com/office/drawing/2014/main" id="{930BE75E-5ED6-4D5D-B054-41BC98ACCB83}"/>
            </a:ext>
          </a:extLst>
        </xdr:cNvPr>
        <xdr:cNvCxnSpPr/>
      </xdr:nvCxnSpPr>
      <xdr:spPr>
        <a:xfrm>
          <a:off x="13828939" y="10429875"/>
          <a:ext cx="3278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66</xdr:row>
      <xdr:rowOff>19050</xdr:rowOff>
    </xdr:from>
    <xdr:to>
      <xdr:col>39</xdr:col>
      <xdr:colOff>42090</xdr:colOff>
      <xdr:row>66</xdr:row>
      <xdr:rowOff>133350</xdr:rowOff>
    </xdr:to>
    <xdr:sp macro="" textlink="">
      <xdr:nvSpPr>
        <xdr:cNvPr id="33407" name="63">
          <a:extLst>
            <a:ext uri="{FF2B5EF4-FFF2-40B4-BE49-F238E27FC236}">
              <a16:creationId xmlns:a16="http://schemas.microsoft.com/office/drawing/2014/main" id="{717D849E-195E-4341-A2B3-50588117EE3E}"/>
            </a:ext>
          </a:extLst>
        </xdr:cNvPr>
        <xdr:cNvSpPr/>
      </xdr:nvSpPr>
      <xdr:spPr>
        <a:xfrm>
          <a:off x="14216743" y="102203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66</xdr:row>
      <xdr:rowOff>76200</xdr:rowOff>
    </xdr:from>
    <xdr:to>
      <xdr:col>38</xdr:col>
      <xdr:colOff>81643</xdr:colOff>
      <xdr:row>66</xdr:row>
      <xdr:rowOff>76200</xdr:rowOff>
    </xdr:to>
    <xdr:cxnSp macro="">
      <xdr:nvCxnSpPr>
        <xdr:cNvPr id="33408" name="직선 화살표 연결선 33407">
          <a:extLst>
            <a:ext uri="{FF2B5EF4-FFF2-40B4-BE49-F238E27FC236}">
              <a16:creationId xmlns:a16="http://schemas.microsoft.com/office/drawing/2014/main" id="{07DCF84A-1F52-4F21-8C6E-EA7EEEBC2BFE}"/>
            </a:ext>
          </a:extLst>
        </xdr:cNvPr>
        <xdr:cNvCxnSpPr/>
      </xdr:nvCxnSpPr>
      <xdr:spPr>
        <a:xfrm>
          <a:off x="14216743"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65</xdr:row>
      <xdr:rowOff>19050</xdr:rowOff>
    </xdr:from>
    <xdr:to>
      <xdr:col>38</xdr:col>
      <xdr:colOff>103324</xdr:colOff>
      <xdr:row>65</xdr:row>
      <xdr:rowOff>133350</xdr:rowOff>
    </xdr:to>
    <xdr:sp macro="" textlink="">
      <xdr:nvSpPr>
        <xdr:cNvPr id="33409" name="0">
          <a:extLst>
            <a:ext uri="{FF2B5EF4-FFF2-40B4-BE49-F238E27FC236}">
              <a16:creationId xmlns:a16="http://schemas.microsoft.com/office/drawing/2014/main" id="{ED061478-A278-406A-9570-1D0A9D9F7900}"/>
            </a:ext>
          </a:extLst>
        </xdr:cNvPr>
        <xdr:cNvSpPr/>
      </xdr:nvSpPr>
      <xdr:spPr>
        <a:xfrm>
          <a:off x="14155511" y="100679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65</xdr:row>
      <xdr:rowOff>76200</xdr:rowOff>
    </xdr:from>
    <xdr:to>
      <xdr:col>38</xdr:col>
      <xdr:colOff>20411</xdr:colOff>
      <xdr:row>65</xdr:row>
      <xdr:rowOff>76200</xdr:rowOff>
    </xdr:to>
    <xdr:cxnSp macro="">
      <xdr:nvCxnSpPr>
        <xdr:cNvPr id="33410" name="직선 화살표 연결선 33409">
          <a:extLst>
            <a:ext uri="{FF2B5EF4-FFF2-40B4-BE49-F238E27FC236}">
              <a16:creationId xmlns:a16="http://schemas.microsoft.com/office/drawing/2014/main" id="{717761A3-DA55-41B5-9926-7A777AAFC882}"/>
            </a:ext>
          </a:extLst>
        </xdr:cNvPr>
        <xdr:cNvCxnSpPr/>
      </xdr:nvCxnSpPr>
      <xdr:spPr>
        <a:xfrm>
          <a:off x="14155511"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64</xdr:row>
      <xdr:rowOff>19050</xdr:rowOff>
    </xdr:from>
    <xdr:to>
      <xdr:col>38</xdr:col>
      <xdr:colOff>103324</xdr:colOff>
      <xdr:row>64</xdr:row>
      <xdr:rowOff>133350</xdr:rowOff>
    </xdr:to>
    <xdr:sp macro="" textlink="">
      <xdr:nvSpPr>
        <xdr:cNvPr id="33411" name="61">
          <a:extLst>
            <a:ext uri="{FF2B5EF4-FFF2-40B4-BE49-F238E27FC236}">
              <a16:creationId xmlns:a16="http://schemas.microsoft.com/office/drawing/2014/main" id="{8349B87C-0967-4746-986A-4E72949B7E54}"/>
            </a:ext>
          </a:extLst>
        </xdr:cNvPr>
        <xdr:cNvSpPr/>
      </xdr:nvSpPr>
      <xdr:spPr>
        <a:xfrm>
          <a:off x="13747296" y="9915525"/>
          <a:ext cx="4911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64</xdr:row>
      <xdr:rowOff>76200</xdr:rowOff>
    </xdr:from>
    <xdr:to>
      <xdr:col>35</xdr:col>
      <xdr:colOff>89807</xdr:colOff>
      <xdr:row>64</xdr:row>
      <xdr:rowOff>76200</xdr:rowOff>
    </xdr:to>
    <xdr:cxnSp macro="">
      <xdr:nvCxnSpPr>
        <xdr:cNvPr id="33412" name="직선 화살표 연결선 33411">
          <a:extLst>
            <a:ext uri="{FF2B5EF4-FFF2-40B4-BE49-F238E27FC236}">
              <a16:creationId xmlns:a16="http://schemas.microsoft.com/office/drawing/2014/main" id="{990987BC-E861-4936-8A9D-33FB92013FD3}"/>
            </a:ext>
          </a:extLst>
        </xdr:cNvPr>
        <xdr:cNvCxnSpPr/>
      </xdr:nvCxnSpPr>
      <xdr:spPr>
        <a:xfrm>
          <a:off x="13747296" y="9972675"/>
          <a:ext cx="489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63</xdr:row>
      <xdr:rowOff>19050</xdr:rowOff>
    </xdr:from>
    <xdr:to>
      <xdr:col>38</xdr:col>
      <xdr:colOff>21681</xdr:colOff>
      <xdr:row>63</xdr:row>
      <xdr:rowOff>133350</xdr:rowOff>
    </xdr:to>
    <xdr:sp macro="" textlink="">
      <xdr:nvSpPr>
        <xdr:cNvPr id="33413" name="60">
          <a:extLst>
            <a:ext uri="{FF2B5EF4-FFF2-40B4-BE49-F238E27FC236}">
              <a16:creationId xmlns:a16="http://schemas.microsoft.com/office/drawing/2014/main" id="{C46E9F3E-4136-4602-90A8-FAEBCD9CF90F}"/>
            </a:ext>
          </a:extLst>
        </xdr:cNvPr>
        <xdr:cNvSpPr/>
      </xdr:nvSpPr>
      <xdr:spPr>
        <a:xfrm>
          <a:off x="13747296" y="9763125"/>
          <a:ext cx="4094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63</xdr:row>
      <xdr:rowOff>76200</xdr:rowOff>
    </xdr:from>
    <xdr:to>
      <xdr:col>36</xdr:col>
      <xdr:colOff>32657</xdr:colOff>
      <xdr:row>63</xdr:row>
      <xdr:rowOff>76200</xdr:rowOff>
    </xdr:to>
    <xdr:cxnSp macro="">
      <xdr:nvCxnSpPr>
        <xdr:cNvPr id="33414" name="직선 화살표 연결선 33413">
          <a:extLst>
            <a:ext uri="{FF2B5EF4-FFF2-40B4-BE49-F238E27FC236}">
              <a16:creationId xmlns:a16="http://schemas.microsoft.com/office/drawing/2014/main" id="{3E367C6F-0515-4C5D-8722-B62A97C10248}"/>
            </a:ext>
          </a:extLst>
        </xdr:cNvPr>
        <xdr:cNvCxnSpPr/>
      </xdr:nvCxnSpPr>
      <xdr:spPr>
        <a:xfrm>
          <a:off x="13747296" y="9820275"/>
          <a:ext cx="1347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62</xdr:row>
      <xdr:rowOff>19050</xdr:rowOff>
    </xdr:from>
    <xdr:to>
      <xdr:col>38</xdr:col>
      <xdr:colOff>103324</xdr:colOff>
      <xdr:row>62</xdr:row>
      <xdr:rowOff>133350</xdr:rowOff>
    </xdr:to>
    <xdr:sp macro="" textlink="">
      <xdr:nvSpPr>
        <xdr:cNvPr id="33415" name="59">
          <a:extLst>
            <a:ext uri="{FF2B5EF4-FFF2-40B4-BE49-F238E27FC236}">
              <a16:creationId xmlns:a16="http://schemas.microsoft.com/office/drawing/2014/main" id="{DCB25C52-43A2-4236-BD5C-0EF4F3F525BB}"/>
            </a:ext>
          </a:extLst>
        </xdr:cNvPr>
        <xdr:cNvSpPr/>
      </xdr:nvSpPr>
      <xdr:spPr>
        <a:xfrm>
          <a:off x="13747296" y="9610725"/>
          <a:ext cx="4911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62</xdr:row>
      <xdr:rowOff>76200</xdr:rowOff>
    </xdr:from>
    <xdr:to>
      <xdr:col>35</xdr:col>
      <xdr:colOff>139098</xdr:colOff>
      <xdr:row>62</xdr:row>
      <xdr:rowOff>76200</xdr:rowOff>
    </xdr:to>
    <xdr:cxnSp macro="">
      <xdr:nvCxnSpPr>
        <xdr:cNvPr id="33416" name="직선 화살표 연결선 33415">
          <a:extLst>
            <a:ext uri="{FF2B5EF4-FFF2-40B4-BE49-F238E27FC236}">
              <a16:creationId xmlns:a16="http://schemas.microsoft.com/office/drawing/2014/main" id="{7D6F58FA-D7C1-41A4-A188-14EA55702C9F}"/>
            </a:ext>
          </a:extLst>
        </xdr:cNvPr>
        <xdr:cNvCxnSpPr/>
      </xdr:nvCxnSpPr>
      <xdr:spPr>
        <a:xfrm>
          <a:off x="13747296" y="9667875"/>
          <a:ext cx="982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61</xdr:row>
      <xdr:rowOff>19050</xdr:rowOff>
    </xdr:from>
    <xdr:to>
      <xdr:col>39</xdr:col>
      <xdr:colOff>42090</xdr:colOff>
      <xdr:row>61</xdr:row>
      <xdr:rowOff>133350</xdr:rowOff>
    </xdr:to>
    <xdr:sp macro="" textlink="">
      <xdr:nvSpPr>
        <xdr:cNvPr id="33417" name="58">
          <a:extLst>
            <a:ext uri="{FF2B5EF4-FFF2-40B4-BE49-F238E27FC236}">
              <a16:creationId xmlns:a16="http://schemas.microsoft.com/office/drawing/2014/main" id="{6D82A102-B381-4AA6-8F3D-A12DDA1FE523}"/>
            </a:ext>
          </a:extLst>
        </xdr:cNvPr>
        <xdr:cNvSpPr/>
      </xdr:nvSpPr>
      <xdr:spPr>
        <a:xfrm>
          <a:off x="13747296" y="94583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61</xdr:row>
      <xdr:rowOff>76200</xdr:rowOff>
    </xdr:from>
    <xdr:to>
      <xdr:col>35</xdr:col>
      <xdr:colOff>134899</xdr:colOff>
      <xdr:row>61</xdr:row>
      <xdr:rowOff>76200</xdr:rowOff>
    </xdr:to>
    <xdr:cxnSp macro="">
      <xdr:nvCxnSpPr>
        <xdr:cNvPr id="33418" name="직선 화살표 연결선 33417">
          <a:extLst>
            <a:ext uri="{FF2B5EF4-FFF2-40B4-BE49-F238E27FC236}">
              <a16:creationId xmlns:a16="http://schemas.microsoft.com/office/drawing/2014/main" id="{B064AA37-96B8-4464-8E47-435BBFEAE18E}"/>
            </a:ext>
          </a:extLst>
        </xdr:cNvPr>
        <xdr:cNvCxnSpPr/>
      </xdr:nvCxnSpPr>
      <xdr:spPr>
        <a:xfrm>
          <a:off x="13747296" y="95154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60</xdr:row>
      <xdr:rowOff>19050</xdr:rowOff>
    </xdr:from>
    <xdr:to>
      <xdr:col>39</xdr:col>
      <xdr:colOff>42090</xdr:colOff>
      <xdr:row>60</xdr:row>
      <xdr:rowOff>133350</xdr:rowOff>
    </xdr:to>
    <xdr:sp macro="" textlink="">
      <xdr:nvSpPr>
        <xdr:cNvPr id="33419" name="57">
          <a:extLst>
            <a:ext uri="{FF2B5EF4-FFF2-40B4-BE49-F238E27FC236}">
              <a16:creationId xmlns:a16="http://schemas.microsoft.com/office/drawing/2014/main" id="{9008C25D-89F7-4381-A42B-1C189AE42F82}"/>
            </a:ext>
          </a:extLst>
        </xdr:cNvPr>
        <xdr:cNvSpPr/>
      </xdr:nvSpPr>
      <xdr:spPr>
        <a:xfrm>
          <a:off x="13747296" y="93059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60</xdr:row>
      <xdr:rowOff>76200</xdr:rowOff>
    </xdr:from>
    <xdr:to>
      <xdr:col>35</xdr:col>
      <xdr:colOff>134899</xdr:colOff>
      <xdr:row>60</xdr:row>
      <xdr:rowOff>76200</xdr:rowOff>
    </xdr:to>
    <xdr:cxnSp macro="">
      <xdr:nvCxnSpPr>
        <xdr:cNvPr id="33420" name="직선 화살표 연결선 33419">
          <a:extLst>
            <a:ext uri="{FF2B5EF4-FFF2-40B4-BE49-F238E27FC236}">
              <a16:creationId xmlns:a16="http://schemas.microsoft.com/office/drawing/2014/main" id="{298C4FCD-1531-47CC-A04D-06A15F64B47B}"/>
            </a:ext>
          </a:extLst>
        </xdr:cNvPr>
        <xdr:cNvCxnSpPr/>
      </xdr:nvCxnSpPr>
      <xdr:spPr>
        <a:xfrm>
          <a:off x="13747296" y="93630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59</xdr:row>
      <xdr:rowOff>19050</xdr:rowOff>
    </xdr:from>
    <xdr:to>
      <xdr:col>39</xdr:col>
      <xdr:colOff>42090</xdr:colOff>
      <xdr:row>59</xdr:row>
      <xdr:rowOff>133350</xdr:rowOff>
    </xdr:to>
    <xdr:sp macro="" textlink="">
      <xdr:nvSpPr>
        <xdr:cNvPr id="33421" name="56">
          <a:extLst>
            <a:ext uri="{FF2B5EF4-FFF2-40B4-BE49-F238E27FC236}">
              <a16:creationId xmlns:a16="http://schemas.microsoft.com/office/drawing/2014/main" id="{0A501EB0-6DF0-4470-839C-9004B6733859}"/>
            </a:ext>
          </a:extLst>
        </xdr:cNvPr>
        <xdr:cNvSpPr/>
      </xdr:nvSpPr>
      <xdr:spPr>
        <a:xfrm>
          <a:off x="13747296" y="91535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59</xdr:row>
      <xdr:rowOff>76200</xdr:rowOff>
    </xdr:from>
    <xdr:to>
      <xdr:col>35</xdr:col>
      <xdr:colOff>134899</xdr:colOff>
      <xdr:row>59</xdr:row>
      <xdr:rowOff>76200</xdr:rowOff>
    </xdr:to>
    <xdr:cxnSp macro="">
      <xdr:nvCxnSpPr>
        <xdr:cNvPr id="33422" name="직선 화살표 연결선 33421">
          <a:extLst>
            <a:ext uri="{FF2B5EF4-FFF2-40B4-BE49-F238E27FC236}">
              <a16:creationId xmlns:a16="http://schemas.microsoft.com/office/drawing/2014/main" id="{15B1E1DE-9F4C-4CCB-9CAB-2D756A214157}"/>
            </a:ext>
          </a:extLst>
        </xdr:cNvPr>
        <xdr:cNvCxnSpPr/>
      </xdr:nvCxnSpPr>
      <xdr:spPr>
        <a:xfrm>
          <a:off x="13747296" y="92106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58</xdr:row>
      <xdr:rowOff>19050</xdr:rowOff>
    </xdr:from>
    <xdr:to>
      <xdr:col>39</xdr:col>
      <xdr:colOff>62502</xdr:colOff>
      <xdr:row>58</xdr:row>
      <xdr:rowOff>133350</xdr:rowOff>
    </xdr:to>
    <xdr:sp macro="" textlink="">
      <xdr:nvSpPr>
        <xdr:cNvPr id="33423" name="55">
          <a:extLst>
            <a:ext uri="{FF2B5EF4-FFF2-40B4-BE49-F238E27FC236}">
              <a16:creationId xmlns:a16="http://schemas.microsoft.com/office/drawing/2014/main" id="{1D956F31-9571-48F5-9209-383F4638B135}"/>
            </a:ext>
          </a:extLst>
        </xdr:cNvPr>
        <xdr:cNvSpPr/>
      </xdr:nvSpPr>
      <xdr:spPr>
        <a:xfrm>
          <a:off x="13747296" y="9001125"/>
          <a:ext cx="593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58</xdr:row>
      <xdr:rowOff>76200</xdr:rowOff>
    </xdr:from>
    <xdr:to>
      <xdr:col>36</xdr:col>
      <xdr:colOff>125009</xdr:colOff>
      <xdr:row>58</xdr:row>
      <xdr:rowOff>76200</xdr:rowOff>
    </xdr:to>
    <xdr:cxnSp macro="">
      <xdr:nvCxnSpPr>
        <xdr:cNvPr id="33424" name="직선 화살표 연결선 33423">
          <a:extLst>
            <a:ext uri="{FF2B5EF4-FFF2-40B4-BE49-F238E27FC236}">
              <a16:creationId xmlns:a16="http://schemas.microsoft.com/office/drawing/2014/main" id="{6A16799B-64B4-4CB6-9079-6F2FD7587E6B}"/>
            </a:ext>
          </a:extLst>
        </xdr:cNvPr>
        <xdr:cNvCxnSpPr/>
      </xdr:nvCxnSpPr>
      <xdr:spPr>
        <a:xfrm>
          <a:off x="13747296" y="9058275"/>
          <a:ext cx="2270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57</xdr:row>
      <xdr:rowOff>19050</xdr:rowOff>
    </xdr:from>
    <xdr:to>
      <xdr:col>37</xdr:col>
      <xdr:colOff>42090</xdr:colOff>
      <xdr:row>57</xdr:row>
      <xdr:rowOff>133350</xdr:rowOff>
    </xdr:to>
    <xdr:sp macro="" textlink="">
      <xdr:nvSpPr>
        <xdr:cNvPr id="33425" name="54">
          <a:extLst>
            <a:ext uri="{FF2B5EF4-FFF2-40B4-BE49-F238E27FC236}">
              <a16:creationId xmlns:a16="http://schemas.microsoft.com/office/drawing/2014/main" id="{7BB52C9A-1315-46EC-9081-083A2306B4B3}"/>
            </a:ext>
          </a:extLst>
        </xdr:cNvPr>
        <xdr:cNvSpPr/>
      </xdr:nvSpPr>
      <xdr:spPr>
        <a:xfrm>
          <a:off x="13951404" y="88487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57</xdr:row>
      <xdr:rowOff>76200</xdr:rowOff>
    </xdr:from>
    <xdr:to>
      <xdr:col>37</xdr:col>
      <xdr:colOff>36739</xdr:colOff>
      <xdr:row>57</xdr:row>
      <xdr:rowOff>76200</xdr:rowOff>
    </xdr:to>
    <xdr:cxnSp macro="">
      <xdr:nvCxnSpPr>
        <xdr:cNvPr id="33426" name="직선 화살표 연결선 33425">
          <a:extLst>
            <a:ext uri="{FF2B5EF4-FFF2-40B4-BE49-F238E27FC236}">
              <a16:creationId xmlns:a16="http://schemas.microsoft.com/office/drawing/2014/main" id="{FC98080A-5816-46C1-893C-5509023EF406}"/>
            </a:ext>
          </a:extLst>
        </xdr:cNvPr>
        <xdr:cNvCxnSpPr/>
      </xdr:nvCxnSpPr>
      <xdr:spPr>
        <a:xfrm>
          <a:off x="13951404" y="89058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56</xdr:row>
      <xdr:rowOff>19050</xdr:rowOff>
    </xdr:from>
    <xdr:to>
      <xdr:col>37</xdr:col>
      <xdr:colOff>42090</xdr:colOff>
      <xdr:row>56</xdr:row>
      <xdr:rowOff>133350</xdr:rowOff>
    </xdr:to>
    <xdr:sp macro="" textlink="">
      <xdr:nvSpPr>
        <xdr:cNvPr id="33427" name="53">
          <a:extLst>
            <a:ext uri="{FF2B5EF4-FFF2-40B4-BE49-F238E27FC236}">
              <a16:creationId xmlns:a16="http://schemas.microsoft.com/office/drawing/2014/main" id="{641D2507-0DC3-429B-96FC-93CACAA90CA4}"/>
            </a:ext>
          </a:extLst>
        </xdr:cNvPr>
        <xdr:cNvSpPr/>
      </xdr:nvSpPr>
      <xdr:spPr>
        <a:xfrm>
          <a:off x="13951404" y="8696325"/>
          <a:ext cx="829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56</xdr:row>
      <xdr:rowOff>76200</xdr:rowOff>
    </xdr:from>
    <xdr:to>
      <xdr:col>37</xdr:col>
      <xdr:colOff>36739</xdr:colOff>
      <xdr:row>56</xdr:row>
      <xdr:rowOff>76200</xdr:rowOff>
    </xdr:to>
    <xdr:cxnSp macro="">
      <xdr:nvCxnSpPr>
        <xdr:cNvPr id="33428" name="직선 화살표 연결선 33427">
          <a:extLst>
            <a:ext uri="{FF2B5EF4-FFF2-40B4-BE49-F238E27FC236}">
              <a16:creationId xmlns:a16="http://schemas.microsoft.com/office/drawing/2014/main" id="{7E9D4A29-9988-452E-88EB-3B0AC3C69EA7}"/>
            </a:ext>
          </a:extLst>
        </xdr:cNvPr>
        <xdr:cNvCxnSpPr/>
      </xdr:nvCxnSpPr>
      <xdr:spPr>
        <a:xfrm>
          <a:off x="13951404" y="87534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55</xdr:row>
      <xdr:rowOff>19050</xdr:rowOff>
    </xdr:from>
    <xdr:to>
      <xdr:col>37</xdr:col>
      <xdr:colOff>42090</xdr:colOff>
      <xdr:row>55</xdr:row>
      <xdr:rowOff>133350</xdr:rowOff>
    </xdr:to>
    <xdr:sp macro="" textlink="">
      <xdr:nvSpPr>
        <xdr:cNvPr id="33429" name="52">
          <a:extLst>
            <a:ext uri="{FF2B5EF4-FFF2-40B4-BE49-F238E27FC236}">
              <a16:creationId xmlns:a16="http://schemas.microsoft.com/office/drawing/2014/main" id="{9601678A-778C-487C-8FF7-15A9E9BD1F3B}"/>
            </a:ext>
          </a:extLst>
        </xdr:cNvPr>
        <xdr:cNvSpPr/>
      </xdr:nvSpPr>
      <xdr:spPr>
        <a:xfrm>
          <a:off x="13624832" y="85439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55</xdr:row>
      <xdr:rowOff>76200</xdr:rowOff>
    </xdr:from>
    <xdr:to>
      <xdr:col>37</xdr:col>
      <xdr:colOff>40821</xdr:colOff>
      <xdr:row>55</xdr:row>
      <xdr:rowOff>76200</xdr:rowOff>
    </xdr:to>
    <xdr:cxnSp macro="">
      <xdr:nvCxnSpPr>
        <xdr:cNvPr id="33430" name="직선 화살표 연결선 33429">
          <a:extLst>
            <a:ext uri="{FF2B5EF4-FFF2-40B4-BE49-F238E27FC236}">
              <a16:creationId xmlns:a16="http://schemas.microsoft.com/office/drawing/2014/main" id="{EF098F44-162C-41A7-B018-ED9675EE0A95}"/>
            </a:ext>
          </a:extLst>
        </xdr:cNvPr>
        <xdr:cNvCxnSpPr/>
      </xdr:nvCxnSpPr>
      <xdr:spPr>
        <a:xfrm>
          <a:off x="13624832" y="86010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54</xdr:row>
      <xdr:rowOff>19050</xdr:rowOff>
    </xdr:from>
    <xdr:to>
      <xdr:col>37</xdr:col>
      <xdr:colOff>42090</xdr:colOff>
      <xdr:row>54</xdr:row>
      <xdr:rowOff>133350</xdr:rowOff>
    </xdr:to>
    <xdr:sp macro="" textlink="">
      <xdr:nvSpPr>
        <xdr:cNvPr id="33431" name="51">
          <a:extLst>
            <a:ext uri="{FF2B5EF4-FFF2-40B4-BE49-F238E27FC236}">
              <a16:creationId xmlns:a16="http://schemas.microsoft.com/office/drawing/2014/main" id="{B9ED87AE-6839-4BBE-BA7E-85C4EA8361B3}"/>
            </a:ext>
          </a:extLst>
        </xdr:cNvPr>
        <xdr:cNvSpPr/>
      </xdr:nvSpPr>
      <xdr:spPr>
        <a:xfrm>
          <a:off x="13624832" y="83915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54</xdr:row>
      <xdr:rowOff>76200</xdr:rowOff>
    </xdr:from>
    <xdr:to>
      <xdr:col>37</xdr:col>
      <xdr:colOff>40821</xdr:colOff>
      <xdr:row>54</xdr:row>
      <xdr:rowOff>76200</xdr:rowOff>
    </xdr:to>
    <xdr:cxnSp macro="">
      <xdr:nvCxnSpPr>
        <xdr:cNvPr id="33432" name="직선 화살표 연결선 33431">
          <a:extLst>
            <a:ext uri="{FF2B5EF4-FFF2-40B4-BE49-F238E27FC236}">
              <a16:creationId xmlns:a16="http://schemas.microsoft.com/office/drawing/2014/main" id="{AC823F28-2827-4413-A3F0-2BF650D649DB}"/>
            </a:ext>
          </a:extLst>
        </xdr:cNvPr>
        <xdr:cNvCxnSpPr/>
      </xdr:nvCxnSpPr>
      <xdr:spPr>
        <a:xfrm>
          <a:off x="13624832" y="84486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48</xdr:row>
      <xdr:rowOff>19050</xdr:rowOff>
    </xdr:from>
    <xdr:to>
      <xdr:col>38</xdr:col>
      <xdr:colOff>103324</xdr:colOff>
      <xdr:row>48</xdr:row>
      <xdr:rowOff>133350</xdr:rowOff>
    </xdr:to>
    <xdr:sp macro="" textlink="">
      <xdr:nvSpPr>
        <xdr:cNvPr id="33433" name="45">
          <a:extLst>
            <a:ext uri="{FF2B5EF4-FFF2-40B4-BE49-F238E27FC236}">
              <a16:creationId xmlns:a16="http://schemas.microsoft.com/office/drawing/2014/main" id="{3E8DD056-78A2-4791-8542-EEE2C15B2606}"/>
            </a:ext>
          </a:extLst>
        </xdr:cNvPr>
        <xdr:cNvSpPr/>
      </xdr:nvSpPr>
      <xdr:spPr>
        <a:xfrm>
          <a:off x="14155511" y="7477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48</xdr:row>
      <xdr:rowOff>76200</xdr:rowOff>
    </xdr:from>
    <xdr:to>
      <xdr:col>38</xdr:col>
      <xdr:colOff>20411</xdr:colOff>
      <xdr:row>48</xdr:row>
      <xdr:rowOff>76200</xdr:rowOff>
    </xdr:to>
    <xdr:cxnSp macro="">
      <xdr:nvCxnSpPr>
        <xdr:cNvPr id="33434" name="직선 화살표 연결선 33433">
          <a:extLst>
            <a:ext uri="{FF2B5EF4-FFF2-40B4-BE49-F238E27FC236}">
              <a16:creationId xmlns:a16="http://schemas.microsoft.com/office/drawing/2014/main" id="{3B4F9729-F6A7-429D-B8D0-A54F211C4A1E}"/>
            </a:ext>
          </a:extLst>
        </xdr:cNvPr>
        <xdr:cNvCxnSpPr/>
      </xdr:nvCxnSpPr>
      <xdr:spPr>
        <a:xfrm>
          <a:off x="14155511"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47</xdr:row>
      <xdr:rowOff>19050</xdr:rowOff>
    </xdr:from>
    <xdr:to>
      <xdr:col>38</xdr:col>
      <xdr:colOff>42090</xdr:colOff>
      <xdr:row>47</xdr:row>
      <xdr:rowOff>133350</xdr:rowOff>
    </xdr:to>
    <xdr:sp macro="" textlink="">
      <xdr:nvSpPr>
        <xdr:cNvPr id="33435" name="44">
          <a:extLst>
            <a:ext uri="{FF2B5EF4-FFF2-40B4-BE49-F238E27FC236}">
              <a16:creationId xmlns:a16="http://schemas.microsoft.com/office/drawing/2014/main" id="{F5B84ED5-99AB-4DE2-A1F1-1551D56714E8}"/>
            </a:ext>
          </a:extLst>
        </xdr:cNvPr>
        <xdr:cNvSpPr/>
      </xdr:nvSpPr>
      <xdr:spPr>
        <a:xfrm>
          <a:off x="14012636" y="73247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47</xdr:row>
      <xdr:rowOff>76200</xdr:rowOff>
    </xdr:from>
    <xdr:to>
      <xdr:col>38</xdr:col>
      <xdr:colOff>40821</xdr:colOff>
      <xdr:row>47</xdr:row>
      <xdr:rowOff>76200</xdr:rowOff>
    </xdr:to>
    <xdr:cxnSp macro="">
      <xdr:nvCxnSpPr>
        <xdr:cNvPr id="33436" name="직선 화살표 연결선 33435">
          <a:extLst>
            <a:ext uri="{FF2B5EF4-FFF2-40B4-BE49-F238E27FC236}">
              <a16:creationId xmlns:a16="http://schemas.microsoft.com/office/drawing/2014/main" id="{C6E302F5-B6E1-4BF3-9C41-9FE48017EBE7}"/>
            </a:ext>
          </a:extLst>
        </xdr:cNvPr>
        <xdr:cNvCxnSpPr/>
      </xdr:nvCxnSpPr>
      <xdr:spPr>
        <a:xfrm>
          <a:off x="14012636" y="73818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46</xdr:row>
      <xdr:rowOff>19050</xdr:rowOff>
    </xdr:from>
    <xdr:to>
      <xdr:col>38</xdr:col>
      <xdr:colOff>21681</xdr:colOff>
      <xdr:row>46</xdr:row>
      <xdr:rowOff>133350</xdr:rowOff>
    </xdr:to>
    <xdr:sp macro="" textlink="">
      <xdr:nvSpPr>
        <xdr:cNvPr id="33437" name="43">
          <a:extLst>
            <a:ext uri="{FF2B5EF4-FFF2-40B4-BE49-F238E27FC236}">
              <a16:creationId xmlns:a16="http://schemas.microsoft.com/office/drawing/2014/main" id="{BDAAF5BF-7129-4257-84A1-D738EBA89151}"/>
            </a:ext>
          </a:extLst>
        </xdr:cNvPr>
        <xdr:cNvSpPr/>
      </xdr:nvSpPr>
      <xdr:spPr>
        <a:xfrm>
          <a:off x="14012636" y="71723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46</xdr:row>
      <xdr:rowOff>76200</xdr:rowOff>
    </xdr:from>
    <xdr:to>
      <xdr:col>38</xdr:col>
      <xdr:colOff>20411</xdr:colOff>
      <xdr:row>46</xdr:row>
      <xdr:rowOff>76200</xdr:rowOff>
    </xdr:to>
    <xdr:cxnSp macro="">
      <xdr:nvCxnSpPr>
        <xdr:cNvPr id="33438" name="직선 화살표 연결선 33437">
          <a:extLst>
            <a:ext uri="{FF2B5EF4-FFF2-40B4-BE49-F238E27FC236}">
              <a16:creationId xmlns:a16="http://schemas.microsoft.com/office/drawing/2014/main" id="{6C05A922-CC05-4170-9713-51243525C0C1}"/>
            </a:ext>
          </a:extLst>
        </xdr:cNvPr>
        <xdr:cNvCxnSpPr/>
      </xdr:nvCxnSpPr>
      <xdr:spPr>
        <a:xfrm>
          <a:off x="14012636" y="72294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45</xdr:row>
      <xdr:rowOff>19050</xdr:rowOff>
    </xdr:from>
    <xdr:to>
      <xdr:col>38</xdr:col>
      <xdr:colOff>1270</xdr:colOff>
      <xdr:row>45</xdr:row>
      <xdr:rowOff>133350</xdr:rowOff>
    </xdr:to>
    <xdr:sp macro="" textlink="">
      <xdr:nvSpPr>
        <xdr:cNvPr id="33439" name="42">
          <a:extLst>
            <a:ext uri="{FF2B5EF4-FFF2-40B4-BE49-F238E27FC236}">
              <a16:creationId xmlns:a16="http://schemas.microsoft.com/office/drawing/2014/main" id="{CD2AA91D-0C6C-4E14-B72D-54B0D663BA96}"/>
            </a:ext>
          </a:extLst>
        </xdr:cNvPr>
        <xdr:cNvSpPr/>
      </xdr:nvSpPr>
      <xdr:spPr>
        <a:xfrm>
          <a:off x="14012636" y="70199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45</xdr:row>
      <xdr:rowOff>76200</xdr:rowOff>
    </xdr:from>
    <xdr:to>
      <xdr:col>38</xdr:col>
      <xdr:colOff>0</xdr:colOff>
      <xdr:row>45</xdr:row>
      <xdr:rowOff>76200</xdr:rowOff>
    </xdr:to>
    <xdr:cxnSp macro="">
      <xdr:nvCxnSpPr>
        <xdr:cNvPr id="33440" name="직선 화살표 연결선 33439">
          <a:extLst>
            <a:ext uri="{FF2B5EF4-FFF2-40B4-BE49-F238E27FC236}">
              <a16:creationId xmlns:a16="http://schemas.microsoft.com/office/drawing/2014/main" id="{F96489EB-4468-4E45-A11B-BE76A18EB4DC}"/>
            </a:ext>
          </a:extLst>
        </xdr:cNvPr>
        <xdr:cNvCxnSpPr/>
      </xdr:nvCxnSpPr>
      <xdr:spPr>
        <a:xfrm>
          <a:off x="14012636" y="70770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44</xdr:row>
      <xdr:rowOff>19050</xdr:rowOff>
    </xdr:from>
    <xdr:to>
      <xdr:col>38</xdr:col>
      <xdr:colOff>103324</xdr:colOff>
      <xdr:row>44</xdr:row>
      <xdr:rowOff>133350</xdr:rowOff>
    </xdr:to>
    <xdr:sp macro="" textlink="">
      <xdr:nvSpPr>
        <xdr:cNvPr id="33441" name="41">
          <a:extLst>
            <a:ext uri="{FF2B5EF4-FFF2-40B4-BE49-F238E27FC236}">
              <a16:creationId xmlns:a16="http://schemas.microsoft.com/office/drawing/2014/main" id="{738C8F9A-72C3-46D8-8CAB-7697FBBB90E3}"/>
            </a:ext>
          </a:extLst>
        </xdr:cNvPr>
        <xdr:cNvSpPr/>
      </xdr:nvSpPr>
      <xdr:spPr>
        <a:xfrm>
          <a:off x="14012636" y="6867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44</xdr:row>
      <xdr:rowOff>76200</xdr:rowOff>
    </xdr:from>
    <xdr:to>
      <xdr:col>38</xdr:col>
      <xdr:colOff>57150</xdr:colOff>
      <xdr:row>44</xdr:row>
      <xdr:rowOff>76200</xdr:rowOff>
    </xdr:to>
    <xdr:cxnSp macro="">
      <xdr:nvCxnSpPr>
        <xdr:cNvPr id="33442" name="직선 화살표 연결선 33441">
          <a:extLst>
            <a:ext uri="{FF2B5EF4-FFF2-40B4-BE49-F238E27FC236}">
              <a16:creationId xmlns:a16="http://schemas.microsoft.com/office/drawing/2014/main" id="{4E14A80E-88F9-4493-8C8D-2033C50E16B6}"/>
            </a:ext>
          </a:extLst>
        </xdr:cNvPr>
        <xdr:cNvCxnSpPr/>
      </xdr:nvCxnSpPr>
      <xdr:spPr>
        <a:xfrm>
          <a:off x="14012636" y="6924675"/>
          <a:ext cx="1796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43</xdr:row>
      <xdr:rowOff>19050</xdr:rowOff>
    </xdr:from>
    <xdr:to>
      <xdr:col>38</xdr:col>
      <xdr:colOff>4536</xdr:colOff>
      <xdr:row>43</xdr:row>
      <xdr:rowOff>146050</xdr:rowOff>
    </xdr:to>
    <xdr:sp macro="" textlink="">
      <xdr:nvSpPr>
        <xdr:cNvPr id="33443" name="다이아몬드 33442">
          <a:extLst>
            <a:ext uri="{FF2B5EF4-FFF2-40B4-BE49-F238E27FC236}">
              <a16:creationId xmlns:a16="http://schemas.microsoft.com/office/drawing/2014/main" id="{881C671D-7BC9-4F2F-B744-D5D5CCFB929B}"/>
            </a:ext>
          </a:extLst>
        </xdr:cNvPr>
        <xdr:cNvSpPr/>
      </xdr:nvSpPr>
      <xdr:spPr>
        <a:xfrm>
          <a:off x="14012636" y="67151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38</xdr:row>
      <xdr:rowOff>19050</xdr:rowOff>
    </xdr:from>
    <xdr:to>
      <xdr:col>31</xdr:col>
      <xdr:colOff>103324</xdr:colOff>
      <xdr:row>38</xdr:row>
      <xdr:rowOff>133350</xdr:rowOff>
    </xdr:to>
    <xdr:sp macro="" textlink="">
      <xdr:nvSpPr>
        <xdr:cNvPr id="33444" name="35">
          <a:extLst>
            <a:ext uri="{FF2B5EF4-FFF2-40B4-BE49-F238E27FC236}">
              <a16:creationId xmlns:a16="http://schemas.microsoft.com/office/drawing/2014/main" id="{AD8FADB9-68F0-4224-9655-0EA9F63D8488}"/>
            </a:ext>
          </a:extLst>
        </xdr:cNvPr>
        <xdr:cNvSpPr/>
      </xdr:nvSpPr>
      <xdr:spPr>
        <a:xfrm>
          <a:off x="13216618" y="5953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38</xdr:row>
      <xdr:rowOff>76200</xdr:rowOff>
    </xdr:from>
    <xdr:to>
      <xdr:col>31</xdr:col>
      <xdr:colOff>102054</xdr:colOff>
      <xdr:row>38</xdr:row>
      <xdr:rowOff>76200</xdr:rowOff>
    </xdr:to>
    <xdr:cxnSp macro="">
      <xdr:nvCxnSpPr>
        <xdr:cNvPr id="33445" name="직선 화살표 연결선 33444">
          <a:extLst>
            <a:ext uri="{FF2B5EF4-FFF2-40B4-BE49-F238E27FC236}">
              <a16:creationId xmlns:a16="http://schemas.microsoft.com/office/drawing/2014/main" id="{87C23DAD-8DF8-4C9A-9398-AC2F46AA3D48}"/>
            </a:ext>
          </a:extLst>
        </xdr:cNvPr>
        <xdr:cNvCxnSpPr/>
      </xdr:nvCxnSpPr>
      <xdr:spPr>
        <a:xfrm>
          <a:off x="13216618" y="60102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37</xdr:row>
      <xdr:rowOff>19050</xdr:rowOff>
    </xdr:from>
    <xdr:to>
      <xdr:col>31</xdr:col>
      <xdr:colOff>103324</xdr:colOff>
      <xdr:row>37</xdr:row>
      <xdr:rowOff>133350</xdr:rowOff>
    </xdr:to>
    <xdr:sp macro="" textlink="">
      <xdr:nvSpPr>
        <xdr:cNvPr id="33446" name="0">
          <a:extLst>
            <a:ext uri="{FF2B5EF4-FFF2-40B4-BE49-F238E27FC236}">
              <a16:creationId xmlns:a16="http://schemas.microsoft.com/office/drawing/2014/main" id="{820FA202-41A4-48D5-9EEF-C4C9A1DC75F2}"/>
            </a:ext>
          </a:extLst>
        </xdr:cNvPr>
        <xdr:cNvSpPr/>
      </xdr:nvSpPr>
      <xdr:spPr>
        <a:xfrm>
          <a:off x="13216618" y="5800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37</xdr:row>
      <xdr:rowOff>76200</xdr:rowOff>
    </xdr:from>
    <xdr:to>
      <xdr:col>31</xdr:col>
      <xdr:colOff>102054</xdr:colOff>
      <xdr:row>37</xdr:row>
      <xdr:rowOff>76200</xdr:rowOff>
    </xdr:to>
    <xdr:cxnSp macro="">
      <xdr:nvCxnSpPr>
        <xdr:cNvPr id="33447" name="직선 화살표 연결선 33446">
          <a:extLst>
            <a:ext uri="{FF2B5EF4-FFF2-40B4-BE49-F238E27FC236}">
              <a16:creationId xmlns:a16="http://schemas.microsoft.com/office/drawing/2014/main" id="{073FE7E3-3B2B-4DAF-B11D-FBA1DDB50235}"/>
            </a:ext>
          </a:extLst>
        </xdr:cNvPr>
        <xdr:cNvCxnSpPr/>
      </xdr:nvCxnSpPr>
      <xdr:spPr>
        <a:xfrm>
          <a:off x="13216618" y="58578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36</xdr:row>
      <xdr:rowOff>19050</xdr:rowOff>
    </xdr:from>
    <xdr:to>
      <xdr:col>31</xdr:col>
      <xdr:colOff>103324</xdr:colOff>
      <xdr:row>36</xdr:row>
      <xdr:rowOff>133350</xdr:rowOff>
    </xdr:to>
    <xdr:sp macro="" textlink="">
      <xdr:nvSpPr>
        <xdr:cNvPr id="33448" name="33">
          <a:extLst>
            <a:ext uri="{FF2B5EF4-FFF2-40B4-BE49-F238E27FC236}">
              <a16:creationId xmlns:a16="http://schemas.microsoft.com/office/drawing/2014/main" id="{DD6BA72B-AE93-46F4-A510-3874FEA09B3C}"/>
            </a:ext>
          </a:extLst>
        </xdr:cNvPr>
        <xdr:cNvSpPr/>
      </xdr:nvSpPr>
      <xdr:spPr>
        <a:xfrm>
          <a:off x="13216618" y="5648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36</xdr:row>
      <xdr:rowOff>76200</xdr:rowOff>
    </xdr:from>
    <xdr:to>
      <xdr:col>31</xdr:col>
      <xdr:colOff>102054</xdr:colOff>
      <xdr:row>36</xdr:row>
      <xdr:rowOff>76200</xdr:rowOff>
    </xdr:to>
    <xdr:cxnSp macro="">
      <xdr:nvCxnSpPr>
        <xdr:cNvPr id="33449" name="직선 화살표 연결선 33448">
          <a:extLst>
            <a:ext uri="{FF2B5EF4-FFF2-40B4-BE49-F238E27FC236}">
              <a16:creationId xmlns:a16="http://schemas.microsoft.com/office/drawing/2014/main" id="{2F92D929-7A50-403F-A501-6CAE9E8121A6}"/>
            </a:ext>
          </a:extLst>
        </xdr:cNvPr>
        <xdr:cNvCxnSpPr/>
      </xdr:nvCxnSpPr>
      <xdr:spPr>
        <a:xfrm>
          <a:off x="13216618" y="57054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35</xdr:row>
      <xdr:rowOff>19050</xdr:rowOff>
    </xdr:from>
    <xdr:to>
      <xdr:col>31</xdr:col>
      <xdr:colOff>103324</xdr:colOff>
      <xdr:row>35</xdr:row>
      <xdr:rowOff>133350</xdr:rowOff>
    </xdr:to>
    <xdr:sp macro="" textlink="">
      <xdr:nvSpPr>
        <xdr:cNvPr id="33450" name="32">
          <a:extLst>
            <a:ext uri="{FF2B5EF4-FFF2-40B4-BE49-F238E27FC236}">
              <a16:creationId xmlns:a16="http://schemas.microsoft.com/office/drawing/2014/main" id="{8D2E9C55-F7BA-4FEC-9E2F-2AD9D0EA7885}"/>
            </a:ext>
          </a:extLst>
        </xdr:cNvPr>
        <xdr:cNvSpPr/>
      </xdr:nvSpPr>
      <xdr:spPr>
        <a:xfrm>
          <a:off x="13216618" y="5495925"/>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35</xdr:row>
      <xdr:rowOff>76200</xdr:rowOff>
    </xdr:from>
    <xdr:to>
      <xdr:col>31</xdr:col>
      <xdr:colOff>102054</xdr:colOff>
      <xdr:row>35</xdr:row>
      <xdr:rowOff>76200</xdr:rowOff>
    </xdr:to>
    <xdr:cxnSp macro="">
      <xdr:nvCxnSpPr>
        <xdr:cNvPr id="33451" name="직선 화살표 연결선 33450">
          <a:extLst>
            <a:ext uri="{FF2B5EF4-FFF2-40B4-BE49-F238E27FC236}">
              <a16:creationId xmlns:a16="http://schemas.microsoft.com/office/drawing/2014/main" id="{A5115DBB-47E2-485F-AE38-A5FF75AE15EF}"/>
            </a:ext>
          </a:extLst>
        </xdr:cNvPr>
        <xdr:cNvCxnSpPr/>
      </xdr:nvCxnSpPr>
      <xdr:spPr>
        <a:xfrm>
          <a:off x="13216618" y="55530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34</xdr:row>
      <xdr:rowOff>19050</xdr:rowOff>
    </xdr:from>
    <xdr:to>
      <xdr:col>38</xdr:col>
      <xdr:colOff>103324</xdr:colOff>
      <xdr:row>34</xdr:row>
      <xdr:rowOff>133350</xdr:rowOff>
    </xdr:to>
    <xdr:sp macro="" textlink="">
      <xdr:nvSpPr>
        <xdr:cNvPr id="33452" name="31">
          <a:extLst>
            <a:ext uri="{FF2B5EF4-FFF2-40B4-BE49-F238E27FC236}">
              <a16:creationId xmlns:a16="http://schemas.microsoft.com/office/drawing/2014/main" id="{D89530D3-5D98-4798-883D-FCF9716A6CAE}"/>
            </a:ext>
          </a:extLst>
        </xdr:cNvPr>
        <xdr:cNvSpPr/>
      </xdr:nvSpPr>
      <xdr:spPr>
        <a:xfrm>
          <a:off x="13216618" y="53435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34</xdr:row>
      <xdr:rowOff>76200</xdr:rowOff>
    </xdr:from>
    <xdr:to>
      <xdr:col>37</xdr:col>
      <xdr:colOff>134601</xdr:colOff>
      <xdr:row>34</xdr:row>
      <xdr:rowOff>76200</xdr:rowOff>
    </xdr:to>
    <xdr:cxnSp macro="">
      <xdr:nvCxnSpPr>
        <xdr:cNvPr id="33453" name="직선 화살표 연결선 33452">
          <a:extLst>
            <a:ext uri="{FF2B5EF4-FFF2-40B4-BE49-F238E27FC236}">
              <a16:creationId xmlns:a16="http://schemas.microsoft.com/office/drawing/2014/main" id="{0404938E-BD91-4F48-8281-20A73C7ED377}"/>
            </a:ext>
          </a:extLst>
        </xdr:cNvPr>
        <xdr:cNvCxnSpPr/>
      </xdr:nvCxnSpPr>
      <xdr:spPr>
        <a:xfrm>
          <a:off x="13216618" y="5400675"/>
          <a:ext cx="910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33</xdr:row>
      <xdr:rowOff>19050</xdr:rowOff>
    </xdr:from>
    <xdr:to>
      <xdr:col>38</xdr:col>
      <xdr:colOff>103324</xdr:colOff>
      <xdr:row>33</xdr:row>
      <xdr:rowOff>133350</xdr:rowOff>
    </xdr:to>
    <xdr:sp macro="" textlink="">
      <xdr:nvSpPr>
        <xdr:cNvPr id="33454" name="30">
          <a:extLst>
            <a:ext uri="{FF2B5EF4-FFF2-40B4-BE49-F238E27FC236}">
              <a16:creationId xmlns:a16="http://schemas.microsoft.com/office/drawing/2014/main" id="{0F7C2A21-ACE7-42D4-9F37-2CD389E11E3E}"/>
            </a:ext>
          </a:extLst>
        </xdr:cNvPr>
        <xdr:cNvSpPr/>
      </xdr:nvSpPr>
      <xdr:spPr>
        <a:xfrm>
          <a:off x="13216618" y="51911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33</xdr:row>
      <xdr:rowOff>76200</xdr:rowOff>
    </xdr:from>
    <xdr:to>
      <xdr:col>37</xdr:col>
      <xdr:colOff>137643</xdr:colOff>
      <xdr:row>33</xdr:row>
      <xdr:rowOff>76200</xdr:rowOff>
    </xdr:to>
    <xdr:cxnSp macro="">
      <xdr:nvCxnSpPr>
        <xdr:cNvPr id="33455" name="직선 화살표 연결선 33454">
          <a:extLst>
            <a:ext uri="{FF2B5EF4-FFF2-40B4-BE49-F238E27FC236}">
              <a16:creationId xmlns:a16="http://schemas.microsoft.com/office/drawing/2014/main" id="{8A1586C1-BD58-44F3-B5F3-79A89C82681B}"/>
            </a:ext>
          </a:extLst>
        </xdr:cNvPr>
        <xdr:cNvCxnSpPr/>
      </xdr:nvCxnSpPr>
      <xdr:spPr>
        <a:xfrm>
          <a:off x="13216618" y="5248275"/>
          <a:ext cx="913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32</xdr:row>
      <xdr:rowOff>19050</xdr:rowOff>
    </xdr:from>
    <xdr:to>
      <xdr:col>38</xdr:col>
      <xdr:colOff>103324</xdr:colOff>
      <xdr:row>32</xdr:row>
      <xdr:rowOff>133350</xdr:rowOff>
    </xdr:to>
    <xdr:sp macro="" textlink="">
      <xdr:nvSpPr>
        <xdr:cNvPr id="33456" name="29">
          <a:extLst>
            <a:ext uri="{FF2B5EF4-FFF2-40B4-BE49-F238E27FC236}">
              <a16:creationId xmlns:a16="http://schemas.microsoft.com/office/drawing/2014/main" id="{7F9AB2D5-FE59-454D-B1F4-9C21BD394A11}"/>
            </a:ext>
          </a:extLst>
        </xdr:cNvPr>
        <xdr:cNvSpPr/>
      </xdr:nvSpPr>
      <xdr:spPr>
        <a:xfrm>
          <a:off x="13216618" y="50387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32</xdr:row>
      <xdr:rowOff>76200</xdr:rowOff>
    </xdr:from>
    <xdr:to>
      <xdr:col>37</xdr:col>
      <xdr:colOff>137643</xdr:colOff>
      <xdr:row>32</xdr:row>
      <xdr:rowOff>76200</xdr:rowOff>
    </xdr:to>
    <xdr:cxnSp macro="">
      <xdr:nvCxnSpPr>
        <xdr:cNvPr id="33457" name="직선 화살표 연결선 33456">
          <a:extLst>
            <a:ext uri="{FF2B5EF4-FFF2-40B4-BE49-F238E27FC236}">
              <a16:creationId xmlns:a16="http://schemas.microsoft.com/office/drawing/2014/main" id="{83A49E6C-FD7A-4B1E-8BE0-DAC613F1CE7E}"/>
            </a:ext>
          </a:extLst>
        </xdr:cNvPr>
        <xdr:cNvCxnSpPr/>
      </xdr:nvCxnSpPr>
      <xdr:spPr>
        <a:xfrm>
          <a:off x="13216618" y="5095875"/>
          <a:ext cx="913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31</xdr:row>
      <xdr:rowOff>19050</xdr:rowOff>
    </xdr:from>
    <xdr:to>
      <xdr:col>37</xdr:col>
      <xdr:colOff>82913</xdr:colOff>
      <xdr:row>31</xdr:row>
      <xdr:rowOff>133350</xdr:rowOff>
    </xdr:to>
    <xdr:sp macro="" textlink="">
      <xdr:nvSpPr>
        <xdr:cNvPr id="33458" name="28">
          <a:extLst>
            <a:ext uri="{FF2B5EF4-FFF2-40B4-BE49-F238E27FC236}">
              <a16:creationId xmlns:a16="http://schemas.microsoft.com/office/drawing/2014/main" id="{C32DD454-F7E9-4AA1-BAC4-00C6B01BB97B}"/>
            </a:ext>
          </a:extLst>
        </xdr:cNvPr>
        <xdr:cNvSpPr/>
      </xdr:nvSpPr>
      <xdr:spPr>
        <a:xfrm>
          <a:off x="14012636" y="48863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31</xdr:row>
      <xdr:rowOff>76200</xdr:rowOff>
    </xdr:from>
    <xdr:to>
      <xdr:col>37</xdr:col>
      <xdr:colOff>20411</xdr:colOff>
      <xdr:row>31</xdr:row>
      <xdr:rowOff>76200</xdr:rowOff>
    </xdr:to>
    <xdr:cxnSp macro="">
      <xdr:nvCxnSpPr>
        <xdr:cNvPr id="33459" name="직선 화살표 연결선 33458">
          <a:extLst>
            <a:ext uri="{FF2B5EF4-FFF2-40B4-BE49-F238E27FC236}">
              <a16:creationId xmlns:a16="http://schemas.microsoft.com/office/drawing/2014/main" id="{0790C6F8-6C24-4A6D-8CA4-1A56FFD24928}"/>
            </a:ext>
          </a:extLst>
        </xdr:cNvPr>
        <xdr:cNvCxnSpPr/>
      </xdr:nvCxnSpPr>
      <xdr:spPr>
        <a:xfrm>
          <a:off x="14012636"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30</xdr:row>
      <xdr:rowOff>19050</xdr:rowOff>
    </xdr:from>
    <xdr:to>
      <xdr:col>38</xdr:col>
      <xdr:colOff>103324</xdr:colOff>
      <xdr:row>30</xdr:row>
      <xdr:rowOff>133350</xdr:rowOff>
    </xdr:to>
    <xdr:sp macro="" textlink="">
      <xdr:nvSpPr>
        <xdr:cNvPr id="33460" name="27">
          <a:extLst>
            <a:ext uri="{FF2B5EF4-FFF2-40B4-BE49-F238E27FC236}">
              <a16:creationId xmlns:a16="http://schemas.microsoft.com/office/drawing/2014/main" id="{F2E573CA-25D1-4FBB-910A-870E6F11019A}"/>
            </a:ext>
          </a:extLst>
        </xdr:cNvPr>
        <xdr:cNvSpPr/>
      </xdr:nvSpPr>
      <xdr:spPr>
        <a:xfrm>
          <a:off x="14135100" y="47339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30</xdr:row>
      <xdr:rowOff>76200</xdr:rowOff>
    </xdr:from>
    <xdr:to>
      <xdr:col>38</xdr:col>
      <xdr:colOff>0</xdr:colOff>
      <xdr:row>30</xdr:row>
      <xdr:rowOff>76200</xdr:rowOff>
    </xdr:to>
    <xdr:cxnSp macro="">
      <xdr:nvCxnSpPr>
        <xdr:cNvPr id="33461" name="직선 화살표 연결선 33460">
          <a:extLst>
            <a:ext uri="{FF2B5EF4-FFF2-40B4-BE49-F238E27FC236}">
              <a16:creationId xmlns:a16="http://schemas.microsoft.com/office/drawing/2014/main" id="{32D19A7F-BE7E-4631-BC00-1CA94063E2C5}"/>
            </a:ext>
          </a:extLst>
        </xdr:cNvPr>
        <xdr:cNvCxnSpPr/>
      </xdr:nvCxnSpPr>
      <xdr:spPr>
        <a:xfrm>
          <a:off x="14135100"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29</xdr:row>
      <xdr:rowOff>19050</xdr:rowOff>
    </xdr:from>
    <xdr:to>
      <xdr:col>38</xdr:col>
      <xdr:colOff>103324</xdr:colOff>
      <xdr:row>29</xdr:row>
      <xdr:rowOff>133350</xdr:rowOff>
    </xdr:to>
    <xdr:sp macro="" textlink="">
      <xdr:nvSpPr>
        <xdr:cNvPr id="33462" name="26">
          <a:extLst>
            <a:ext uri="{FF2B5EF4-FFF2-40B4-BE49-F238E27FC236}">
              <a16:creationId xmlns:a16="http://schemas.microsoft.com/office/drawing/2014/main" id="{8862670D-5725-41A0-9B36-734EEC1CB2D7}"/>
            </a:ext>
          </a:extLst>
        </xdr:cNvPr>
        <xdr:cNvSpPr/>
      </xdr:nvSpPr>
      <xdr:spPr>
        <a:xfrm>
          <a:off x="14012636" y="4581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29</xdr:row>
      <xdr:rowOff>76200</xdr:rowOff>
    </xdr:from>
    <xdr:to>
      <xdr:col>37</xdr:col>
      <xdr:colOff>20411</xdr:colOff>
      <xdr:row>29</xdr:row>
      <xdr:rowOff>76200</xdr:rowOff>
    </xdr:to>
    <xdr:cxnSp macro="">
      <xdr:nvCxnSpPr>
        <xdr:cNvPr id="33463" name="직선 화살표 연결선 33462">
          <a:extLst>
            <a:ext uri="{FF2B5EF4-FFF2-40B4-BE49-F238E27FC236}">
              <a16:creationId xmlns:a16="http://schemas.microsoft.com/office/drawing/2014/main" id="{2286A7C8-CCF0-4C35-AFD0-3AED8718DEFE}"/>
            </a:ext>
          </a:extLst>
        </xdr:cNvPr>
        <xdr:cNvCxnSpPr/>
      </xdr:nvCxnSpPr>
      <xdr:spPr>
        <a:xfrm>
          <a:off x="14012636"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81643</xdr:colOff>
      <xdr:row>28</xdr:row>
      <xdr:rowOff>19050</xdr:rowOff>
    </xdr:from>
    <xdr:to>
      <xdr:col>38</xdr:col>
      <xdr:colOff>21681</xdr:colOff>
      <xdr:row>28</xdr:row>
      <xdr:rowOff>133350</xdr:rowOff>
    </xdr:to>
    <xdr:sp macro="" textlink="">
      <xdr:nvSpPr>
        <xdr:cNvPr id="33464" name="25">
          <a:extLst>
            <a:ext uri="{FF2B5EF4-FFF2-40B4-BE49-F238E27FC236}">
              <a16:creationId xmlns:a16="http://schemas.microsoft.com/office/drawing/2014/main" id="{2E277EC7-81E6-4B3D-94EC-8FEC931A4495}"/>
            </a:ext>
          </a:extLst>
        </xdr:cNvPr>
        <xdr:cNvSpPr/>
      </xdr:nvSpPr>
      <xdr:spPr>
        <a:xfrm>
          <a:off x="14073868" y="4429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81643</xdr:colOff>
      <xdr:row>28</xdr:row>
      <xdr:rowOff>76200</xdr:rowOff>
    </xdr:from>
    <xdr:to>
      <xdr:col>37</xdr:col>
      <xdr:colOff>81643</xdr:colOff>
      <xdr:row>28</xdr:row>
      <xdr:rowOff>76200</xdr:rowOff>
    </xdr:to>
    <xdr:cxnSp macro="">
      <xdr:nvCxnSpPr>
        <xdr:cNvPr id="33465" name="직선 화살표 연결선 33464">
          <a:extLst>
            <a:ext uri="{FF2B5EF4-FFF2-40B4-BE49-F238E27FC236}">
              <a16:creationId xmlns:a16="http://schemas.microsoft.com/office/drawing/2014/main" id="{965707A3-A9C8-4589-9148-A87A8F39BB08}"/>
            </a:ext>
          </a:extLst>
        </xdr:cNvPr>
        <xdr:cNvCxnSpPr/>
      </xdr:nvCxnSpPr>
      <xdr:spPr>
        <a:xfrm>
          <a:off x="14073868"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27</xdr:row>
      <xdr:rowOff>19050</xdr:rowOff>
    </xdr:from>
    <xdr:to>
      <xdr:col>37</xdr:col>
      <xdr:colOff>82913</xdr:colOff>
      <xdr:row>27</xdr:row>
      <xdr:rowOff>133350</xdr:rowOff>
    </xdr:to>
    <xdr:sp macro="" textlink="">
      <xdr:nvSpPr>
        <xdr:cNvPr id="33466" name="24">
          <a:extLst>
            <a:ext uri="{FF2B5EF4-FFF2-40B4-BE49-F238E27FC236}">
              <a16:creationId xmlns:a16="http://schemas.microsoft.com/office/drawing/2014/main" id="{8E95EBC2-89F4-4A28-9FA6-6A0AD98A8E70}"/>
            </a:ext>
          </a:extLst>
        </xdr:cNvPr>
        <xdr:cNvSpPr/>
      </xdr:nvSpPr>
      <xdr:spPr>
        <a:xfrm>
          <a:off x="13828939" y="4276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27</xdr:row>
      <xdr:rowOff>76200</xdr:rowOff>
    </xdr:from>
    <xdr:to>
      <xdr:col>35</xdr:col>
      <xdr:colOff>122464</xdr:colOff>
      <xdr:row>27</xdr:row>
      <xdr:rowOff>76200</xdr:rowOff>
    </xdr:to>
    <xdr:cxnSp macro="">
      <xdr:nvCxnSpPr>
        <xdr:cNvPr id="33467" name="직선 화살표 연결선 33466">
          <a:extLst>
            <a:ext uri="{FF2B5EF4-FFF2-40B4-BE49-F238E27FC236}">
              <a16:creationId xmlns:a16="http://schemas.microsoft.com/office/drawing/2014/main" id="{4DC6BBA2-CEA8-43DF-9A8C-73771CF6F63C}"/>
            </a:ext>
          </a:extLst>
        </xdr:cNvPr>
        <xdr:cNvCxnSpPr/>
      </xdr:nvCxnSpPr>
      <xdr:spPr>
        <a:xfrm>
          <a:off x="13828939"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26</xdr:row>
      <xdr:rowOff>19050</xdr:rowOff>
    </xdr:from>
    <xdr:to>
      <xdr:col>38</xdr:col>
      <xdr:colOff>21681</xdr:colOff>
      <xdr:row>26</xdr:row>
      <xdr:rowOff>133350</xdr:rowOff>
    </xdr:to>
    <xdr:sp macro="" textlink="">
      <xdr:nvSpPr>
        <xdr:cNvPr id="33468" name="23">
          <a:extLst>
            <a:ext uri="{FF2B5EF4-FFF2-40B4-BE49-F238E27FC236}">
              <a16:creationId xmlns:a16="http://schemas.microsoft.com/office/drawing/2014/main" id="{70106272-16FB-428E-8C2E-89B4BAF1ECA3}"/>
            </a:ext>
          </a:extLst>
        </xdr:cNvPr>
        <xdr:cNvSpPr/>
      </xdr:nvSpPr>
      <xdr:spPr>
        <a:xfrm>
          <a:off x="13828939" y="4124325"/>
          <a:ext cx="327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26</xdr:row>
      <xdr:rowOff>76200</xdr:rowOff>
    </xdr:from>
    <xdr:to>
      <xdr:col>35</xdr:col>
      <xdr:colOff>122464</xdr:colOff>
      <xdr:row>26</xdr:row>
      <xdr:rowOff>76200</xdr:rowOff>
    </xdr:to>
    <xdr:cxnSp macro="">
      <xdr:nvCxnSpPr>
        <xdr:cNvPr id="33469" name="직선 화살표 연결선 33468">
          <a:extLst>
            <a:ext uri="{FF2B5EF4-FFF2-40B4-BE49-F238E27FC236}">
              <a16:creationId xmlns:a16="http://schemas.microsoft.com/office/drawing/2014/main" id="{417B75CE-DEE0-4226-AB52-829E860E212C}"/>
            </a:ext>
          </a:extLst>
        </xdr:cNvPr>
        <xdr:cNvCxnSpPr/>
      </xdr:nvCxnSpPr>
      <xdr:spPr>
        <a:xfrm>
          <a:off x="13828939"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81643</xdr:colOff>
      <xdr:row>25</xdr:row>
      <xdr:rowOff>19050</xdr:rowOff>
    </xdr:from>
    <xdr:to>
      <xdr:col>38</xdr:col>
      <xdr:colOff>1270</xdr:colOff>
      <xdr:row>25</xdr:row>
      <xdr:rowOff>133350</xdr:rowOff>
    </xdr:to>
    <xdr:sp macro="" textlink="">
      <xdr:nvSpPr>
        <xdr:cNvPr id="33470" name="22">
          <a:extLst>
            <a:ext uri="{FF2B5EF4-FFF2-40B4-BE49-F238E27FC236}">
              <a16:creationId xmlns:a16="http://schemas.microsoft.com/office/drawing/2014/main" id="{195E5CBF-7A8B-4DED-8444-765F6B6FAD6B}"/>
            </a:ext>
          </a:extLst>
        </xdr:cNvPr>
        <xdr:cNvSpPr/>
      </xdr:nvSpPr>
      <xdr:spPr>
        <a:xfrm>
          <a:off x="14073868" y="3971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81643</xdr:colOff>
      <xdr:row>25</xdr:row>
      <xdr:rowOff>76200</xdr:rowOff>
    </xdr:from>
    <xdr:to>
      <xdr:col>37</xdr:col>
      <xdr:colOff>81643</xdr:colOff>
      <xdr:row>25</xdr:row>
      <xdr:rowOff>76200</xdr:rowOff>
    </xdr:to>
    <xdr:cxnSp macro="">
      <xdr:nvCxnSpPr>
        <xdr:cNvPr id="33471" name="직선 화살표 연결선 33470">
          <a:extLst>
            <a:ext uri="{FF2B5EF4-FFF2-40B4-BE49-F238E27FC236}">
              <a16:creationId xmlns:a16="http://schemas.microsoft.com/office/drawing/2014/main" id="{7CCF397B-D6AC-44E3-85D5-D9C3C7DD2C39}"/>
            </a:ext>
          </a:extLst>
        </xdr:cNvPr>
        <xdr:cNvCxnSpPr/>
      </xdr:nvCxnSpPr>
      <xdr:spPr>
        <a:xfrm>
          <a:off x="14073868"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24</xdr:row>
      <xdr:rowOff>19050</xdr:rowOff>
    </xdr:from>
    <xdr:to>
      <xdr:col>37</xdr:col>
      <xdr:colOff>82913</xdr:colOff>
      <xdr:row>24</xdr:row>
      <xdr:rowOff>133350</xdr:rowOff>
    </xdr:to>
    <xdr:sp macro="" textlink="">
      <xdr:nvSpPr>
        <xdr:cNvPr id="33472" name="21">
          <a:extLst>
            <a:ext uri="{FF2B5EF4-FFF2-40B4-BE49-F238E27FC236}">
              <a16:creationId xmlns:a16="http://schemas.microsoft.com/office/drawing/2014/main" id="{E7B66CA3-1FF7-4612-B0F8-4138D81A3052}"/>
            </a:ext>
          </a:extLst>
        </xdr:cNvPr>
        <xdr:cNvSpPr/>
      </xdr:nvSpPr>
      <xdr:spPr>
        <a:xfrm>
          <a:off x="14012636" y="3819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24</xdr:row>
      <xdr:rowOff>76200</xdr:rowOff>
    </xdr:from>
    <xdr:to>
      <xdr:col>37</xdr:col>
      <xdr:colOff>20411</xdr:colOff>
      <xdr:row>24</xdr:row>
      <xdr:rowOff>76200</xdr:rowOff>
    </xdr:to>
    <xdr:cxnSp macro="">
      <xdr:nvCxnSpPr>
        <xdr:cNvPr id="33473" name="직선 화살표 연결선 33472">
          <a:extLst>
            <a:ext uri="{FF2B5EF4-FFF2-40B4-BE49-F238E27FC236}">
              <a16:creationId xmlns:a16="http://schemas.microsoft.com/office/drawing/2014/main" id="{56C15B69-A4DC-4CCA-97F1-04635B791840}"/>
            </a:ext>
          </a:extLst>
        </xdr:cNvPr>
        <xdr:cNvCxnSpPr/>
      </xdr:nvCxnSpPr>
      <xdr:spPr>
        <a:xfrm>
          <a:off x="14012636"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23</xdr:row>
      <xdr:rowOff>19050</xdr:rowOff>
    </xdr:from>
    <xdr:to>
      <xdr:col>37</xdr:col>
      <xdr:colOff>42090</xdr:colOff>
      <xdr:row>23</xdr:row>
      <xdr:rowOff>133350</xdr:rowOff>
    </xdr:to>
    <xdr:sp macro="" textlink="">
      <xdr:nvSpPr>
        <xdr:cNvPr id="33474" name="20">
          <a:extLst>
            <a:ext uri="{FF2B5EF4-FFF2-40B4-BE49-F238E27FC236}">
              <a16:creationId xmlns:a16="http://schemas.microsoft.com/office/drawing/2014/main" id="{4844964E-AED9-49E0-85D3-37E137FE9B11}"/>
            </a:ext>
          </a:extLst>
        </xdr:cNvPr>
        <xdr:cNvSpPr/>
      </xdr:nvSpPr>
      <xdr:spPr>
        <a:xfrm>
          <a:off x="13747296" y="3667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23</xdr:row>
      <xdr:rowOff>76200</xdr:rowOff>
    </xdr:from>
    <xdr:to>
      <xdr:col>35</xdr:col>
      <xdr:colOff>40821</xdr:colOff>
      <xdr:row>23</xdr:row>
      <xdr:rowOff>76200</xdr:rowOff>
    </xdr:to>
    <xdr:cxnSp macro="">
      <xdr:nvCxnSpPr>
        <xdr:cNvPr id="33475" name="직선 화살표 연결선 33474">
          <a:extLst>
            <a:ext uri="{FF2B5EF4-FFF2-40B4-BE49-F238E27FC236}">
              <a16:creationId xmlns:a16="http://schemas.microsoft.com/office/drawing/2014/main" id="{22A2E66D-41D4-45D9-8536-A80C3E5162DC}"/>
            </a:ext>
          </a:extLst>
        </xdr:cNvPr>
        <xdr:cNvCxnSpPr/>
      </xdr:nvCxnSpPr>
      <xdr:spPr>
        <a:xfrm>
          <a:off x="13747296"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22</xdr:row>
      <xdr:rowOff>19050</xdr:rowOff>
    </xdr:from>
    <xdr:to>
      <xdr:col>38</xdr:col>
      <xdr:colOff>1270</xdr:colOff>
      <xdr:row>22</xdr:row>
      <xdr:rowOff>133350</xdr:rowOff>
    </xdr:to>
    <xdr:sp macro="" textlink="">
      <xdr:nvSpPr>
        <xdr:cNvPr id="33476" name="19">
          <a:extLst>
            <a:ext uri="{FF2B5EF4-FFF2-40B4-BE49-F238E27FC236}">
              <a16:creationId xmlns:a16="http://schemas.microsoft.com/office/drawing/2014/main" id="{C0CC0C7E-B2D3-43AD-8B44-14B19DB6149F}"/>
            </a:ext>
          </a:extLst>
        </xdr:cNvPr>
        <xdr:cNvSpPr/>
      </xdr:nvSpPr>
      <xdr:spPr>
        <a:xfrm>
          <a:off x="13747296" y="35147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22</xdr:row>
      <xdr:rowOff>76200</xdr:rowOff>
    </xdr:from>
    <xdr:to>
      <xdr:col>35</xdr:col>
      <xdr:colOff>40821</xdr:colOff>
      <xdr:row>22</xdr:row>
      <xdr:rowOff>76200</xdr:rowOff>
    </xdr:to>
    <xdr:cxnSp macro="">
      <xdr:nvCxnSpPr>
        <xdr:cNvPr id="33477" name="직선 화살표 연결선 33476">
          <a:extLst>
            <a:ext uri="{FF2B5EF4-FFF2-40B4-BE49-F238E27FC236}">
              <a16:creationId xmlns:a16="http://schemas.microsoft.com/office/drawing/2014/main" id="{4FEB7A0A-4EB7-40F2-929A-CB73702E5619}"/>
            </a:ext>
          </a:extLst>
        </xdr:cNvPr>
        <xdr:cNvCxnSpPr/>
      </xdr:nvCxnSpPr>
      <xdr:spPr>
        <a:xfrm>
          <a:off x="13747296"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21</xdr:row>
      <xdr:rowOff>19050</xdr:rowOff>
    </xdr:from>
    <xdr:to>
      <xdr:col>38</xdr:col>
      <xdr:colOff>21681</xdr:colOff>
      <xdr:row>21</xdr:row>
      <xdr:rowOff>133350</xdr:rowOff>
    </xdr:to>
    <xdr:sp macro="" textlink="">
      <xdr:nvSpPr>
        <xdr:cNvPr id="33478" name="18">
          <a:extLst>
            <a:ext uri="{FF2B5EF4-FFF2-40B4-BE49-F238E27FC236}">
              <a16:creationId xmlns:a16="http://schemas.microsoft.com/office/drawing/2014/main" id="{9AD6A79B-C329-45D4-B255-BFA22196AA25}"/>
            </a:ext>
          </a:extLst>
        </xdr:cNvPr>
        <xdr:cNvSpPr/>
      </xdr:nvSpPr>
      <xdr:spPr>
        <a:xfrm>
          <a:off x="13747296" y="33623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21</xdr:row>
      <xdr:rowOff>76200</xdr:rowOff>
    </xdr:from>
    <xdr:to>
      <xdr:col>35</xdr:col>
      <xdr:colOff>40821</xdr:colOff>
      <xdr:row>21</xdr:row>
      <xdr:rowOff>76200</xdr:rowOff>
    </xdr:to>
    <xdr:cxnSp macro="">
      <xdr:nvCxnSpPr>
        <xdr:cNvPr id="33479" name="직선 화살표 연결선 33478">
          <a:extLst>
            <a:ext uri="{FF2B5EF4-FFF2-40B4-BE49-F238E27FC236}">
              <a16:creationId xmlns:a16="http://schemas.microsoft.com/office/drawing/2014/main" id="{36E98498-2E69-4B0F-B58F-65D6803D64EE}"/>
            </a:ext>
          </a:extLst>
        </xdr:cNvPr>
        <xdr:cNvCxnSpPr/>
      </xdr:nvCxnSpPr>
      <xdr:spPr>
        <a:xfrm>
          <a:off x="13747296"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122464</xdr:colOff>
      <xdr:row>20</xdr:row>
      <xdr:rowOff>19050</xdr:rowOff>
    </xdr:from>
    <xdr:to>
      <xdr:col>38</xdr:col>
      <xdr:colOff>21681</xdr:colOff>
      <xdr:row>20</xdr:row>
      <xdr:rowOff>133350</xdr:rowOff>
    </xdr:to>
    <xdr:sp macro="" textlink="">
      <xdr:nvSpPr>
        <xdr:cNvPr id="33480" name="17">
          <a:extLst>
            <a:ext uri="{FF2B5EF4-FFF2-40B4-BE49-F238E27FC236}">
              <a16:creationId xmlns:a16="http://schemas.microsoft.com/office/drawing/2014/main" id="{5EC7286D-ADD4-4244-A718-6E66DEDC5CC3}"/>
            </a:ext>
          </a:extLst>
        </xdr:cNvPr>
        <xdr:cNvSpPr/>
      </xdr:nvSpPr>
      <xdr:spPr>
        <a:xfrm>
          <a:off x="14114689" y="32099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122464</xdr:colOff>
      <xdr:row>20</xdr:row>
      <xdr:rowOff>76200</xdr:rowOff>
    </xdr:from>
    <xdr:to>
      <xdr:col>37</xdr:col>
      <xdr:colOff>122464</xdr:colOff>
      <xdr:row>20</xdr:row>
      <xdr:rowOff>76200</xdr:rowOff>
    </xdr:to>
    <xdr:cxnSp macro="">
      <xdr:nvCxnSpPr>
        <xdr:cNvPr id="33481" name="직선 화살표 연결선 33480">
          <a:extLst>
            <a:ext uri="{FF2B5EF4-FFF2-40B4-BE49-F238E27FC236}">
              <a16:creationId xmlns:a16="http://schemas.microsoft.com/office/drawing/2014/main" id="{73C09CCC-D8CD-4CA3-9782-8DE9FD092C23}"/>
            </a:ext>
          </a:extLst>
        </xdr:cNvPr>
        <xdr:cNvCxnSpPr/>
      </xdr:nvCxnSpPr>
      <xdr:spPr>
        <a:xfrm>
          <a:off x="14114689"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19</xdr:row>
      <xdr:rowOff>19050</xdr:rowOff>
    </xdr:from>
    <xdr:to>
      <xdr:col>36</xdr:col>
      <xdr:colOff>42090</xdr:colOff>
      <xdr:row>19</xdr:row>
      <xdr:rowOff>133350</xdr:rowOff>
    </xdr:to>
    <xdr:sp macro="" textlink="">
      <xdr:nvSpPr>
        <xdr:cNvPr id="33482" name="16">
          <a:extLst>
            <a:ext uri="{FF2B5EF4-FFF2-40B4-BE49-F238E27FC236}">
              <a16:creationId xmlns:a16="http://schemas.microsoft.com/office/drawing/2014/main" id="{3087FFBD-787D-453C-9C40-E200E3A331F6}"/>
            </a:ext>
          </a:extLst>
        </xdr:cNvPr>
        <xdr:cNvSpPr/>
      </xdr:nvSpPr>
      <xdr:spPr>
        <a:xfrm>
          <a:off x="13747296" y="3057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19</xdr:row>
      <xdr:rowOff>76200</xdr:rowOff>
    </xdr:from>
    <xdr:to>
      <xdr:col>36</xdr:col>
      <xdr:colOff>40821</xdr:colOff>
      <xdr:row>19</xdr:row>
      <xdr:rowOff>76200</xdr:rowOff>
    </xdr:to>
    <xdr:cxnSp macro="">
      <xdr:nvCxnSpPr>
        <xdr:cNvPr id="33483" name="직선 화살표 연결선 33482">
          <a:extLst>
            <a:ext uri="{FF2B5EF4-FFF2-40B4-BE49-F238E27FC236}">
              <a16:creationId xmlns:a16="http://schemas.microsoft.com/office/drawing/2014/main" id="{74C81DE7-4A91-41C2-8713-D7B88477D2F8}"/>
            </a:ext>
          </a:extLst>
        </xdr:cNvPr>
        <xdr:cNvCxnSpPr/>
      </xdr:nvCxnSpPr>
      <xdr:spPr>
        <a:xfrm>
          <a:off x="13747296" y="3114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18</xdr:row>
      <xdr:rowOff>19050</xdr:rowOff>
    </xdr:from>
    <xdr:to>
      <xdr:col>37</xdr:col>
      <xdr:colOff>42090</xdr:colOff>
      <xdr:row>18</xdr:row>
      <xdr:rowOff>133350</xdr:rowOff>
    </xdr:to>
    <xdr:sp macro="" textlink="">
      <xdr:nvSpPr>
        <xdr:cNvPr id="33484" name="15">
          <a:extLst>
            <a:ext uri="{FF2B5EF4-FFF2-40B4-BE49-F238E27FC236}">
              <a16:creationId xmlns:a16="http://schemas.microsoft.com/office/drawing/2014/main" id="{E4B5D692-73AD-4EAB-BCD4-ACE236B167D7}"/>
            </a:ext>
          </a:extLst>
        </xdr:cNvPr>
        <xdr:cNvSpPr/>
      </xdr:nvSpPr>
      <xdr:spPr>
        <a:xfrm>
          <a:off x="13747296" y="2905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18</xdr:row>
      <xdr:rowOff>76200</xdr:rowOff>
    </xdr:from>
    <xdr:to>
      <xdr:col>36</xdr:col>
      <xdr:colOff>40821</xdr:colOff>
      <xdr:row>18</xdr:row>
      <xdr:rowOff>76200</xdr:rowOff>
    </xdr:to>
    <xdr:cxnSp macro="">
      <xdr:nvCxnSpPr>
        <xdr:cNvPr id="33485" name="직선 화살표 연결선 33484">
          <a:extLst>
            <a:ext uri="{FF2B5EF4-FFF2-40B4-BE49-F238E27FC236}">
              <a16:creationId xmlns:a16="http://schemas.microsoft.com/office/drawing/2014/main" id="{BCD9524B-2195-4757-8323-81B0D9AFFBBB}"/>
            </a:ext>
          </a:extLst>
        </xdr:cNvPr>
        <xdr:cNvCxnSpPr/>
      </xdr:nvCxnSpPr>
      <xdr:spPr>
        <a:xfrm>
          <a:off x="13747296" y="2962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17</xdr:row>
      <xdr:rowOff>19050</xdr:rowOff>
    </xdr:from>
    <xdr:to>
      <xdr:col>38</xdr:col>
      <xdr:colOff>21681</xdr:colOff>
      <xdr:row>17</xdr:row>
      <xdr:rowOff>133350</xdr:rowOff>
    </xdr:to>
    <xdr:sp macro="" textlink="">
      <xdr:nvSpPr>
        <xdr:cNvPr id="33486" name="14">
          <a:extLst>
            <a:ext uri="{FF2B5EF4-FFF2-40B4-BE49-F238E27FC236}">
              <a16:creationId xmlns:a16="http://schemas.microsoft.com/office/drawing/2014/main" id="{9C9DC1CA-1129-4742-8424-045810D56F23}"/>
            </a:ext>
          </a:extLst>
        </xdr:cNvPr>
        <xdr:cNvSpPr/>
      </xdr:nvSpPr>
      <xdr:spPr>
        <a:xfrm>
          <a:off x="13747296" y="27527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17</xdr:row>
      <xdr:rowOff>76200</xdr:rowOff>
    </xdr:from>
    <xdr:to>
      <xdr:col>37</xdr:col>
      <xdr:colOff>27214</xdr:colOff>
      <xdr:row>17</xdr:row>
      <xdr:rowOff>76200</xdr:rowOff>
    </xdr:to>
    <xdr:cxnSp macro="">
      <xdr:nvCxnSpPr>
        <xdr:cNvPr id="33487" name="직선 화살표 연결선 33486">
          <a:extLst>
            <a:ext uri="{FF2B5EF4-FFF2-40B4-BE49-F238E27FC236}">
              <a16:creationId xmlns:a16="http://schemas.microsoft.com/office/drawing/2014/main" id="{795A8953-7580-4080-9497-D7B29C136E27}"/>
            </a:ext>
          </a:extLst>
        </xdr:cNvPr>
        <xdr:cNvCxnSpPr/>
      </xdr:nvCxnSpPr>
      <xdr:spPr>
        <a:xfrm>
          <a:off x="13747296" y="2809875"/>
          <a:ext cx="2721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16</xdr:row>
      <xdr:rowOff>19050</xdr:rowOff>
    </xdr:from>
    <xdr:to>
      <xdr:col>38</xdr:col>
      <xdr:colOff>21681</xdr:colOff>
      <xdr:row>16</xdr:row>
      <xdr:rowOff>133350</xdr:rowOff>
    </xdr:to>
    <xdr:sp macro="" textlink="">
      <xdr:nvSpPr>
        <xdr:cNvPr id="33488" name="13">
          <a:extLst>
            <a:ext uri="{FF2B5EF4-FFF2-40B4-BE49-F238E27FC236}">
              <a16:creationId xmlns:a16="http://schemas.microsoft.com/office/drawing/2014/main" id="{C80B0972-1E73-4703-9C2B-8A093AA5720A}"/>
            </a:ext>
          </a:extLst>
        </xdr:cNvPr>
        <xdr:cNvSpPr/>
      </xdr:nvSpPr>
      <xdr:spPr>
        <a:xfrm>
          <a:off x="13747296" y="26003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16</xdr:row>
      <xdr:rowOff>76200</xdr:rowOff>
    </xdr:from>
    <xdr:to>
      <xdr:col>37</xdr:col>
      <xdr:colOff>27214</xdr:colOff>
      <xdr:row>16</xdr:row>
      <xdr:rowOff>76200</xdr:rowOff>
    </xdr:to>
    <xdr:cxnSp macro="">
      <xdr:nvCxnSpPr>
        <xdr:cNvPr id="33489" name="직선 화살표 연결선 33488">
          <a:extLst>
            <a:ext uri="{FF2B5EF4-FFF2-40B4-BE49-F238E27FC236}">
              <a16:creationId xmlns:a16="http://schemas.microsoft.com/office/drawing/2014/main" id="{ADE17A66-4159-470C-8C71-F270F7D9E77F}"/>
            </a:ext>
          </a:extLst>
        </xdr:cNvPr>
        <xdr:cNvCxnSpPr/>
      </xdr:nvCxnSpPr>
      <xdr:spPr>
        <a:xfrm>
          <a:off x="13747296" y="2657475"/>
          <a:ext cx="2721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81643</xdr:colOff>
      <xdr:row>15</xdr:row>
      <xdr:rowOff>19050</xdr:rowOff>
    </xdr:from>
    <xdr:to>
      <xdr:col>37</xdr:col>
      <xdr:colOff>82913</xdr:colOff>
      <xdr:row>15</xdr:row>
      <xdr:rowOff>133350</xdr:rowOff>
    </xdr:to>
    <xdr:sp macro="" textlink="">
      <xdr:nvSpPr>
        <xdr:cNvPr id="33490" name="12">
          <a:extLst>
            <a:ext uri="{FF2B5EF4-FFF2-40B4-BE49-F238E27FC236}">
              <a16:creationId xmlns:a16="http://schemas.microsoft.com/office/drawing/2014/main" id="{2033A089-1FA6-4191-BDF1-B09338A79DDF}"/>
            </a:ext>
          </a:extLst>
        </xdr:cNvPr>
        <xdr:cNvSpPr/>
      </xdr:nvSpPr>
      <xdr:spPr>
        <a:xfrm>
          <a:off x="13930993" y="24479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81643</xdr:colOff>
      <xdr:row>15</xdr:row>
      <xdr:rowOff>76200</xdr:rowOff>
    </xdr:from>
    <xdr:to>
      <xdr:col>36</xdr:col>
      <xdr:colOff>81643</xdr:colOff>
      <xdr:row>15</xdr:row>
      <xdr:rowOff>76200</xdr:rowOff>
    </xdr:to>
    <xdr:cxnSp macro="">
      <xdr:nvCxnSpPr>
        <xdr:cNvPr id="33491" name="직선 화살표 연결선 33490">
          <a:extLst>
            <a:ext uri="{FF2B5EF4-FFF2-40B4-BE49-F238E27FC236}">
              <a16:creationId xmlns:a16="http://schemas.microsoft.com/office/drawing/2014/main" id="{C0D2B6CA-4DE0-4803-A3F7-2818836D369B}"/>
            </a:ext>
          </a:extLst>
        </xdr:cNvPr>
        <xdr:cNvCxnSpPr/>
      </xdr:nvCxnSpPr>
      <xdr:spPr>
        <a:xfrm>
          <a:off x="13930993"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14</xdr:row>
      <xdr:rowOff>19050</xdr:rowOff>
    </xdr:from>
    <xdr:to>
      <xdr:col>37</xdr:col>
      <xdr:colOff>42090</xdr:colOff>
      <xdr:row>14</xdr:row>
      <xdr:rowOff>133350</xdr:rowOff>
    </xdr:to>
    <xdr:sp macro="" textlink="">
      <xdr:nvSpPr>
        <xdr:cNvPr id="33492" name="11">
          <a:extLst>
            <a:ext uri="{FF2B5EF4-FFF2-40B4-BE49-F238E27FC236}">
              <a16:creationId xmlns:a16="http://schemas.microsoft.com/office/drawing/2014/main" id="{FB93B8EE-E603-471C-B8C2-ADE9E73C9D41}"/>
            </a:ext>
          </a:extLst>
        </xdr:cNvPr>
        <xdr:cNvSpPr/>
      </xdr:nvSpPr>
      <xdr:spPr>
        <a:xfrm>
          <a:off x="138901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14</xdr:row>
      <xdr:rowOff>76200</xdr:rowOff>
    </xdr:from>
    <xdr:to>
      <xdr:col>37</xdr:col>
      <xdr:colOff>40821</xdr:colOff>
      <xdr:row>14</xdr:row>
      <xdr:rowOff>76200</xdr:rowOff>
    </xdr:to>
    <xdr:cxnSp macro="">
      <xdr:nvCxnSpPr>
        <xdr:cNvPr id="33493" name="직선 화살표 연결선 33492">
          <a:extLst>
            <a:ext uri="{FF2B5EF4-FFF2-40B4-BE49-F238E27FC236}">
              <a16:creationId xmlns:a16="http://schemas.microsoft.com/office/drawing/2014/main" id="{CDC1A211-6CAA-44D1-9FCC-B5C14D0E46F0}"/>
            </a:ext>
          </a:extLst>
        </xdr:cNvPr>
        <xdr:cNvCxnSpPr/>
      </xdr:nvCxnSpPr>
      <xdr:spPr>
        <a:xfrm>
          <a:off x="13890171" y="2352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13</xdr:row>
      <xdr:rowOff>19050</xdr:rowOff>
    </xdr:from>
    <xdr:to>
      <xdr:col>36</xdr:col>
      <xdr:colOff>42090</xdr:colOff>
      <xdr:row>13</xdr:row>
      <xdr:rowOff>133350</xdr:rowOff>
    </xdr:to>
    <xdr:sp macro="" textlink="">
      <xdr:nvSpPr>
        <xdr:cNvPr id="33494" name="10">
          <a:extLst>
            <a:ext uri="{FF2B5EF4-FFF2-40B4-BE49-F238E27FC236}">
              <a16:creationId xmlns:a16="http://schemas.microsoft.com/office/drawing/2014/main" id="{4419286B-8405-4B94-8679-A4761DA54BAF}"/>
            </a:ext>
          </a:extLst>
        </xdr:cNvPr>
        <xdr:cNvSpPr/>
      </xdr:nvSpPr>
      <xdr:spPr>
        <a:xfrm>
          <a:off x="137472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13</xdr:row>
      <xdr:rowOff>76200</xdr:rowOff>
    </xdr:from>
    <xdr:to>
      <xdr:col>36</xdr:col>
      <xdr:colOff>40821</xdr:colOff>
      <xdr:row>13</xdr:row>
      <xdr:rowOff>76200</xdr:rowOff>
    </xdr:to>
    <xdr:cxnSp macro="">
      <xdr:nvCxnSpPr>
        <xdr:cNvPr id="33495" name="직선 화살표 연결선 33494">
          <a:extLst>
            <a:ext uri="{FF2B5EF4-FFF2-40B4-BE49-F238E27FC236}">
              <a16:creationId xmlns:a16="http://schemas.microsoft.com/office/drawing/2014/main" id="{6CAAD1A9-C44E-4BD4-909B-D8A2614D37CE}"/>
            </a:ext>
          </a:extLst>
        </xdr:cNvPr>
        <xdr:cNvCxnSpPr/>
      </xdr:nvCxnSpPr>
      <xdr:spPr>
        <a:xfrm>
          <a:off x="13747296" y="2200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12</xdr:row>
      <xdr:rowOff>19050</xdr:rowOff>
    </xdr:from>
    <xdr:to>
      <xdr:col>36</xdr:col>
      <xdr:colOff>1270</xdr:colOff>
      <xdr:row>12</xdr:row>
      <xdr:rowOff>133350</xdr:rowOff>
    </xdr:to>
    <xdr:sp macro="" textlink="">
      <xdr:nvSpPr>
        <xdr:cNvPr id="33496" name="9">
          <a:extLst>
            <a:ext uri="{FF2B5EF4-FFF2-40B4-BE49-F238E27FC236}">
              <a16:creationId xmlns:a16="http://schemas.microsoft.com/office/drawing/2014/main" id="{F9E69812-309B-48D8-9126-7D55BCC30D20}"/>
            </a:ext>
          </a:extLst>
        </xdr:cNvPr>
        <xdr:cNvSpPr/>
      </xdr:nvSpPr>
      <xdr:spPr>
        <a:xfrm>
          <a:off x="13747296" y="1990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12</xdr:row>
      <xdr:rowOff>76200</xdr:rowOff>
    </xdr:from>
    <xdr:to>
      <xdr:col>36</xdr:col>
      <xdr:colOff>0</xdr:colOff>
      <xdr:row>12</xdr:row>
      <xdr:rowOff>76200</xdr:rowOff>
    </xdr:to>
    <xdr:cxnSp macro="">
      <xdr:nvCxnSpPr>
        <xdr:cNvPr id="33497" name="직선 화살표 연결선 33496">
          <a:extLst>
            <a:ext uri="{FF2B5EF4-FFF2-40B4-BE49-F238E27FC236}">
              <a16:creationId xmlns:a16="http://schemas.microsoft.com/office/drawing/2014/main" id="{5046F1C9-C650-425D-B72C-6F270D8D3647}"/>
            </a:ext>
          </a:extLst>
        </xdr:cNvPr>
        <xdr:cNvCxnSpPr/>
      </xdr:nvCxnSpPr>
      <xdr:spPr>
        <a:xfrm>
          <a:off x="13747296" y="20478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11</xdr:row>
      <xdr:rowOff>19050</xdr:rowOff>
    </xdr:from>
    <xdr:to>
      <xdr:col>36</xdr:col>
      <xdr:colOff>1270</xdr:colOff>
      <xdr:row>11</xdr:row>
      <xdr:rowOff>133350</xdr:rowOff>
    </xdr:to>
    <xdr:sp macro="" textlink="">
      <xdr:nvSpPr>
        <xdr:cNvPr id="33498" name="8">
          <a:extLst>
            <a:ext uri="{FF2B5EF4-FFF2-40B4-BE49-F238E27FC236}">
              <a16:creationId xmlns:a16="http://schemas.microsoft.com/office/drawing/2014/main" id="{9B891621-1116-4EC3-8A46-6B69F5A15C5A}"/>
            </a:ext>
          </a:extLst>
        </xdr:cNvPr>
        <xdr:cNvSpPr/>
      </xdr:nvSpPr>
      <xdr:spPr>
        <a:xfrm>
          <a:off x="13747296" y="1838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11</xdr:row>
      <xdr:rowOff>76200</xdr:rowOff>
    </xdr:from>
    <xdr:to>
      <xdr:col>36</xdr:col>
      <xdr:colOff>0</xdr:colOff>
      <xdr:row>11</xdr:row>
      <xdr:rowOff>76200</xdr:rowOff>
    </xdr:to>
    <xdr:cxnSp macro="">
      <xdr:nvCxnSpPr>
        <xdr:cNvPr id="33499" name="직선 화살표 연결선 33498">
          <a:extLst>
            <a:ext uri="{FF2B5EF4-FFF2-40B4-BE49-F238E27FC236}">
              <a16:creationId xmlns:a16="http://schemas.microsoft.com/office/drawing/2014/main" id="{969E845C-731C-4350-8A20-FF88A78ECD9E}"/>
            </a:ext>
          </a:extLst>
        </xdr:cNvPr>
        <xdr:cNvCxnSpPr/>
      </xdr:nvCxnSpPr>
      <xdr:spPr>
        <a:xfrm>
          <a:off x="13747296" y="1895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10</xdr:row>
      <xdr:rowOff>19050</xdr:rowOff>
    </xdr:from>
    <xdr:to>
      <xdr:col>36</xdr:col>
      <xdr:colOff>24946</xdr:colOff>
      <xdr:row>10</xdr:row>
      <xdr:rowOff>146050</xdr:rowOff>
    </xdr:to>
    <xdr:sp macro="" textlink="">
      <xdr:nvSpPr>
        <xdr:cNvPr id="33500" name="다이아몬드 33499">
          <a:extLst>
            <a:ext uri="{FF2B5EF4-FFF2-40B4-BE49-F238E27FC236}">
              <a16:creationId xmlns:a16="http://schemas.microsoft.com/office/drawing/2014/main" id="{DE5D929C-CBF5-4CB0-9F3B-2F7F122B4BA3}"/>
            </a:ext>
          </a:extLst>
        </xdr:cNvPr>
        <xdr:cNvSpPr/>
      </xdr:nvSpPr>
      <xdr:spPr>
        <a:xfrm>
          <a:off x="13747296" y="1685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19050</xdr:rowOff>
    </xdr:from>
    <xdr:to>
      <xdr:col>36</xdr:col>
      <xdr:colOff>82913</xdr:colOff>
      <xdr:row>9</xdr:row>
      <xdr:rowOff>133350</xdr:rowOff>
    </xdr:to>
    <xdr:sp macro="" textlink="">
      <xdr:nvSpPr>
        <xdr:cNvPr id="33501" name="6">
          <a:extLst>
            <a:ext uri="{FF2B5EF4-FFF2-40B4-BE49-F238E27FC236}">
              <a16:creationId xmlns:a16="http://schemas.microsoft.com/office/drawing/2014/main" id="{B831979D-5476-4D37-AB18-D3AD883C22EC}"/>
            </a:ext>
          </a:extLst>
        </xdr:cNvPr>
        <xdr:cNvSpPr/>
      </xdr:nvSpPr>
      <xdr:spPr>
        <a:xfrm>
          <a:off x="13869761" y="1533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76200</xdr:rowOff>
    </xdr:from>
    <xdr:to>
      <xdr:col>36</xdr:col>
      <xdr:colOff>81643</xdr:colOff>
      <xdr:row>9</xdr:row>
      <xdr:rowOff>76200</xdr:rowOff>
    </xdr:to>
    <xdr:cxnSp macro="">
      <xdr:nvCxnSpPr>
        <xdr:cNvPr id="33502" name="직선 화살표 연결선 33501">
          <a:extLst>
            <a:ext uri="{FF2B5EF4-FFF2-40B4-BE49-F238E27FC236}">
              <a16:creationId xmlns:a16="http://schemas.microsoft.com/office/drawing/2014/main" id="{42888196-DE45-4C64-9A17-F3DA5ECC9ED8}"/>
            </a:ext>
          </a:extLst>
        </xdr:cNvPr>
        <xdr:cNvCxnSpPr/>
      </xdr:nvCxnSpPr>
      <xdr:spPr>
        <a:xfrm>
          <a:off x="13869761" y="1590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8</xdr:row>
      <xdr:rowOff>19050</xdr:rowOff>
    </xdr:from>
    <xdr:to>
      <xdr:col>35</xdr:col>
      <xdr:colOff>1270</xdr:colOff>
      <xdr:row>8</xdr:row>
      <xdr:rowOff>133350</xdr:rowOff>
    </xdr:to>
    <xdr:sp macro="" textlink="">
      <xdr:nvSpPr>
        <xdr:cNvPr id="33503" name="5">
          <a:extLst>
            <a:ext uri="{FF2B5EF4-FFF2-40B4-BE49-F238E27FC236}">
              <a16:creationId xmlns:a16="http://schemas.microsoft.com/office/drawing/2014/main" id="{EFFD9274-ED76-4400-9654-02E1C642261D}"/>
            </a:ext>
          </a:extLst>
        </xdr:cNvPr>
        <xdr:cNvSpPr/>
      </xdr:nvSpPr>
      <xdr:spPr>
        <a:xfrm>
          <a:off x="13624832" y="1381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8</xdr:row>
      <xdr:rowOff>76200</xdr:rowOff>
    </xdr:from>
    <xdr:to>
      <xdr:col>35</xdr:col>
      <xdr:colOff>0</xdr:colOff>
      <xdr:row>8</xdr:row>
      <xdr:rowOff>76200</xdr:rowOff>
    </xdr:to>
    <xdr:cxnSp macro="">
      <xdr:nvCxnSpPr>
        <xdr:cNvPr id="33504" name="직선 화살표 연결선 33503">
          <a:extLst>
            <a:ext uri="{FF2B5EF4-FFF2-40B4-BE49-F238E27FC236}">
              <a16:creationId xmlns:a16="http://schemas.microsoft.com/office/drawing/2014/main" id="{45F109B7-0A83-4C77-923D-4F6C5C244922}"/>
            </a:ext>
          </a:extLst>
        </xdr:cNvPr>
        <xdr:cNvCxnSpPr/>
      </xdr:nvCxnSpPr>
      <xdr:spPr>
        <a:xfrm>
          <a:off x="13624832" y="1438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7</xdr:row>
      <xdr:rowOff>19050</xdr:rowOff>
    </xdr:from>
    <xdr:to>
      <xdr:col>36</xdr:col>
      <xdr:colOff>82913</xdr:colOff>
      <xdr:row>7</xdr:row>
      <xdr:rowOff>133350</xdr:rowOff>
    </xdr:to>
    <xdr:sp macro="" textlink="">
      <xdr:nvSpPr>
        <xdr:cNvPr id="33505" name="4">
          <a:extLst>
            <a:ext uri="{FF2B5EF4-FFF2-40B4-BE49-F238E27FC236}">
              <a16:creationId xmlns:a16="http://schemas.microsoft.com/office/drawing/2014/main" id="{431D275B-5EFE-47B0-8D9B-0AE16B36E413}"/>
            </a:ext>
          </a:extLst>
        </xdr:cNvPr>
        <xdr:cNvSpPr/>
      </xdr:nvSpPr>
      <xdr:spPr>
        <a:xfrm>
          <a:off x="13624832"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7</xdr:row>
      <xdr:rowOff>76200</xdr:rowOff>
    </xdr:from>
    <xdr:to>
      <xdr:col>36</xdr:col>
      <xdr:colOff>81643</xdr:colOff>
      <xdr:row>7</xdr:row>
      <xdr:rowOff>76200</xdr:rowOff>
    </xdr:to>
    <xdr:cxnSp macro="">
      <xdr:nvCxnSpPr>
        <xdr:cNvPr id="33506" name="직선 화살표 연결선 33505">
          <a:extLst>
            <a:ext uri="{FF2B5EF4-FFF2-40B4-BE49-F238E27FC236}">
              <a16:creationId xmlns:a16="http://schemas.microsoft.com/office/drawing/2014/main" id="{0E4FA98C-7570-47CD-8C41-08F1FBF34E73}"/>
            </a:ext>
          </a:extLst>
        </xdr:cNvPr>
        <xdr:cNvCxnSpPr/>
      </xdr:nvCxnSpPr>
      <xdr:spPr>
        <a:xfrm>
          <a:off x="13624832"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6</xdr:row>
      <xdr:rowOff>19050</xdr:rowOff>
    </xdr:from>
    <xdr:to>
      <xdr:col>38</xdr:col>
      <xdr:colOff>21681</xdr:colOff>
      <xdr:row>6</xdr:row>
      <xdr:rowOff>133350</xdr:rowOff>
    </xdr:to>
    <xdr:sp macro="" textlink="">
      <xdr:nvSpPr>
        <xdr:cNvPr id="33507" name="3">
          <a:extLst>
            <a:ext uri="{FF2B5EF4-FFF2-40B4-BE49-F238E27FC236}">
              <a16:creationId xmlns:a16="http://schemas.microsoft.com/office/drawing/2014/main" id="{955C52E7-243A-421A-A2AE-FCEA465E6C85}"/>
            </a:ext>
          </a:extLst>
        </xdr:cNvPr>
        <xdr:cNvSpPr/>
      </xdr:nvSpPr>
      <xdr:spPr>
        <a:xfrm>
          <a:off x="13624832" y="10763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6</xdr:row>
      <xdr:rowOff>76200</xdr:rowOff>
    </xdr:from>
    <xdr:to>
      <xdr:col>37</xdr:col>
      <xdr:colOff>30617</xdr:colOff>
      <xdr:row>6</xdr:row>
      <xdr:rowOff>76200</xdr:rowOff>
    </xdr:to>
    <xdr:cxnSp macro="">
      <xdr:nvCxnSpPr>
        <xdr:cNvPr id="33508" name="직선 화살표 연결선 33507">
          <a:extLst>
            <a:ext uri="{FF2B5EF4-FFF2-40B4-BE49-F238E27FC236}">
              <a16:creationId xmlns:a16="http://schemas.microsoft.com/office/drawing/2014/main" id="{F70A5F14-94B7-471F-8B86-EB4B8237C0A6}"/>
            </a:ext>
          </a:extLst>
        </xdr:cNvPr>
        <xdr:cNvCxnSpPr/>
      </xdr:nvCxnSpPr>
      <xdr:spPr>
        <a:xfrm>
          <a:off x="13624832" y="1133475"/>
          <a:ext cx="3980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xdr:row>
      <xdr:rowOff>19050</xdr:rowOff>
    </xdr:from>
    <xdr:to>
      <xdr:col>38</xdr:col>
      <xdr:colOff>103324</xdr:colOff>
      <xdr:row>5</xdr:row>
      <xdr:rowOff>133350</xdr:rowOff>
    </xdr:to>
    <xdr:sp macro="" textlink="">
      <xdr:nvSpPr>
        <xdr:cNvPr id="33509" name="2">
          <a:extLst>
            <a:ext uri="{FF2B5EF4-FFF2-40B4-BE49-F238E27FC236}">
              <a16:creationId xmlns:a16="http://schemas.microsoft.com/office/drawing/2014/main" id="{15093B27-876E-43C2-B167-9137FF977E53}"/>
            </a:ext>
          </a:extLst>
        </xdr:cNvPr>
        <xdr:cNvSpPr/>
      </xdr:nvSpPr>
      <xdr:spPr>
        <a:xfrm>
          <a:off x="13624832" y="923925"/>
          <a:ext cx="6135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xdr:row>
      <xdr:rowOff>76200</xdr:rowOff>
    </xdr:from>
    <xdr:to>
      <xdr:col>36</xdr:col>
      <xdr:colOff>30617</xdr:colOff>
      <xdr:row>5</xdr:row>
      <xdr:rowOff>76200</xdr:rowOff>
    </xdr:to>
    <xdr:cxnSp macro="">
      <xdr:nvCxnSpPr>
        <xdr:cNvPr id="33510" name="직선 화살표 연결선 33509">
          <a:extLst>
            <a:ext uri="{FF2B5EF4-FFF2-40B4-BE49-F238E27FC236}">
              <a16:creationId xmlns:a16="http://schemas.microsoft.com/office/drawing/2014/main" id="{B3CA2F3F-5D33-45B3-9512-268746AEF138}"/>
            </a:ext>
          </a:extLst>
        </xdr:cNvPr>
        <xdr:cNvCxnSpPr/>
      </xdr:nvCxnSpPr>
      <xdr:spPr>
        <a:xfrm>
          <a:off x="13624832" y="981075"/>
          <a:ext cx="2551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39</xdr:col>
      <xdr:colOff>62502</xdr:colOff>
      <xdr:row>4</xdr:row>
      <xdr:rowOff>133350</xdr:rowOff>
    </xdr:to>
    <xdr:sp macro="" textlink="">
      <xdr:nvSpPr>
        <xdr:cNvPr id="33511" name="1">
          <a:extLst>
            <a:ext uri="{FF2B5EF4-FFF2-40B4-BE49-F238E27FC236}">
              <a16:creationId xmlns:a16="http://schemas.microsoft.com/office/drawing/2014/main" id="{E6005EA4-7402-43CE-9183-D808D7BEBB2C}"/>
            </a:ext>
          </a:extLst>
        </xdr:cNvPr>
        <xdr:cNvSpPr/>
      </xdr:nvSpPr>
      <xdr:spPr>
        <a:xfrm>
          <a:off x="13216618" y="771525"/>
          <a:ext cx="112385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35</xdr:col>
      <xdr:colOff>77694</xdr:colOff>
      <xdr:row>4</xdr:row>
      <xdr:rowOff>76200</xdr:rowOff>
    </xdr:to>
    <xdr:cxnSp macro="">
      <xdr:nvCxnSpPr>
        <xdr:cNvPr id="33512" name="직선 화살표 연결선 33511">
          <a:extLst>
            <a:ext uri="{FF2B5EF4-FFF2-40B4-BE49-F238E27FC236}">
              <a16:creationId xmlns:a16="http://schemas.microsoft.com/office/drawing/2014/main" id="{DAC340EB-614F-4BCE-869A-DD308DEF8B2E}"/>
            </a:ext>
          </a:extLst>
        </xdr:cNvPr>
        <xdr:cNvCxnSpPr/>
      </xdr:nvCxnSpPr>
      <xdr:spPr>
        <a:xfrm>
          <a:off x="13216618" y="828675"/>
          <a:ext cx="5675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1394</v>
      </c>
      <c r="C6" s="72"/>
      <c r="D6" s="72"/>
      <c r="E6" s="72" t="s">
        <v>11</v>
      </c>
      <c r="F6" s="72"/>
    </row>
    <row r="7" spans="1:64">
      <c r="A7" s="71" t="s">
        <v>16</v>
      </c>
      <c r="B7" s="71" t="s">
        <v>10</v>
      </c>
      <c r="C7" s="72"/>
      <c r="D7" s="72"/>
      <c r="E7" s="72" t="s">
        <v>11</v>
      </c>
      <c r="F7" s="72"/>
    </row>
    <row r="8" spans="1:64">
      <c r="A8" s="71" t="s">
        <v>17</v>
      </c>
      <c r="B8" s="74" t="s">
        <v>1523</v>
      </c>
      <c r="C8" s="72" t="s">
        <v>1674</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1543</v>
      </c>
      <c r="D11" s="70" t="s">
        <v>23</v>
      </c>
      <c r="E11" s="79">
        <v>1</v>
      </c>
      <c r="F11" s="80" t="s">
        <v>24</v>
      </c>
      <c r="G11" s="81">
        <v>44532</v>
      </c>
      <c r="H11" s="80" t="s">
        <v>25</v>
      </c>
      <c r="I11" s="81">
        <v>44586</v>
      </c>
      <c r="J11" s="73" t="s">
        <v>403</v>
      </c>
      <c r="K11" s="73" t="s">
        <v>1675</v>
      </c>
      <c r="L11" s="73" t="s">
        <v>400</v>
      </c>
      <c r="M11" s="73">
        <v>1</v>
      </c>
      <c r="N11" s="78" t="s">
        <v>26</v>
      </c>
      <c r="O11" s="70">
        <v>0</v>
      </c>
      <c r="P11" s="70" t="s">
        <v>27</v>
      </c>
      <c r="Q11" s="78" t="s">
        <v>1544</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1239</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1235</v>
      </c>
      <c r="AK12" s="73">
        <v>1</v>
      </c>
      <c r="AL12" s="73" t="s">
        <v>1236</v>
      </c>
      <c r="AM12" s="73">
        <v>1</v>
      </c>
      <c r="AN12" s="73" t="s">
        <v>1237</v>
      </c>
      <c r="AO12" s="73">
        <v>1</v>
      </c>
      <c r="AP12" s="73" t="s">
        <v>1238</v>
      </c>
      <c r="AQ12" s="135" t="s">
        <v>1348</v>
      </c>
      <c r="AR12" s="73" t="s">
        <v>1385</v>
      </c>
      <c r="AS12" s="73">
        <v>-4131</v>
      </c>
    </row>
    <row r="13" spans="1:64">
      <c r="A13" s="72" t="s">
        <v>387</v>
      </c>
      <c r="B13" s="78" t="s">
        <v>28</v>
      </c>
      <c r="C13" s="70">
        <v>1</v>
      </c>
      <c r="D13" s="78" t="s">
        <v>29</v>
      </c>
      <c r="E13" s="70" t="s">
        <v>1545</v>
      </c>
      <c r="F13" s="70" t="s">
        <v>30</v>
      </c>
      <c r="G13" s="80" t="s">
        <v>1546</v>
      </c>
      <c r="H13" s="80" t="s">
        <v>31</v>
      </c>
      <c r="I13" s="73" t="s">
        <v>528</v>
      </c>
    </row>
    <row r="14" spans="1:64">
      <c r="A14" s="72" t="s">
        <v>388</v>
      </c>
      <c r="B14" s="79" t="s">
        <v>32</v>
      </c>
      <c r="C14" s="79" t="s">
        <v>1547</v>
      </c>
      <c r="D14" s="79" t="s">
        <v>33</v>
      </c>
      <c r="E14" s="79" t="s">
        <v>1548</v>
      </c>
      <c r="F14" s="79" t="s">
        <v>34</v>
      </c>
      <c r="G14" s="79" t="s">
        <v>1549</v>
      </c>
      <c r="H14" s="79" t="s">
        <v>35</v>
      </c>
      <c r="I14" s="79" t="b">
        <v>0</v>
      </c>
      <c r="J14" s="79" t="s">
        <v>36</v>
      </c>
      <c r="K14" s="79" t="s">
        <v>1550</v>
      </c>
      <c r="L14" s="79" t="s">
        <v>37</v>
      </c>
      <c r="M14" s="79" t="s">
        <v>1551</v>
      </c>
      <c r="N14" s="79" t="s">
        <v>38</v>
      </c>
      <c r="O14" s="79" t="s">
        <v>1549</v>
      </c>
      <c r="P14" s="79" t="s">
        <v>39</v>
      </c>
      <c r="Q14" s="79" t="b">
        <v>0</v>
      </c>
      <c r="R14" s="79" t="s">
        <v>40</v>
      </c>
      <c r="S14" s="79" t="s">
        <v>1552</v>
      </c>
      <c r="T14" s="79" t="s">
        <v>41</v>
      </c>
      <c r="U14" s="79" t="s">
        <v>1553</v>
      </c>
      <c r="V14" s="79" t="s">
        <v>42</v>
      </c>
      <c r="W14" s="79" t="s">
        <v>1549</v>
      </c>
      <c r="X14" s="79" t="s">
        <v>43</v>
      </c>
      <c r="Y14" s="79" t="b">
        <v>1</v>
      </c>
      <c r="Z14" s="79" t="s">
        <v>44</v>
      </c>
      <c r="AA14" s="79" t="s">
        <v>1554</v>
      </c>
      <c r="AB14" s="79" t="s">
        <v>45</v>
      </c>
      <c r="AC14" s="79" t="s">
        <v>1555</v>
      </c>
      <c r="AD14" s="79" t="s">
        <v>46</v>
      </c>
      <c r="AE14" s="79" t="s">
        <v>1556</v>
      </c>
      <c r="AF14" s="79" t="s">
        <v>47</v>
      </c>
      <c r="AG14" s="79" t="b">
        <v>1</v>
      </c>
      <c r="AH14" s="79" t="s">
        <v>48</v>
      </c>
      <c r="AI14" s="79" t="s">
        <v>1557</v>
      </c>
      <c r="AJ14" s="79" t="s">
        <v>49</v>
      </c>
      <c r="AK14" s="79" t="s">
        <v>1558</v>
      </c>
      <c r="AL14" s="79" t="s">
        <v>50</v>
      </c>
      <c r="AM14" s="79" t="s">
        <v>1559</v>
      </c>
      <c r="AN14" s="79" t="s">
        <v>51</v>
      </c>
      <c r="AO14" s="79" t="b">
        <v>0</v>
      </c>
      <c r="AP14" s="79" t="s">
        <v>52</v>
      </c>
      <c r="AQ14" s="79" t="s">
        <v>1560</v>
      </c>
      <c r="AR14" s="79" t="s">
        <v>53</v>
      </c>
      <c r="AS14" s="79" t="s">
        <v>1561</v>
      </c>
      <c r="AT14" s="79" t="s">
        <v>54</v>
      </c>
      <c r="AU14" s="79" t="s">
        <v>1562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1564</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activeCell="L19" sqref="L19"/>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64" t="s">
        <v>1396</v>
      </c>
      <c r="B1" s="265"/>
      <c r="C1" s="265"/>
      <c r="D1" s="265"/>
      <c r="E1" s="265"/>
      <c r="F1" s="265"/>
      <c r="G1" s="265"/>
      <c r="H1" s="182"/>
      <c r="I1" s="182"/>
      <c r="J1" s="257" t="s">
        <v>1525</v>
      </c>
      <c r="K1" s="258"/>
      <c r="L1" s="258"/>
      <c r="M1" s="183"/>
    </row>
    <row r="2" spans="1:13" s="104" customFormat="1" ht="33.75" customHeight="1">
      <c r="A2" s="266"/>
      <c r="B2" s="267"/>
      <c r="C2" s="267"/>
      <c r="D2" s="267"/>
      <c r="E2" s="267"/>
      <c r="F2" s="267"/>
      <c r="G2" s="267"/>
      <c r="H2" s="262" t="s">
        <v>1397</v>
      </c>
      <c r="I2" s="263"/>
      <c r="J2" s="263"/>
      <c r="K2" s="263"/>
      <c r="L2" s="263"/>
      <c r="M2" s="184"/>
    </row>
    <row r="4" spans="1:13" ht="17.25" customHeight="1">
      <c r="B4" s="259" t="s">
        <v>1398</v>
      </c>
      <c r="C4" s="259"/>
      <c r="D4" s="259"/>
      <c r="E4" s="259"/>
      <c r="F4" s="259"/>
      <c r="G4" s="259"/>
      <c r="H4" s="259"/>
      <c r="I4" s="259"/>
      <c r="J4" s="259"/>
      <c r="K4" s="259"/>
      <c r="L4" s="259"/>
    </row>
    <row r="5" spans="1:13" ht="27.75" customHeight="1">
      <c r="B5" s="259"/>
      <c r="C5" s="259"/>
      <c r="D5" s="259"/>
      <c r="E5" s="259"/>
      <c r="F5" s="259"/>
      <c r="G5" s="259"/>
      <c r="H5" s="259"/>
      <c r="I5" s="259"/>
      <c r="J5" s="259"/>
      <c r="K5" s="259"/>
      <c r="L5" s="259"/>
    </row>
    <row r="6" spans="1:13" s="104" customFormat="1" ht="12.75">
      <c r="B6" s="105"/>
    </row>
    <row r="7" spans="1:13" s="104" customFormat="1" ht="18.75">
      <c r="B7" s="106" t="s">
        <v>1399</v>
      </c>
      <c r="D7" s="107"/>
    </row>
    <row r="8" spans="1:13" s="104" customFormat="1" ht="7.5" customHeight="1">
      <c r="B8" s="105"/>
    </row>
    <row r="9" spans="1:13" s="104" customFormat="1" ht="34.5" customHeight="1" thickBot="1">
      <c r="A9" s="108"/>
      <c r="B9" s="109" t="s">
        <v>533</v>
      </c>
      <c r="C9" s="108"/>
      <c r="D9" s="261" t="s">
        <v>1131</v>
      </c>
      <c r="E9" s="261"/>
      <c r="F9" s="261"/>
      <c r="G9" s="261"/>
      <c r="H9" s="261"/>
      <c r="I9" s="261"/>
      <c r="J9" s="261"/>
      <c r="K9" s="261"/>
      <c r="L9" s="261"/>
    </row>
    <row r="10" spans="1:13" s="104" customFormat="1" ht="27.75" customHeight="1" thickTop="1" thickBot="1">
      <c r="A10" s="108"/>
      <c r="B10" s="110" t="s">
        <v>534</v>
      </c>
      <c r="C10" s="108"/>
      <c r="D10" s="261" t="s">
        <v>1400</v>
      </c>
      <c r="E10" s="261"/>
      <c r="F10" s="261"/>
      <c r="G10" s="261"/>
      <c r="H10" s="261"/>
      <c r="I10" s="261"/>
      <c r="J10" s="261"/>
      <c r="K10" s="261"/>
      <c r="L10" s="261"/>
    </row>
    <row r="11" spans="1:13" s="104" customFormat="1" ht="27.75" customHeight="1" thickTop="1" thickBot="1">
      <c r="A11" s="108"/>
      <c r="B11" s="111" t="s">
        <v>535</v>
      </c>
      <c r="C11" s="108"/>
      <c r="D11" s="261" t="s">
        <v>1401</v>
      </c>
      <c r="E11" s="261"/>
      <c r="F11" s="261"/>
      <c r="G11" s="261"/>
      <c r="H11" s="261"/>
      <c r="I11" s="261"/>
      <c r="J11" s="261"/>
      <c r="K11" s="261"/>
      <c r="L11" s="261"/>
    </row>
    <row r="12" spans="1:13" s="104" customFormat="1" ht="27.75" customHeight="1" thickTop="1" thickBot="1">
      <c r="A12" s="108"/>
      <c r="B12" s="112" t="s">
        <v>536</v>
      </c>
      <c r="C12" s="108"/>
      <c r="D12" s="261" t="s">
        <v>1402</v>
      </c>
      <c r="E12" s="261"/>
      <c r="F12" s="261"/>
      <c r="G12" s="261"/>
      <c r="H12" s="261"/>
      <c r="I12" s="261"/>
      <c r="J12" s="261"/>
      <c r="K12" s="261"/>
      <c r="L12" s="261"/>
    </row>
    <row r="13" spans="1:13" s="104" customFormat="1" ht="27.75" customHeight="1" thickTop="1" thickBot="1">
      <c r="A13" s="108"/>
      <c r="B13" s="113" t="s">
        <v>1075</v>
      </c>
      <c r="C13" s="108"/>
      <c r="D13" s="261" t="s">
        <v>1172</v>
      </c>
      <c r="E13" s="261"/>
      <c r="F13" s="261"/>
      <c r="G13" s="261"/>
      <c r="H13" s="261"/>
      <c r="I13" s="261"/>
      <c r="J13" s="261"/>
      <c r="K13" s="261"/>
      <c r="L13" s="261"/>
    </row>
    <row r="14" spans="1:13" s="104" customFormat="1" ht="27.75" customHeight="1" thickTop="1" thickBot="1">
      <c r="A14" s="108"/>
      <c r="B14" s="113" t="s">
        <v>992</v>
      </c>
      <c r="C14" s="108"/>
      <c r="D14" s="260" t="s">
        <v>1403</v>
      </c>
      <c r="E14" s="260"/>
      <c r="F14" s="260"/>
      <c r="G14" s="260"/>
      <c r="H14" s="260"/>
      <c r="I14" s="260"/>
      <c r="J14" s="260"/>
      <c r="K14" s="260"/>
      <c r="L14" s="260"/>
    </row>
    <row r="15" spans="1:13" s="104" customFormat="1" ht="27.75" customHeight="1" thickTop="1" thickBot="1">
      <c r="A15" s="108"/>
      <c r="B15" s="114" t="s">
        <v>537</v>
      </c>
      <c r="C15" s="108"/>
      <c r="D15" s="261" t="s">
        <v>1404</v>
      </c>
      <c r="E15" s="261"/>
      <c r="F15" s="261"/>
      <c r="G15" s="261"/>
      <c r="H15" s="261"/>
      <c r="I15" s="261"/>
      <c r="J15" s="261"/>
      <c r="K15" s="261"/>
      <c r="L15" s="261"/>
    </row>
    <row r="16" spans="1:13" ht="16.5" thickTop="1">
      <c r="A16" s="115"/>
      <c r="B16" s="116"/>
      <c r="C16" s="115"/>
      <c r="D16" s="117"/>
      <c r="E16" s="117"/>
      <c r="F16" s="117"/>
      <c r="G16" s="117"/>
      <c r="H16" s="117"/>
      <c r="I16" s="117"/>
      <c r="J16" s="117"/>
      <c r="K16" s="117"/>
      <c r="L16" s="117"/>
    </row>
    <row r="17" spans="2:12" s="104" customFormat="1" ht="18.75">
      <c r="B17" s="106" t="s">
        <v>1405</v>
      </c>
      <c r="D17" s="107"/>
    </row>
    <row r="18" spans="2:12" s="104" customFormat="1" ht="5.25" customHeight="1">
      <c r="B18" s="118"/>
      <c r="D18" s="107"/>
    </row>
    <row r="19" spans="2:12" s="104" customFormat="1" ht="24.75" customHeight="1" thickBot="1">
      <c r="B19" s="119" t="s">
        <v>1406</v>
      </c>
      <c r="D19" s="255" t="s">
        <v>1416</v>
      </c>
      <c r="E19" s="255"/>
      <c r="F19" s="255"/>
      <c r="G19" s="255"/>
      <c r="H19" s="255"/>
      <c r="I19" s="255"/>
      <c r="J19" s="255"/>
      <c r="K19" s="255"/>
      <c r="L19" s="126" t="s">
        <v>1158</v>
      </c>
    </row>
    <row r="20" spans="2:12" s="104" customFormat="1" ht="41.25" customHeight="1" thickTop="1" thickBot="1">
      <c r="B20" s="119" t="s">
        <v>1528</v>
      </c>
      <c r="D20" s="255" t="s">
        <v>1417</v>
      </c>
      <c r="E20" s="255"/>
      <c r="F20" s="255"/>
      <c r="G20" s="255"/>
      <c r="H20" s="255"/>
      <c r="I20" s="255"/>
      <c r="J20" s="255"/>
      <c r="K20" s="255"/>
      <c r="L20" s="126" t="s">
        <v>1158</v>
      </c>
    </row>
    <row r="21" spans="2:12" s="104" customFormat="1" ht="37.5" customHeight="1" thickTop="1" thickBot="1">
      <c r="B21" s="119" t="s">
        <v>1407</v>
      </c>
      <c r="D21" s="255" t="s">
        <v>1418</v>
      </c>
      <c r="E21" s="255"/>
      <c r="F21" s="255"/>
      <c r="G21" s="255"/>
      <c r="H21" s="255"/>
      <c r="I21" s="255"/>
      <c r="J21" s="255"/>
      <c r="K21" s="255"/>
      <c r="L21" s="126" t="s">
        <v>1158</v>
      </c>
    </row>
    <row r="22" spans="2:12" s="104" customFormat="1" ht="41.25" customHeight="1" thickTop="1" thickBot="1">
      <c r="B22" s="119" t="s">
        <v>1408</v>
      </c>
      <c r="D22" s="255" t="s">
        <v>1419</v>
      </c>
      <c r="E22" s="255"/>
      <c r="F22" s="255"/>
      <c r="G22" s="255"/>
      <c r="H22" s="255"/>
      <c r="I22" s="255"/>
      <c r="J22" s="255"/>
      <c r="K22" s="255"/>
      <c r="L22" s="126" t="s">
        <v>1158</v>
      </c>
    </row>
    <row r="23" spans="2:12" s="104" customFormat="1" ht="36" customHeight="1" thickTop="1" thickBot="1">
      <c r="B23" s="119" t="s">
        <v>1409</v>
      </c>
      <c r="D23" s="255" t="s">
        <v>1187</v>
      </c>
      <c r="E23" s="255"/>
      <c r="F23" s="255"/>
      <c r="G23" s="255"/>
      <c r="H23" s="255"/>
      <c r="I23" s="255"/>
      <c r="J23" s="255"/>
      <c r="K23" s="255"/>
      <c r="L23" s="126" t="s">
        <v>1158</v>
      </c>
    </row>
    <row r="24" spans="2:12" s="104" customFormat="1" ht="52.5" customHeight="1" thickTop="1" thickBot="1">
      <c r="B24" s="119" t="s">
        <v>1410</v>
      </c>
      <c r="D24" s="255" t="s">
        <v>1420</v>
      </c>
      <c r="E24" s="255"/>
      <c r="F24" s="255"/>
      <c r="G24" s="255"/>
      <c r="H24" s="255"/>
      <c r="I24" s="255"/>
      <c r="J24" s="255"/>
      <c r="K24" s="255"/>
      <c r="L24" s="126" t="s">
        <v>1158</v>
      </c>
    </row>
    <row r="25" spans="2:12" s="104" customFormat="1" ht="57" customHeight="1" thickTop="1" thickBot="1">
      <c r="B25" s="119" t="s">
        <v>1411</v>
      </c>
      <c r="D25" s="255" t="s">
        <v>1421</v>
      </c>
      <c r="E25" s="255"/>
      <c r="F25" s="255"/>
      <c r="G25" s="255"/>
      <c r="H25" s="255"/>
      <c r="I25" s="255"/>
      <c r="J25" s="255"/>
      <c r="K25" s="255"/>
      <c r="L25" s="126" t="s">
        <v>1158</v>
      </c>
    </row>
    <row r="26" spans="2:12" s="104" customFormat="1" ht="48.75" customHeight="1" thickTop="1" thickBot="1">
      <c r="B26" s="119" t="s">
        <v>1412</v>
      </c>
      <c r="D26" s="255" t="s">
        <v>1422</v>
      </c>
      <c r="E26" s="255"/>
      <c r="F26" s="255"/>
      <c r="G26" s="255"/>
      <c r="H26" s="255"/>
      <c r="I26" s="255"/>
      <c r="J26" s="255"/>
      <c r="K26" s="255"/>
      <c r="L26" s="126" t="s">
        <v>1158</v>
      </c>
    </row>
    <row r="27" spans="2:12" s="104" customFormat="1" ht="43.5" customHeight="1" thickTop="1" thickBot="1">
      <c r="B27" s="119" t="s">
        <v>1413</v>
      </c>
      <c r="D27" s="255" t="s">
        <v>1423</v>
      </c>
      <c r="E27" s="255"/>
      <c r="F27" s="255"/>
      <c r="G27" s="255"/>
      <c r="H27" s="255"/>
      <c r="I27" s="255"/>
      <c r="J27" s="255"/>
      <c r="K27" s="255"/>
      <c r="L27" s="126" t="s">
        <v>1158</v>
      </c>
    </row>
    <row r="28" spans="2:12" s="104" customFormat="1" ht="43.5" customHeight="1" thickTop="1" thickBot="1">
      <c r="B28" s="119" t="s">
        <v>1414</v>
      </c>
      <c r="D28" s="255" t="s">
        <v>1424</v>
      </c>
      <c r="E28" s="255"/>
      <c r="F28" s="255"/>
      <c r="G28" s="255"/>
      <c r="H28" s="255"/>
      <c r="I28" s="255"/>
      <c r="J28" s="255"/>
      <c r="K28" s="255"/>
      <c r="L28" s="126" t="s">
        <v>1158</v>
      </c>
    </row>
    <row r="29" spans="2:12" s="104" customFormat="1" ht="50.25" customHeight="1" thickTop="1" thickBot="1">
      <c r="B29" s="119" t="s">
        <v>536</v>
      </c>
      <c r="D29" s="255" t="s">
        <v>1193</v>
      </c>
      <c r="E29" s="255"/>
      <c r="F29" s="255"/>
      <c r="G29" s="255"/>
      <c r="H29" s="255"/>
      <c r="I29" s="255"/>
      <c r="J29" s="255"/>
      <c r="K29" s="255"/>
      <c r="L29" s="126" t="s">
        <v>1158</v>
      </c>
    </row>
    <row r="30" spans="2:12" s="104" customFormat="1" ht="57.75" customHeight="1" thickTop="1" thickBot="1">
      <c r="B30" s="119" t="s">
        <v>1156</v>
      </c>
      <c r="D30" s="255" t="s">
        <v>1425</v>
      </c>
      <c r="E30" s="255"/>
      <c r="F30" s="255"/>
      <c r="G30" s="255"/>
      <c r="H30" s="255"/>
      <c r="I30" s="255"/>
      <c r="J30" s="255"/>
      <c r="K30" s="255"/>
      <c r="L30" s="126" t="s">
        <v>1158</v>
      </c>
    </row>
    <row r="31" spans="2:12" s="104" customFormat="1" ht="67.5" customHeight="1" thickTop="1" thickBot="1">
      <c r="B31" s="119" t="s">
        <v>1415</v>
      </c>
      <c r="D31" s="255" t="s">
        <v>1195</v>
      </c>
      <c r="E31" s="255"/>
      <c r="F31" s="255"/>
      <c r="G31" s="255"/>
      <c r="H31" s="255"/>
      <c r="I31" s="255"/>
      <c r="J31" s="255"/>
      <c r="K31" s="255"/>
      <c r="L31" s="126" t="s">
        <v>1158</v>
      </c>
    </row>
    <row r="32" spans="2:12" s="104" customFormat="1" thickTop="1">
      <c r="B32" s="120"/>
      <c r="D32" s="107"/>
      <c r="L32" s="108"/>
    </row>
    <row r="33" spans="2:12" s="104" customFormat="1" ht="18.75" customHeight="1">
      <c r="B33" s="121" t="s">
        <v>1527</v>
      </c>
      <c r="C33" s="122"/>
      <c r="D33" s="123"/>
      <c r="E33" s="122"/>
      <c r="F33" s="122"/>
      <c r="G33" s="122"/>
      <c r="H33" s="122"/>
      <c r="I33" s="122"/>
      <c r="J33" s="122"/>
      <c r="K33" s="122"/>
      <c r="L33" s="124"/>
    </row>
    <row r="34" spans="2:12" s="104" customFormat="1" ht="59.25" customHeight="1">
      <c r="B34" s="256" t="s">
        <v>1426</v>
      </c>
      <c r="C34" s="256"/>
      <c r="D34" s="256"/>
      <c r="E34" s="256"/>
      <c r="F34" s="256"/>
      <c r="G34" s="256"/>
      <c r="H34" s="256"/>
      <c r="I34" s="256"/>
      <c r="J34" s="256"/>
      <c r="K34" s="256"/>
      <c r="L34" s="256"/>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CP97"/>
  <sheetViews>
    <sheetView tabSelected="1" zoomScaleNormal="100" zoomScalePageLayoutView="55" workbookViewId="0">
      <pane ySplit="4" topLeftCell="A29" activePane="bottomLeft" state="frozen"/>
      <selection activeCell="E5" sqref="E5"/>
      <selection pane="bottomLeft" activeCell="D5" sqref="D5"/>
    </sheetView>
  </sheetViews>
  <sheetFormatPr defaultColWidth="10" defaultRowHeight="12" customHeight="1" outlineLevelRow="6"/>
  <cols>
    <col min="1" max="1" width="9.125" style="143" hidden="1" customWidth="1"/>
    <col min="2" max="2" width="9" style="143" hidden="1" customWidth="1"/>
    <col min="3" max="3" width="8.375" style="143" hidden="1" customWidth="1"/>
    <col min="4" max="4" width="9.75" style="185" customWidth="1"/>
    <col min="5" max="13" width="2.75" style="144" customWidth="1"/>
    <col min="14" max="14" width="15.75" style="144" customWidth="1"/>
    <col min="15" max="15" width="24.125" style="144"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0.875" style="146" customWidth="1"/>
    <col min="29" max="29" width="10.25" style="150" bestFit="1" customWidth="1"/>
    <col min="30" max="30" width="7.75" style="151" bestFit="1" customWidth="1"/>
    <col min="31" max="31" width="7.25" style="152" customWidth="1"/>
    <col min="32" max="94" width="1.875" style="142" customWidth="1"/>
    <col min="95" max="16384" width="10" style="142"/>
  </cols>
  <sheetData>
    <row r="1" spans="1:94" s="139" customFormat="1" ht="20.100000000000001" customHeight="1">
      <c r="A1" s="153"/>
      <c r="B1" s="154"/>
      <c r="C1" s="155"/>
      <c r="D1" s="186" t="str">
        <f ca="1">xlgantt.ProjectName()</f>
        <v>나쁜넘들</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2021-12-02~2022-01-25 [계획:60.11% 실적:50.56%]</v>
      </c>
      <c r="AF1" s="174" t="s">
        <v>1524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94" s="139" customFormat="1" ht="15" customHeight="1">
      <c r="A2" s="153"/>
      <c r="B2" s="153"/>
      <c r="C2" s="155"/>
      <c r="D2" s="297"/>
      <c r="E2" s="297"/>
      <c r="F2" s="297"/>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70" t="s">
        <v>1291</v>
      </c>
      <c r="AG2" s="270"/>
      <c r="AH2" s="270"/>
      <c r="AI2" s="270"/>
      <c r="AJ2" s="270" t="s">
        <v>1616</v>
      </c>
      <c r="AK2" s="270"/>
      <c r="AL2" s="270"/>
      <c r="AM2" s="270"/>
      <c r="AN2" s="270" t="s">
        <v>1702</v>
      </c>
      <c r="AO2" s="270"/>
      <c r="AP2" s="270"/>
      <c r="AQ2" s="270"/>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row>
    <row r="3" spans="1:94" s="140" customFormat="1" ht="18.95" customHeight="1">
      <c r="A3" s="279" t="s">
        <v>1700</v>
      </c>
      <c r="B3" s="281" t="s">
        <v>1686</v>
      </c>
      <c r="C3" s="283" t="s">
        <v>1687</v>
      </c>
      <c r="D3" s="284" t="s">
        <v>1688</v>
      </c>
      <c r="E3" s="286" t="s">
        <v>1689</v>
      </c>
      <c r="F3" s="287"/>
      <c r="G3" s="287"/>
      <c r="H3" s="287"/>
      <c r="I3" s="287"/>
      <c r="J3" s="287"/>
      <c r="K3" s="287"/>
      <c r="L3" s="287"/>
      <c r="M3" s="287"/>
      <c r="N3" s="287"/>
      <c r="O3" s="293" t="s">
        <v>1690</v>
      </c>
      <c r="P3" s="293" t="s">
        <v>1676</v>
      </c>
      <c r="Q3" s="293" t="s">
        <v>1684</v>
      </c>
      <c r="R3" s="300" t="s">
        <v>1691</v>
      </c>
      <c r="S3" s="298" t="s">
        <v>1677</v>
      </c>
      <c r="T3" s="302" t="s">
        <v>1678</v>
      </c>
      <c r="U3" s="298" t="s">
        <v>1679</v>
      </c>
      <c r="V3" s="298" t="s">
        <v>1680</v>
      </c>
      <c r="W3" s="275" t="s">
        <v>1681</v>
      </c>
      <c r="X3" s="275" t="s">
        <v>1685</v>
      </c>
      <c r="Y3" s="289" t="s">
        <v>1692</v>
      </c>
      <c r="Z3" s="277" t="s">
        <v>1682</v>
      </c>
      <c r="AA3" s="294" t="s">
        <v>1683</v>
      </c>
      <c r="AB3" s="293" t="s">
        <v>1693</v>
      </c>
      <c r="AC3" s="296" t="s">
        <v>1694</v>
      </c>
      <c r="AD3" s="291" t="s">
        <v>1695</v>
      </c>
      <c r="AE3" s="273" t="s">
        <v>1696</v>
      </c>
      <c r="AF3" s="268" t="s">
        <v>1614</v>
      </c>
      <c r="AG3" s="269"/>
      <c r="AH3" s="269"/>
      <c r="AI3" s="269"/>
      <c r="AJ3" s="271" t="s">
        <v>1615</v>
      </c>
      <c r="AK3" s="269"/>
      <c r="AL3" s="269"/>
      <c r="AM3" s="269"/>
      <c r="AN3" s="271" t="s">
        <v>1701</v>
      </c>
      <c r="AO3" s="269"/>
      <c r="AP3" s="269"/>
      <c r="AQ3" s="272"/>
    </row>
    <row r="4" spans="1:94" s="141" customFormat="1" ht="6" customHeight="1">
      <c r="A4" s="280"/>
      <c r="B4" s="282"/>
      <c r="C4" s="279"/>
      <c r="D4" s="285"/>
      <c r="E4" s="288"/>
      <c r="F4" s="287"/>
      <c r="G4" s="287"/>
      <c r="H4" s="287"/>
      <c r="I4" s="287"/>
      <c r="J4" s="287"/>
      <c r="K4" s="287"/>
      <c r="L4" s="287"/>
      <c r="M4" s="287"/>
      <c r="N4" s="287"/>
      <c r="O4" s="276"/>
      <c r="P4" s="276"/>
      <c r="Q4" s="276"/>
      <c r="R4" s="301"/>
      <c r="S4" s="299"/>
      <c r="T4" s="303"/>
      <c r="U4" s="299"/>
      <c r="V4" s="299"/>
      <c r="W4" s="276"/>
      <c r="X4" s="276"/>
      <c r="Y4" s="290"/>
      <c r="Z4" s="278"/>
      <c r="AA4" s="295"/>
      <c r="AB4" s="276"/>
      <c r="AC4" s="285"/>
      <c r="AD4" s="292"/>
      <c r="AE4" s="274"/>
      <c r="AF4" s="187">
        <v>44528</v>
      </c>
      <c r="AG4" s="188">
        <v>44535</v>
      </c>
      <c r="AH4" s="188">
        <v>44542</v>
      </c>
      <c r="AI4" s="188">
        <v>44549</v>
      </c>
      <c r="AJ4" s="188">
        <v>44556</v>
      </c>
      <c r="AK4" s="188">
        <v>44563</v>
      </c>
      <c r="AL4" s="188">
        <v>44570</v>
      </c>
      <c r="AM4" s="188">
        <v>44577</v>
      </c>
      <c r="AN4" s="188">
        <v>44584</v>
      </c>
      <c r="AO4" s="252"/>
      <c r="AP4" s="252"/>
      <c r="AQ4" s="253"/>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c r="CJ4" s="217"/>
      <c r="CK4" s="217"/>
      <c r="CL4" s="217"/>
      <c r="CM4" s="217"/>
      <c r="CN4" s="217"/>
      <c r="CO4" s="217"/>
      <c r="CP4" s="217"/>
    </row>
    <row r="5" spans="1:94" ht="12" customHeight="1">
      <c r="A5" s="203"/>
      <c r="B5" s="203" t="s">
        <v>1570</v>
      </c>
      <c r="C5" s="203">
        <v>1</v>
      </c>
      <c r="D5" s="214" t="s">
        <v>1007</v>
      </c>
      <c r="E5" s="204" t="s">
        <v>1565</v>
      </c>
      <c r="F5" s="204"/>
      <c r="G5" s="204"/>
      <c r="H5" s="204"/>
      <c r="I5" s="204"/>
      <c r="J5" s="204"/>
      <c r="K5" s="204"/>
      <c r="L5" s="204"/>
      <c r="M5" s="204"/>
      <c r="N5" s="204"/>
      <c r="O5" s="204"/>
      <c r="P5" s="205">
        <v>44532</v>
      </c>
      <c r="Q5" s="205">
        <v>44586</v>
      </c>
      <c r="R5" s="206"/>
      <c r="S5" s="207">
        <v>183</v>
      </c>
      <c r="T5" s="207">
        <v>110</v>
      </c>
      <c r="U5" s="207">
        <v>39</v>
      </c>
      <c r="V5" s="207">
        <v>28</v>
      </c>
      <c r="W5" s="205"/>
      <c r="X5" s="205"/>
      <c r="Y5" s="208">
        <v>0</v>
      </c>
      <c r="Z5" s="209">
        <v>0</v>
      </c>
      <c r="AA5" s="207"/>
      <c r="AB5" s="206"/>
      <c r="AC5" s="210"/>
      <c r="AD5" s="211">
        <v>0.60109289617486339</v>
      </c>
      <c r="AE5" s="251">
        <v>0.5055737704918033</v>
      </c>
      <c r="AF5" s="190"/>
      <c r="AG5" s="191"/>
      <c r="AH5" s="191"/>
      <c r="AI5" s="191"/>
      <c r="AJ5" s="191" t="str">
        <f>"    " &amp; TEXT(AE5,"#0.00%") &amp; " "</f>
        <v xml:space="preserve">    50.56% </v>
      </c>
      <c r="AK5" s="191"/>
      <c r="AL5" s="191"/>
      <c r="AM5" s="191"/>
      <c r="AN5" s="191" t="str">
        <f>"   " &amp; "2022 졸업작품 프로젝트" &amp; " " &amp; IF(P5="","",TEXT(P5,"M/D-")) &amp; IF(Q5="","",TEXT(Q5,"M/D")) &amp; " "</f>
        <v xml:space="preserve">   2022 졸업작품 프로젝트 12/2-1/25 </v>
      </c>
      <c r="AO5" s="191"/>
      <c r="AP5" s="189"/>
      <c r="AQ5" s="189"/>
    </row>
    <row r="6" spans="1:94" ht="12" customHeight="1" outlineLevel="1">
      <c r="A6" s="203"/>
      <c r="B6" s="203" t="s">
        <v>1570</v>
      </c>
      <c r="C6" s="203">
        <v>2</v>
      </c>
      <c r="D6" s="214" t="s">
        <v>1081</v>
      </c>
      <c r="E6" s="204"/>
      <c r="F6" s="204" t="s">
        <v>1566</v>
      </c>
      <c r="G6" s="204"/>
      <c r="H6" s="204"/>
      <c r="I6" s="204"/>
      <c r="J6" s="204"/>
      <c r="K6" s="204"/>
      <c r="L6" s="204"/>
      <c r="M6" s="204"/>
      <c r="N6" s="204"/>
      <c r="O6" s="204"/>
      <c r="P6" s="205">
        <v>44552</v>
      </c>
      <c r="Q6" s="205">
        <v>44581</v>
      </c>
      <c r="R6" s="206"/>
      <c r="S6" s="207">
        <v>72</v>
      </c>
      <c r="T6" s="207">
        <v>56</v>
      </c>
      <c r="U6" s="207">
        <v>22</v>
      </c>
      <c r="V6" s="207">
        <v>14</v>
      </c>
      <c r="W6" s="205"/>
      <c r="X6" s="205"/>
      <c r="Y6" s="208">
        <v>0</v>
      </c>
      <c r="Z6" s="209">
        <v>0</v>
      </c>
      <c r="AA6" s="207"/>
      <c r="AB6" s="206"/>
      <c r="AC6" s="210"/>
      <c r="AD6" s="211">
        <v>0.77777777777777779</v>
      </c>
      <c r="AE6" s="251">
        <v>0.41666666666666669</v>
      </c>
      <c r="AF6" s="190"/>
      <c r="AG6" s="191"/>
      <c r="AH6" s="191"/>
      <c r="AI6" s="191"/>
      <c r="AJ6" s="191"/>
      <c r="AK6" s="191" t="str">
        <f>"  " &amp; TEXT(AE6,"#0.00%") &amp; " " &amp; "개발 관련" &amp; " " &amp; IF(P6="","",TEXT(P6,"M/D-")) &amp; IF(Q6="","",TEXT(Q6,"M/D")) &amp; " "</f>
        <v xml:space="preserve">  41.67% 개발 관련 12/22-1/20 </v>
      </c>
      <c r="AL6" s="191"/>
      <c r="AM6" s="191"/>
      <c r="AN6" s="191"/>
      <c r="AO6" s="191"/>
    </row>
    <row r="7" spans="1:94" ht="12" customHeight="1" outlineLevel="2">
      <c r="A7" s="203"/>
      <c r="B7" s="203" t="s">
        <v>1570</v>
      </c>
      <c r="C7" s="203">
        <v>3</v>
      </c>
      <c r="D7" s="214" t="s">
        <v>1082</v>
      </c>
      <c r="E7" s="204"/>
      <c r="F7" s="204"/>
      <c r="G7" s="204" t="s">
        <v>1586</v>
      </c>
      <c r="H7" s="204"/>
      <c r="I7" s="204"/>
      <c r="J7" s="204"/>
      <c r="K7" s="204"/>
      <c r="L7" s="204"/>
      <c r="M7" s="204"/>
      <c r="N7" s="204"/>
      <c r="O7" s="204"/>
      <c r="P7" s="205">
        <v>44552</v>
      </c>
      <c r="Q7" s="205">
        <v>44577</v>
      </c>
      <c r="R7" s="206"/>
      <c r="S7" s="207">
        <v>40</v>
      </c>
      <c r="T7" s="207">
        <v>38</v>
      </c>
      <c r="U7" s="207">
        <v>18</v>
      </c>
      <c r="V7" s="207">
        <v>14</v>
      </c>
      <c r="W7" s="205"/>
      <c r="X7" s="205"/>
      <c r="Y7" s="208">
        <v>0</v>
      </c>
      <c r="Z7" s="209">
        <v>0</v>
      </c>
      <c r="AA7" s="207"/>
      <c r="AB7" s="206"/>
      <c r="AC7" s="210"/>
      <c r="AD7" s="211">
        <v>0.95</v>
      </c>
      <c r="AE7" s="251">
        <v>0.75</v>
      </c>
      <c r="AF7" s="190"/>
      <c r="AG7" s="191"/>
      <c r="AH7" s="191"/>
      <c r="AI7" s="191"/>
      <c r="AJ7" s="191"/>
      <c r="AK7" s="191"/>
      <c r="AL7" s="191" t="str">
        <f>"  " &amp; TEXT(AE7,"#0.00%") &amp; " " &amp; "플레이어 관련" &amp; " " &amp; IF(P7="","",TEXT(P7,"M/D-")) &amp; IF(Q7="","",TEXT(Q7,"M/D")) &amp; " "</f>
        <v xml:space="preserve">  75.00% 플레이어 관련 12/22-1/16 </v>
      </c>
      <c r="AM7" s="191"/>
      <c r="AN7" s="191"/>
      <c r="AO7" s="191"/>
    </row>
    <row r="8" spans="1:94" ht="12" customHeight="1" outlineLevel="3">
      <c r="A8" s="203"/>
      <c r="B8" s="203" t="s">
        <v>1570</v>
      </c>
      <c r="C8" s="203">
        <v>4</v>
      </c>
      <c r="D8" s="214" t="s">
        <v>1571</v>
      </c>
      <c r="E8" s="204"/>
      <c r="F8" s="204"/>
      <c r="G8" s="204"/>
      <c r="H8" s="204" t="s">
        <v>1575</v>
      </c>
      <c r="I8" s="204"/>
      <c r="J8" s="204"/>
      <c r="K8" s="204"/>
      <c r="L8" s="204"/>
      <c r="M8" s="204"/>
      <c r="N8" s="204"/>
      <c r="O8" s="204"/>
      <c r="P8" s="205">
        <v>44552</v>
      </c>
      <c r="Q8" s="205">
        <v>44566</v>
      </c>
      <c r="R8" s="206"/>
      <c r="S8" s="207">
        <v>6</v>
      </c>
      <c r="T8" s="207">
        <v>6</v>
      </c>
      <c r="U8" s="207">
        <v>11</v>
      </c>
      <c r="V8" s="207">
        <v>11</v>
      </c>
      <c r="W8" s="205"/>
      <c r="X8" s="205"/>
      <c r="Y8" s="208">
        <v>0</v>
      </c>
      <c r="Z8" s="209">
        <v>0</v>
      </c>
      <c r="AA8" s="207"/>
      <c r="AB8" s="206"/>
      <c r="AC8" s="210"/>
      <c r="AD8" s="211">
        <v>1</v>
      </c>
      <c r="AE8" s="247">
        <v>1</v>
      </c>
      <c r="AF8" s="190"/>
      <c r="AG8" s="191"/>
      <c r="AH8" s="191"/>
      <c r="AI8" s="191"/>
      <c r="AJ8" s="191"/>
      <c r="AK8" s="191" t="str">
        <f>"    " &amp; TEXT(AE8,"#0.00%") &amp; " " &amp; "플레이어 조작 관련" &amp; " " &amp; IF(P8="","",TEXT(P8,"M/D-")) &amp; IF(Q8="","",TEXT(Q8,"M/D")) &amp; " "</f>
        <v xml:space="preserve">    100.00% 플레이어 조작 관련 12/22-1/5 </v>
      </c>
      <c r="AL8" s="191"/>
      <c r="AM8" s="191"/>
      <c r="AN8" s="191"/>
      <c r="AO8" s="191"/>
    </row>
    <row r="9" spans="1:94" ht="12" customHeight="1" outlineLevel="4">
      <c r="A9" s="203"/>
      <c r="B9" s="203"/>
      <c r="C9" s="203">
        <v>5</v>
      </c>
      <c r="D9" s="214" t="s">
        <v>1572</v>
      </c>
      <c r="E9" s="204"/>
      <c r="F9" s="204"/>
      <c r="G9" s="204"/>
      <c r="H9" s="204"/>
      <c r="I9" s="204" t="s">
        <v>1567</v>
      </c>
      <c r="J9" s="204"/>
      <c r="K9" s="204"/>
      <c r="L9" s="204"/>
      <c r="M9" s="204"/>
      <c r="N9" s="204"/>
      <c r="O9" s="204"/>
      <c r="P9" s="205">
        <v>44552</v>
      </c>
      <c r="Q9" s="205">
        <v>44555</v>
      </c>
      <c r="R9" s="206"/>
      <c r="S9" s="207">
        <v>3</v>
      </c>
      <c r="T9" s="207">
        <v>3</v>
      </c>
      <c r="U9" s="207">
        <v>3</v>
      </c>
      <c r="V9" s="207">
        <v>3</v>
      </c>
      <c r="W9" s="205">
        <v>44190</v>
      </c>
      <c r="X9" s="205"/>
      <c r="Y9" s="208">
        <v>-31553</v>
      </c>
      <c r="Z9" s="209">
        <v>0</v>
      </c>
      <c r="AA9" s="207">
        <v>1</v>
      </c>
      <c r="AB9" s="206" t="s">
        <v>1579</v>
      </c>
      <c r="AC9" s="210"/>
      <c r="AD9" s="211">
        <v>1</v>
      </c>
      <c r="AE9" s="213">
        <v>1</v>
      </c>
      <c r="AF9" s="190"/>
      <c r="AG9" s="191"/>
      <c r="AH9" s="191"/>
      <c r="AI9" s="191"/>
      <c r="AJ9" s="191" t="str">
        <f>"" &amp; TEXT(AE9,"#0.00%") &amp; " " &amp; "플레이어 WASD 조작" &amp; "(권성빈)" &amp; " " &amp; IF(P9="","",TEXT(P9,"M/D-")) &amp; IF(Q9="","",TEXT(Q9,"M/D")) &amp; " "</f>
        <v xml:space="preserve">100.00% 플레이어 WASD 조작(권성빈) 12/22-12/25 </v>
      </c>
      <c r="AK9" s="191"/>
      <c r="AL9" s="191"/>
      <c r="AM9" s="191"/>
      <c r="AN9" s="191"/>
      <c r="AO9" s="191"/>
    </row>
    <row r="10" spans="1:94" ht="12" customHeight="1" outlineLevel="4">
      <c r="A10" s="203"/>
      <c r="B10" s="203"/>
      <c r="C10" s="203">
        <v>5</v>
      </c>
      <c r="D10" s="214" t="s">
        <v>1577</v>
      </c>
      <c r="E10" s="204"/>
      <c r="F10" s="204"/>
      <c r="G10" s="204"/>
      <c r="H10" s="204"/>
      <c r="I10" s="204" t="s">
        <v>1576</v>
      </c>
      <c r="J10" s="204"/>
      <c r="K10" s="204"/>
      <c r="L10" s="204"/>
      <c r="M10" s="204"/>
      <c r="N10" s="204"/>
      <c r="O10" s="204"/>
      <c r="P10" s="205">
        <v>44564</v>
      </c>
      <c r="Q10" s="205">
        <v>44566</v>
      </c>
      <c r="R10" s="206"/>
      <c r="S10" s="207">
        <v>3</v>
      </c>
      <c r="T10" s="207">
        <v>3</v>
      </c>
      <c r="U10" s="207">
        <v>3</v>
      </c>
      <c r="V10" s="207">
        <v>3</v>
      </c>
      <c r="W10" s="205"/>
      <c r="X10" s="205"/>
      <c r="Y10" s="208"/>
      <c r="Z10" s="209">
        <v>0</v>
      </c>
      <c r="AA10" s="207"/>
      <c r="AB10" s="206" t="s">
        <v>1579</v>
      </c>
      <c r="AC10" s="210"/>
      <c r="AD10" s="211">
        <v>1</v>
      </c>
      <c r="AE10" s="213">
        <v>1</v>
      </c>
      <c r="AF10" s="190"/>
      <c r="AG10" s="191"/>
      <c r="AH10" s="191"/>
      <c r="AI10" s="191"/>
      <c r="AJ10" s="191"/>
      <c r="AK10" s="191" t="str">
        <f>"    " &amp; TEXT(AE10,"#0.00%") &amp; " " &amp; "플레이어 마우스 시점 조작" &amp; "(권성빈)" &amp; " " &amp; IF(P10="","",TEXT(P10,"M/D-")) &amp; IF(Q10="","",TEXT(Q10,"M/D")) &amp; " "</f>
        <v xml:space="preserve">    100.00% 플레이어 마우스 시점 조작(권성빈) 1/3-1/5 </v>
      </c>
      <c r="AL10" s="191"/>
      <c r="AM10" s="191"/>
      <c r="AN10" s="191"/>
      <c r="AO10" s="191"/>
    </row>
    <row r="11" spans="1:94" ht="12" customHeight="1" outlineLevel="3">
      <c r="A11" s="203">
        <v>1</v>
      </c>
      <c r="B11" s="203" t="s">
        <v>1570</v>
      </c>
      <c r="C11" s="203">
        <v>4</v>
      </c>
      <c r="D11" s="214" t="s">
        <v>1573</v>
      </c>
      <c r="E11" s="204"/>
      <c r="F11" s="204"/>
      <c r="G11" s="204"/>
      <c r="H11" s="204" t="s">
        <v>1568</v>
      </c>
      <c r="I11" s="204"/>
      <c r="J11" s="204"/>
      <c r="K11" s="204"/>
      <c r="L11" s="204"/>
      <c r="M11" s="204"/>
      <c r="N11" s="204"/>
      <c r="O11" s="204"/>
      <c r="P11" s="205">
        <v>44558</v>
      </c>
      <c r="Q11" s="205">
        <v>44573</v>
      </c>
      <c r="R11" s="206"/>
      <c r="S11" s="207">
        <v>19</v>
      </c>
      <c r="T11" s="207">
        <v>17</v>
      </c>
      <c r="U11" s="207">
        <v>12</v>
      </c>
      <c r="V11" s="207">
        <v>10</v>
      </c>
      <c r="W11" s="205"/>
      <c r="X11" s="205"/>
      <c r="Y11" s="208">
        <v>0</v>
      </c>
      <c r="Z11" s="209">
        <v>0</v>
      </c>
      <c r="AA11" s="207"/>
      <c r="AB11" s="206"/>
      <c r="AC11" s="210"/>
      <c r="AD11" s="211">
        <v>0.89473684210526316</v>
      </c>
      <c r="AE11" s="251">
        <v>0.73684210526315785</v>
      </c>
      <c r="AF11" s="190"/>
      <c r="AG11" s="191"/>
      <c r="AH11" s="191"/>
      <c r="AI11" s="191"/>
      <c r="AJ11" s="191" t="str">
        <f>"      " &amp; TEXT(AE11,"#0.00%") &amp; " " &amp; "플레이어 상호작용 관련" &amp; " " &amp; IF(P11="","",TEXT(P11,"M/D-")) &amp; IF(Q11="","",TEXT(Q11,"M/D")) &amp; " "</f>
        <v xml:space="preserve">      73.68% 플레이어 상호작용 관련 12/28-1/12 </v>
      </c>
      <c r="AK11" s="191"/>
      <c r="AL11" s="191"/>
      <c r="AM11" s="191"/>
      <c r="AN11" s="191"/>
      <c r="AO11" s="191"/>
    </row>
    <row r="12" spans="1:94" ht="12" customHeight="1" outlineLevel="4">
      <c r="A12" s="203"/>
      <c r="B12" s="203" t="s">
        <v>1570</v>
      </c>
      <c r="C12" s="203">
        <v>5</v>
      </c>
      <c r="D12" s="214" t="s">
        <v>1574</v>
      </c>
      <c r="E12" s="204"/>
      <c r="F12" s="204"/>
      <c r="G12" s="204"/>
      <c r="H12" s="204"/>
      <c r="I12" s="204" t="s">
        <v>1578</v>
      </c>
      <c r="J12" s="204"/>
      <c r="K12" s="204"/>
      <c r="L12" s="204"/>
      <c r="M12" s="204"/>
      <c r="N12" s="204"/>
      <c r="O12" s="204"/>
      <c r="P12" s="205">
        <v>44558</v>
      </c>
      <c r="Q12" s="205">
        <v>44562</v>
      </c>
      <c r="R12" s="206"/>
      <c r="S12" s="207">
        <v>4</v>
      </c>
      <c r="T12" s="207">
        <v>4</v>
      </c>
      <c r="U12" s="207">
        <v>4</v>
      </c>
      <c r="V12" s="207">
        <v>4</v>
      </c>
      <c r="W12" s="205"/>
      <c r="X12" s="205"/>
      <c r="Y12" s="208">
        <v>0</v>
      </c>
      <c r="Z12" s="209">
        <v>0</v>
      </c>
      <c r="AA12" s="207"/>
      <c r="AB12" s="206" t="s">
        <v>1579</v>
      </c>
      <c r="AC12" s="210"/>
      <c r="AD12" s="211">
        <v>1</v>
      </c>
      <c r="AE12" s="247">
        <v>1</v>
      </c>
      <c r="AF12" s="190"/>
      <c r="AG12" s="191"/>
      <c r="AH12" s="191"/>
      <c r="AI12" s="191"/>
      <c r="AJ12" s="191"/>
      <c r="AK12" s="191" t="str">
        <f>"" &amp; TEXT(AE12,"#0.00%") &amp; " " &amp; "오브젝트 아웃라인 관련 구현" &amp; "(권성빈)" &amp; " " &amp; IF(P12="","",TEXT(P12,"M/D-")) &amp; IF(Q12="","",TEXT(Q12,"M/D")) &amp; " "</f>
        <v xml:space="preserve">100.00% 오브젝트 아웃라인 관련 구현(권성빈) 12/28-1/1 </v>
      </c>
      <c r="AL12" s="191"/>
      <c r="AM12" s="191"/>
      <c r="AN12" s="191"/>
      <c r="AO12" s="191"/>
    </row>
    <row r="13" spans="1:94" ht="12" customHeight="1" outlineLevel="5">
      <c r="A13" s="203"/>
      <c r="B13" s="203"/>
      <c r="C13" s="203">
        <v>6</v>
      </c>
      <c r="D13" s="214" t="s">
        <v>1648</v>
      </c>
      <c r="E13" s="204"/>
      <c r="F13" s="204"/>
      <c r="G13" s="204"/>
      <c r="H13" s="204"/>
      <c r="I13" s="204"/>
      <c r="J13" s="204" t="s">
        <v>1647</v>
      </c>
      <c r="K13" s="204"/>
      <c r="L13" s="204"/>
      <c r="M13" s="204"/>
      <c r="N13" s="204"/>
      <c r="O13" s="204"/>
      <c r="P13" s="205">
        <v>44558</v>
      </c>
      <c r="Q13" s="205">
        <v>44562</v>
      </c>
      <c r="R13" s="206"/>
      <c r="S13" s="207">
        <v>4</v>
      </c>
      <c r="T13" s="207">
        <v>4</v>
      </c>
      <c r="U13" s="207">
        <v>4</v>
      </c>
      <c r="V13" s="207">
        <v>4</v>
      </c>
      <c r="W13" s="205"/>
      <c r="X13" s="205"/>
      <c r="Y13" s="208"/>
      <c r="Z13" s="209">
        <v>0</v>
      </c>
      <c r="AA13" s="207"/>
      <c r="AB13" s="206" t="s">
        <v>1579</v>
      </c>
      <c r="AC13" s="210"/>
      <c r="AD13" s="211">
        <v>1</v>
      </c>
      <c r="AE13" s="213">
        <v>1</v>
      </c>
      <c r="AF13" s="190"/>
      <c r="AG13" s="191"/>
      <c r="AH13" s="191"/>
      <c r="AI13" s="191"/>
      <c r="AJ13" s="191"/>
      <c r="AK13" s="191" t="str">
        <f>"" &amp; TEXT(AE13,"#0.00%") &amp; " " &amp; "플레이어의 상호작용 구현" &amp; "(권성빈)" &amp; " " &amp; IF(P13="","",TEXT(P13,"M/D-")) &amp; IF(Q13="","",TEXT(Q13,"M/D")) &amp; " "</f>
        <v xml:space="preserve">100.00% 플레이어의 상호작용 구현(권성빈) 12/28-1/1 </v>
      </c>
      <c r="AL13" s="191"/>
      <c r="AM13" s="191"/>
      <c r="AN13" s="191"/>
      <c r="AO13" s="191"/>
    </row>
    <row r="14" spans="1:94" ht="12" customHeight="1" outlineLevel="4">
      <c r="A14" s="203"/>
      <c r="B14" s="203"/>
      <c r="C14" s="203">
        <v>5</v>
      </c>
      <c r="D14" s="214" t="s">
        <v>1582</v>
      </c>
      <c r="E14" s="204"/>
      <c r="F14" s="204"/>
      <c r="G14" s="204"/>
      <c r="H14" s="204"/>
      <c r="I14" s="204" t="s">
        <v>1569</v>
      </c>
      <c r="J14" s="204"/>
      <c r="K14" s="204"/>
      <c r="L14" s="204"/>
      <c r="M14" s="204"/>
      <c r="N14" s="204"/>
      <c r="O14" s="204"/>
      <c r="P14" s="205">
        <v>44558</v>
      </c>
      <c r="Q14" s="205">
        <v>44564</v>
      </c>
      <c r="R14" s="206"/>
      <c r="S14" s="207">
        <v>5</v>
      </c>
      <c r="T14" s="207">
        <v>5</v>
      </c>
      <c r="U14" s="207">
        <v>5</v>
      </c>
      <c r="V14" s="207">
        <v>5</v>
      </c>
      <c r="W14" s="205"/>
      <c r="X14" s="205"/>
      <c r="Y14" s="208"/>
      <c r="Z14" s="209">
        <v>0</v>
      </c>
      <c r="AA14" s="207"/>
      <c r="AB14" s="206" t="s">
        <v>1580</v>
      </c>
      <c r="AC14" s="210"/>
      <c r="AD14" s="211">
        <v>1</v>
      </c>
      <c r="AE14" s="213">
        <v>1</v>
      </c>
      <c r="AF14" s="190"/>
      <c r="AG14" s="191"/>
      <c r="AH14" s="191"/>
      <c r="AI14" s="191"/>
      <c r="AJ14" s="191"/>
      <c r="AK14" s="191" t="str">
        <f>"  " &amp; TEXT(AE14,"#0.00%") &amp; " " &amp; "수집 오브젝트" &amp; "(박광현)" &amp; " " &amp; IF(P14="","",TEXT(P14,"M/D-")) &amp; IF(Q14="","",TEXT(Q14,"M/D")) &amp; " "</f>
        <v xml:space="preserve">  100.00% 수집 오브젝트(박광현) 12/28-1/3 </v>
      </c>
      <c r="AL14" s="191"/>
      <c r="AM14" s="191"/>
      <c r="AN14" s="191"/>
      <c r="AO14" s="191"/>
    </row>
    <row r="15" spans="1:94" ht="12" customHeight="1" outlineLevel="4">
      <c r="A15" s="203"/>
      <c r="B15" s="203"/>
      <c r="C15" s="203">
        <v>5</v>
      </c>
      <c r="D15" s="214" t="s">
        <v>1612</v>
      </c>
      <c r="E15" s="204"/>
      <c r="F15" s="204"/>
      <c r="G15" s="204"/>
      <c r="H15" s="204"/>
      <c r="I15" s="204" t="s">
        <v>1611</v>
      </c>
      <c r="J15" s="204"/>
      <c r="K15" s="204"/>
      <c r="L15" s="204"/>
      <c r="M15" s="204"/>
      <c r="N15" s="204"/>
      <c r="O15" s="204"/>
      <c r="P15" s="205">
        <v>44565</v>
      </c>
      <c r="Q15" s="205">
        <v>44571</v>
      </c>
      <c r="R15" s="206"/>
      <c r="S15" s="207">
        <v>5</v>
      </c>
      <c r="T15" s="207">
        <v>5</v>
      </c>
      <c r="U15" s="207">
        <v>5</v>
      </c>
      <c r="V15" s="207">
        <v>5</v>
      </c>
      <c r="W15" s="205"/>
      <c r="X15" s="205"/>
      <c r="Y15" s="208"/>
      <c r="Z15" s="209">
        <v>0</v>
      </c>
      <c r="AA15" s="207"/>
      <c r="AB15" s="206" t="s">
        <v>1580</v>
      </c>
      <c r="AC15" s="210"/>
      <c r="AD15" s="211">
        <v>1</v>
      </c>
      <c r="AE15" s="213">
        <v>1</v>
      </c>
      <c r="AF15" s="190"/>
      <c r="AG15" s="191"/>
      <c r="AH15" s="191"/>
      <c r="AI15" s="191"/>
      <c r="AJ15" s="191"/>
      <c r="AK15" s="191"/>
      <c r="AL15" s="191" t="str">
        <f>"  " &amp; TEXT(AE15,"#0.00%") &amp; " " &amp; "플레이어 수집물 인벤토리 구현" &amp; "(박광현)" &amp; " " &amp; IF(P15="","",TEXT(P15,"M/D-")) &amp; IF(Q15="","",TEXT(Q15,"M/D")) &amp; " "</f>
        <v xml:space="preserve">  100.00% 플레이어 수집물 인벤토리 구현(박광현) 1/4-1/10 </v>
      </c>
      <c r="AM15" s="191"/>
      <c r="AN15" s="191"/>
      <c r="AO15" s="191"/>
    </row>
    <row r="16" spans="1:94" ht="12" customHeight="1" outlineLevel="4">
      <c r="A16" s="203"/>
      <c r="B16" s="203"/>
      <c r="C16" s="203">
        <v>5</v>
      </c>
      <c r="D16" s="214" t="s">
        <v>1733</v>
      </c>
      <c r="E16" s="204"/>
      <c r="F16" s="204"/>
      <c r="G16" s="204"/>
      <c r="H16" s="204"/>
      <c r="I16" s="204" t="s">
        <v>1732</v>
      </c>
      <c r="J16" s="204"/>
      <c r="K16" s="204"/>
      <c r="L16" s="204"/>
      <c r="M16" s="204"/>
      <c r="N16" s="204"/>
      <c r="O16" s="204"/>
      <c r="P16" s="205">
        <v>44567</v>
      </c>
      <c r="Q16" s="205">
        <v>44573</v>
      </c>
      <c r="R16" s="206"/>
      <c r="S16" s="207">
        <v>5</v>
      </c>
      <c r="T16" s="207">
        <v>3</v>
      </c>
      <c r="U16" s="207">
        <v>5</v>
      </c>
      <c r="V16" s="207">
        <v>3</v>
      </c>
      <c r="W16" s="205"/>
      <c r="X16" s="205"/>
      <c r="Y16" s="208"/>
      <c r="Z16" s="209">
        <v>0</v>
      </c>
      <c r="AA16" s="207"/>
      <c r="AB16" s="206" t="s">
        <v>1580</v>
      </c>
      <c r="AC16" s="210"/>
      <c r="AD16" s="211">
        <v>0.6</v>
      </c>
      <c r="AE16" s="250">
        <v>0</v>
      </c>
      <c r="AF16" s="190"/>
      <c r="AG16" s="191"/>
      <c r="AH16" s="191"/>
      <c r="AI16" s="191"/>
      <c r="AJ16" s="191"/>
      <c r="AK16" s="191" t="str">
        <f>"    " &amp; TEXT(AE16,"#0.00%") &amp; " " &amp; "인벤토리 새로운 기획에 맞춰 구현" &amp; "(박광현)" &amp; " " &amp; IF(P16="","",TEXT(P16,"M/D-")) &amp; IF(Q16="","",TEXT(Q16,"M/D")) &amp; " "</f>
        <v xml:space="preserve">    0.00% 인벤토리 새로운 기획에 맞춰 구현(박광현) 1/6-1/12 </v>
      </c>
      <c r="AL16" s="191"/>
      <c r="AM16" s="191"/>
      <c r="AN16" s="191"/>
      <c r="AO16" s="191"/>
    </row>
    <row r="17" spans="1:41" ht="12" customHeight="1" outlineLevel="3">
      <c r="A17" s="203"/>
      <c r="B17" s="203" t="s">
        <v>1570</v>
      </c>
      <c r="C17" s="203">
        <v>4</v>
      </c>
      <c r="D17" s="214" t="s">
        <v>1635</v>
      </c>
      <c r="E17" s="204"/>
      <c r="F17" s="204"/>
      <c r="G17" s="204"/>
      <c r="H17" s="204" t="s">
        <v>1634</v>
      </c>
      <c r="I17" s="204"/>
      <c r="J17" s="204"/>
      <c r="K17" s="204"/>
      <c r="L17" s="204"/>
      <c r="M17" s="204"/>
      <c r="N17" s="204"/>
      <c r="O17" s="204"/>
      <c r="P17" s="205">
        <v>44558</v>
      </c>
      <c r="Q17" s="205">
        <v>44577</v>
      </c>
      <c r="R17" s="206"/>
      <c r="S17" s="207">
        <v>15</v>
      </c>
      <c r="T17" s="207">
        <v>15</v>
      </c>
      <c r="U17" s="207">
        <v>14</v>
      </c>
      <c r="V17" s="207">
        <v>10</v>
      </c>
      <c r="W17" s="205"/>
      <c r="X17" s="205"/>
      <c r="Y17" s="208">
        <v>0</v>
      </c>
      <c r="Z17" s="209">
        <v>0</v>
      </c>
      <c r="AA17" s="207"/>
      <c r="AB17" s="206"/>
      <c r="AC17" s="210"/>
      <c r="AD17" s="211">
        <v>1</v>
      </c>
      <c r="AE17" s="251">
        <v>0.66666666666666663</v>
      </c>
      <c r="AF17" s="190"/>
      <c r="AG17" s="191"/>
      <c r="AH17" s="191"/>
      <c r="AI17" s="191"/>
      <c r="AJ17" s="191"/>
      <c r="AK17" s="191"/>
      <c r="AL17" s="191" t="str">
        <f>" " &amp; TEXT(AE17,"#0.00%") &amp; " " &amp; "퍼즐 관련 개발" &amp; " " &amp; IF(P17="","",TEXT(P17,"M/D-")) &amp; IF(Q17="","",TEXT(Q17,"M/D")) &amp; " "</f>
        <v xml:space="preserve"> 66.67% 퍼즐 관련 개발 12/28-1/16 </v>
      </c>
      <c r="AM17" s="191"/>
      <c r="AN17" s="191"/>
      <c r="AO17" s="191"/>
    </row>
    <row r="18" spans="1:41" ht="12" customHeight="1" outlineLevel="4">
      <c r="A18" s="203"/>
      <c r="B18" s="203" t="s">
        <v>1570</v>
      </c>
      <c r="C18" s="203">
        <v>5</v>
      </c>
      <c r="D18" s="214" t="s">
        <v>1637</v>
      </c>
      <c r="E18" s="204"/>
      <c r="F18" s="204"/>
      <c r="G18" s="204"/>
      <c r="H18" s="204"/>
      <c r="I18" s="204" t="s">
        <v>1636</v>
      </c>
      <c r="J18" s="204"/>
      <c r="K18" s="204"/>
      <c r="L18" s="204"/>
      <c r="M18" s="204"/>
      <c r="N18" s="204"/>
      <c r="O18" s="204"/>
      <c r="P18" s="205">
        <v>44558</v>
      </c>
      <c r="Q18" s="205">
        <v>44577</v>
      </c>
      <c r="R18" s="206"/>
      <c r="S18" s="207">
        <v>15</v>
      </c>
      <c r="T18" s="207">
        <v>15</v>
      </c>
      <c r="U18" s="207">
        <v>14</v>
      </c>
      <c r="V18" s="207">
        <v>10</v>
      </c>
      <c r="W18" s="205"/>
      <c r="X18" s="205"/>
      <c r="Y18" s="208">
        <v>0</v>
      </c>
      <c r="Z18" s="209">
        <v>0</v>
      </c>
      <c r="AA18" s="207"/>
      <c r="AB18" s="206" t="s">
        <v>1581</v>
      </c>
      <c r="AC18" s="210"/>
      <c r="AD18" s="211">
        <v>1</v>
      </c>
      <c r="AE18" s="251">
        <v>0.66666666666666663</v>
      </c>
      <c r="AF18" s="190"/>
      <c r="AG18" s="191"/>
      <c r="AH18" s="191"/>
      <c r="AI18" s="191"/>
      <c r="AJ18" s="191"/>
      <c r="AK18" s="191"/>
      <c r="AL18" s="191" t="str">
        <f>" " &amp; TEXT(AE18,"#0.00%") &amp; " " &amp; "3D 러시아워 퍼즐 개발" &amp; "(김 건)" &amp; " " &amp; IF(P18="","",TEXT(P18,"M/D-")) &amp; IF(Q18="","",TEXT(Q18,"M/D")) &amp; " "</f>
        <v xml:space="preserve"> 66.67% 3D 러시아워 퍼즐 개발(김 건) 12/28-1/16 </v>
      </c>
      <c r="AM18" s="191"/>
      <c r="AN18" s="191"/>
      <c r="AO18" s="191"/>
    </row>
    <row r="19" spans="1:41" ht="12" customHeight="1" outlineLevel="5">
      <c r="A19" s="203"/>
      <c r="B19" s="203"/>
      <c r="C19" s="203">
        <v>6</v>
      </c>
      <c r="D19" s="214" t="s">
        <v>1650</v>
      </c>
      <c r="E19" s="204"/>
      <c r="F19" s="204"/>
      <c r="G19" s="204"/>
      <c r="H19" s="204"/>
      <c r="I19" s="204"/>
      <c r="J19" s="204" t="s">
        <v>1659</v>
      </c>
      <c r="K19" s="204"/>
      <c r="L19" s="204"/>
      <c r="M19" s="204"/>
      <c r="N19" s="204"/>
      <c r="O19" s="204"/>
      <c r="P19" s="205">
        <v>44558</v>
      </c>
      <c r="Q19" s="205">
        <v>44571</v>
      </c>
      <c r="R19" s="206"/>
      <c r="S19" s="207">
        <v>10</v>
      </c>
      <c r="T19" s="207">
        <v>10</v>
      </c>
      <c r="U19" s="207">
        <v>10</v>
      </c>
      <c r="V19" s="207">
        <v>10</v>
      </c>
      <c r="W19" s="205"/>
      <c r="X19" s="205"/>
      <c r="Y19" s="208"/>
      <c r="Z19" s="209">
        <v>0</v>
      </c>
      <c r="AA19" s="207"/>
      <c r="AB19" s="206" t="s">
        <v>1581</v>
      </c>
      <c r="AC19" s="210"/>
      <c r="AD19" s="211">
        <v>1</v>
      </c>
      <c r="AE19" s="250">
        <v>0.5</v>
      </c>
      <c r="AF19" s="190"/>
      <c r="AG19" s="191"/>
      <c r="AH19" s="191"/>
      <c r="AI19" s="191"/>
      <c r="AJ19" s="191"/>
      <c r="AK19" s="191" t="str">
        <f>"  " &amp; TEXT(AE19,"#0.00%") &amp; " " &amp; "플레이어 입력 반영" &amp; "(김 건)" &amp; " " &amp; IF(P19="","",TEXT(P19,"M/D-")) &amp; IF(Q19="","",TEXT(Q19,"M/D")) &amp; " "</f>
        <v xml:space="preserve">  50.00% 플레이어 입력 반영(김 건) 12/28-1/10 </v>
      </c>
      <c r="AL19" s="191"/>
      <c r="AM19" s="191"/>
      <c r="AN19" s="191"/>
      <c r="AO19" s="191"/>
    </row>
    <row r="20" spans="1:41" ht="12" customHeight="1" outlineLevel="5">
      <c r="A20" s="203"/>
      <c r="B20" s="203"/>
      <c r="C20" s="203">
        <v>6</v>
      </c>
      <c r="D20" s="214" t="s">
        <v>1652</v>
      </c>
      <c r="E20" s="204"/>
      <c r="F20" s="204"/>
      <c r="G20" s="204"/>
      <c r="H20" s="204"/>
      <c r="I20" s="204"/>
      <c r="J20" s="204" t="s">
        <v>1649</v>
      </c>
      <c r="K20" s="204"/>
      <c r="L20" s="204"/>
      <c r="M20" s="204"/>
      <c r="N20" s="204"/>
      <c r="O20" s="204"/>
      <c r="P20" s="205">
        <v>44558</v>
      </c>
      <c r="Q20" s="205">
        <v>44564</v>
      </c>
      <c r="R20" s="206"/>
      <c r="S20" s="207">
        <v>5</v>
      </c>
      <c r="T20" s="207">
        <v>5</v>
      </c>
      <c r="U20" s="207">
        <v>5</v>
      </c>
      <c r="V20" s="207">
        <v>5</v>
      </c>
      <c r="W20" s="205"/>
      <c r="X20" s="205"/>
      <c r="Y20" s="208"/>
      <c r="Z20" s="209">
        <v>0</v>
      </c>
      <c r="AA20" s="207"/>
      <c r="AB20" s="206" t="s">
        <v>1581</v>
      </c>
      <c r="AC20" s="210"/>
      <c r="AD20" s="211">
        <v>1</v>
      </c>
      <c r="AE20" s="213">
        <v>1</v>
      </c>
      <c r="AF20" s="190"/>
      <c r="AG20" s="191"/>
      <c r="AH20" s="191"/>
      <c r="AI20" s="191"/>
      <c r="AJ20" s="191"/>
      <c r="AK20" s="191" t="str">
        <f>"  " &amp; TEXT(AE20,"#0.00%") &amp; " " &amp; "3D 큐브로 프로토타입 개발" &amp; "(김 건)" &amp; " " &amp; IF(P20="","",TEXT(P20,"M/D-")) &amp; IF(Q20="","",TEXT(Q20,"M/D")) &amp; " "</f>
        <v xml:space="preserve">  100.00% 3D 큐브로 프로토타입 개발(김 건) 12/28-1/3 </v>
      </c>
      <c r="AL20" s="191"/>
      <c r="AM20" s="191"/>
      <c r="AN20" s="191"/>
      <c r="AO20" s="191"/>
    </row>
    <row r="21" spans="1:41" ht="12" customHeight="1" outlineLevel="5">
      <c r="A21" s="203"/>
      <c r="B21" s="203"/>
      <c r="C21" s="203">
        <v>6</v>
      </c>
      <c r="D21" s="214" t="s">
        <v>1660</v>
      </c>
      <c r="E21" s="204"/>
      <c r="F21" s="204"/>
      <c r="G21" s="204"/>
      <c r="H21" s="204"/>
      <c r="I21" s="204"/>
      <c r="J21" s="204" t="s">
        <v>1651</v>
      </c>
      <c r="K21" s="204"/>
      <c r="L21" s="204"/>
      <c r="M21" s="204"/>
      <c r="N21" s="204"/>
      <c r="O21" s="204"/>
      <c r="P21" s="205">
        <v>44576</v>
      </c>
      <c r="Q21" s="205">
        <v>44577</v>
      </c>
      <c r="R21" s="206"/>
      <c r="S21" s="207">
        <v>0</v>
      </c>
      <c r="T21" s="207">
        <v>0</v>
      </c>
      <c r="U21" s="207">
        <v>0</v>
      </c>
      <c r="V21" s="207">
        <v>0</v>
      </c>
      <c r="W21" s="205"/>
      <c r="X21" s="205"/>
      <c r="Y21" s="208"/>
      <c r="Z21" s="209">
        <v>0</v>
      </c>
      <c r="AA21" s="207"/>
      <c r="AB21" s="206" t="s">
        <v>1581</v>
      </c>
      <c r="AC21" s="210"/>
      <c r="AD21" s="211">
        <v>0</v>
      </c>
      <c r="AE21" s="213">
        <v>0</v>
      </c>
      <c r="AF21" s="190"/>
      <c r="AG21" s="191"/>
      <c r="AH21" s="191"/>
      <c r="AI21" s="191"/>
      <c r="AJ21" s="191"/>
      <c r="AK21" s="191"/>
      <c r="AL21" s="191" t="str">
        <f>"      " &amp; TEXT(AE21,"#0.00%") &amp; " " &amp; "모델링 된 모델 적용" &amp; "(김 건)" &amp; " " &amp; IF(P21="","",TEXT(P21,"M/D-")) &amp; IF(Q21="","",TEXT(Q21,"M/D")) &amp; " "</f>
        <v xml:space="preserve">      0.00% 모델링 된 모델 적용(김 건) 1/15-1/16 </v>
      </c>
      <c r="AM21" s="191"/>
      <c r="AN21" s="191"/>
      <c r="AO21" s="191"/>
    </row>
    <row r="22" spans="1:41" ht="12" customHeight="1" outlineLevel="2">
      <c r="A22" s="203"/>
      <c r="B22" s="203" t="s">
        <v>1570</v>
      </c>
      <c r="C22" s="203">
        <v>3</v>
      </c>
      <c r="D22" s="214" t="s">
        <v>1083</v>
      </c>
      <c r="E22" s="204"/>
      <c r="F22" s="204"/>
      <c r="G22" s="204" t="s">
        <v>1613</v>
      </c>
      <c r="H22" s="204"/>
      <c r="I22" s="204"/>
      <c r="J22" s="204"/>
      <c r="K22" s="204"/>
      <c r="L22" s="204"/>
      <c r="M22" s="204"/>
      <c r="N22" s="204"/>
      <c r="O22" s="204"/>
      <c r="P22" s="205">
        <v>44558</v>
      </c>
      <c r="Q22" s="205">
        <v>44577</v>
      </c>
      <c r="R22" s="206"/>
      <c r="S22" s="207">
        <v>25</v>
      </c>
      <c r="T22" s="207">
        <v>17</v>
      </c>
      <c r="U22" s="207">
        <v>14</v>
      </c>
      <c r="V22" s="207">
        <v>10</v>
      </c>
      <c r="W22" s="205"/>
      <c r="X22" s="205"/>
      <c r="Y22" s="208">
        <v>0</v>
      </c>
      <c r="Z22" s="209">
        <v>0</v>
      </c>
      <c r="AA22" s="207"/>
      <c r="AB22" s="206"/>
      <c r="AC22" s="210"/>
      <c r="AD22" s="211">
        <v>0.68</v>
      </c>
      <c r="AE22" s="251">
        <v>0</v>
      </c>
      <c r="AF22" s="190"/>
      <c r="AG22" s="191"/>
      <c r="AH22" s="191"/>
      <c r="AI22" s="191"/>
      <c r="AJ22" s="191" t="str">
        <f>"  " &amp; TEXT(AE22,"#0.00%") &amp; " "</f>
        <v xml:space="preserve">  0.00% </v>
      </c>
      <c r="AK22" s="191"/>
      <c r="AL22" s="191"/>
      <c r="AM22" s="191" t="str">
        <f>" " &amp; "UI 관련" &amp; " " &amp; IF(P22="","",TEXT(P22,"M/D-")) &amp; IF(Q22="","",TEXT(Q22,"M/D")) &amp; " "</f>
        <v xml:space="preserve"> UI 관련 12/28-1/16 </v>
      </c>
      <c r="AN22" s="191"/>
      <c r="AO22" s="191"/>
    </row>
    <row r="23" spans="1:41" ht="12" customHeight="1" outlineLevel="3">
      <c r="A23" s="203"/>
      <c r="B23" s="203" t="s">
        <v>1570</v>
      </c>
      <c r="C23" s="203">
        <v>4</v>
      </c>
      <c r="D23" s="214" t="s">
        <v>1451</v>
      </c>
      <c r="E23" s="204"/>
      <c r="F23" s="204"/>
      <c r="G23" s="204"/>
      <c r="H23" s="204" t="s">
        <v>1631</v>
      </c>
      <c r="I23" s="204"/>
      <c r="J23" s="204"/>
      <c r="K23" s="204"/>
      <c r="L23" s="204"/>
      <c r="M23" s="204"/>
      <c r="N23" s="204"/>
      <c r="O23" s="204"/>
      <c r="P23" s="205">
        <v>44558</v>
      </c>
      <c r="Q23" s="205">
        <v>44576</v>
      </c>
      <c r="R23" s="206"/>
      <c r="S23" s="207">
        <v>15</v>
      </c>
      <c r="T23" s="207">
        <v>11</v>
      </c>
      <c r="U23" s="207">
        <v>14</v>
      </c>
      <c r="V23" s="207">
        <v>10</v>
      </c>
      <c r="W23" s="205"/>
      <c r="X23" s="205"/>
      <c r="Y23" s="208">
        <v>0</v>
      </c>
      <c r="Z23" s="209">
        <v>0</v>
      </c>
      <c r="AA23" s="207"/>
      <c r="AB23" s="206"/>
      <c r="AC23" s="210"/>
      <c r="AD23" s="211">
        <v>0.73333333333333328</v>
      </c>
      <c r="AE23" s="251">
        <v>0</v>
      </c>
      <c r="AF23" s="190"/>
      <c r="AG23" s="191"/>
      <c r="AH23" s="191"/>
      <c r="AI23" s="191"/>
      <c r="AJ23" s="191" t="str">
        <f>"  " &amp; TEXT(AE23,"#0.00%") &amp; " "</f>
        <v xml:space="preserve">  0.00% </v>
      </c>
      <c r="AK23" s="191"/>
      <c r="AL23" s="191"/>
      <c r="AM23" s="191" t="str">
        <f>"" &amp; "타이틀 화면 UI" &amp; " " &amp; IF(P23="","",TEXT(P23,"M/D-")) &amp; IF(Q23="","",TEXT(Q23,"M/D")) &amp; " "</f>
        <v xml:space="preserve">타이틀 화면 UI 12/28-1/15 </v>
      </c>
      <c r="AN23" s="191"/>
      <c r="AO23" s="191"/>
    </row>
    <row r="24" spans="1:41" ht="12" customHeight="1" outlineLevel="4">
      <c r="A24" s="203"/>
      <c r="B24" s="203"/>
      <c r="C24" s="203">
        <v>5</v>
      </c>
      <c r="D24" s="214" t="s">
        <v>1633</v>
      </c>
      <c r="E24" s="204"/>
      <c r="F24" s="204"/>
      <c r="G24" s="204"/>
      <c r="H24" s="204"/>
      <c r="I24" s="204" t="s">
        <v>1632</v>
      </c>
      <c r="J24" s="204"/>
      <c r="K24" s="204"/>
      <c r="L24" s="204"/>
      <c r="M24" s="204"/>
      <c r="N24" s="204"/>
      <c r="O24" s="204"/>
      <c r="P24" s="205">
        <v>44558</v>
      </c>
      <c r="Q24" s="205">
        <v>44571</v>
      </c>
      <c r="R24" s="206"/>
      <c r="S24" s="207">
        <v>10</v>
      </c>
      <c r="T24" s="207">
        <v>10</v>
      </c>
      <c r="U24" s="207">
        <v>10</v>
      </c>
      <c r="V24" s="207">
        <v>10</v>
      </c>
      <c r="W24" s="205"/>
      <c r="X24" s="205"/>
      <c r="Y24" s="208"/>
      <c r="Z24" s="209">
        <v>0</v>
      </c>
      <c r="AA24" s="207"/>
      <c r="AB24" s="206" t="s">
        <v>1580</v>
      </c>
      <c r="AC24" s="210"/>
      <c r="AD24" s="211">
        <v>1</v>
      </c>
      <c r="AE24" s="250">
        <v>0</v>
      </c>
      <c r="AF24" s="190"/>
      <c r="AG24" s="191"/>
      <c r="AH24" s="191"/>
      <c r="AI24" s="191"/>
      <c r="AJ24" s="191" t="str">
        <f>"  " &amp; TEXT(AE24,"#0.00%") &amp; " " &amp; "게임 플레이로 이동" &amp; "(박광현)" &amp; " " &amp; IF(P24="","",TEXT(P24,"M/D-")) &amp; IF(Q24="","",TEXT(Q24,"M/D")) &amp; " "</f>
        <v xml:space="preserve">  0.00% 게임 플레이로 이동(박광현) 12/28-1/10 </v>
      </c>
      <c r="AK24" s="191"/>
      <c r="AL24" s="191"/>
      <c r="AM24" s="191"/>
      <c r="AN24" s="191"/>
      <c r="AO24" s="191"/>
    </row>
    <row r="25" spans="1:41" ht="12" customHeight="1" outlineLevel="4">
      <c r="A25" s="203"/>
      <c r="B25" s="203"/>
      <c r="C25" s="203">
        <v>5</v>
      </c>
      <c r="D25" s="214" t="s">
        <v>1727</v>
      </c>
      <c r="E25" s="204"/>
      <c r="F25" s="204"/>
      <c r="G25" s="204"/>
      <c r="H25" s="204"/>
      <c r="I25" s="204" t="s">
        <v>1726</v>
      </c>
      <c r="J25" s="204"/>
      <c r="K25" s="204"/>
      <c r="L25" s="204"/>
      <c r="M25" s="204"/>
      <c r="N25" s="204"/>
      <c r="O25" s="204"/>
      <c r="P25" s="205">
        <v>44571</v>
      </c>
      <c r="Q25" s="205">
        <v>44573</v>
      </c>
      <c r="R25" s="206"/>
      <c r="S25" s="207">
        <v>3</v>
      </c>
      <c r="T25" s="207">
        <v>1</v>
      </c>
      <c r="U25" s="207">
        <v>3</v>
      </c>
      <c r="V25" s="207">
        <v>1</v>
      </c>
      <c r="W25" s="205"/>
      <c r="X25" s="205"/>
      <c r="Y25" s="208"/>
      <c r="Z25" s="209">
        <v>0</v>
      </c>
      <c r="AA25" s="207"/>
      <c r="AB25" s="206" t="s">
        <v>1580</v>
      </c>
      <c r="AC25" s="210"/>
      <c r="AD25" s="211">
        <v>0.33333333333333331</v>
      </c>
      <c r="AE25" s="250">
        <v>0</v>
      </c>
      <c r="AF25" s="190"/>
      <c r="AG25" s="191"/>
      <c r="AH25" s="191"/>
      <c r="AI25" s="191"/>
      <c r="AJ25" s="191"/>
      <c r="AK25" s="191"/>
      <c r="AL25" s="191" t="str">
        <f>" " &amp; TEXT(AE25,"#0.00%") &amp; " " &amp; "게임 플레이로 이동 전에 로딩화면에 진입 후 이동" &amp; "(박광현)" &amp; " " &amp; IF(P25="","",TEXT(P25,"M/D-")) &amp; IF(Q25="","",TEXT(Q25,"M/D")) &amp; " "</f>
        <v xml:space="preserve"> 0.00% 게임 플레이로 이동 전에 로딩화면에 진입 후 이동(박광현) 1/10-1/12 </v>
      </c>
      <c r="AM25" s="191"/>
      <c r="AN25" s="191"/>
      <c r="AO25" s="191"/>
    </row>
    <row r="26" spans="1:41" ht="12" customHeight="1" outlineLevel="4">
      <c r="A26" s="203"/>
      <c r="B26" s="203"/>
      <c r="C26" s="203">
        <v>5</v>
      </c>
      <c r="D26" s="214" t="s">
        <v>1729</v>
      </c>
      <c r="E26" s="204"/>
      <c r="F26" s="204"/>
      <c r="G26" s="204"/>
      <c r="H26" s="204"/>
      <c r="I26" s="204" t="s">
        <v>1728</v>
      </c>
      <c r="J26" s="204"/>
      <c r="K26" s="204"/>
      <c r="L26" s="204"/>
      <c r="M26" s="204"/>
      <c r="N26" s="204"/>
      <c r="O26" s="204"/>
      <c r="P26" s="205">
        <v>44574</v>
      </c>
      <c r="Q26" s="205">
        <v>44576</v>
      </c>
      <c r="R26" s="206"/>
      <c r="S26" s="207">
        <v>2</v>
      </c>
      <c r="T26" s="207">
        <v>0</v>
      </c>
      <c r="U26" s="207">
        <v>2</v>
      </c>
      <c r="V26" s="207">
        <v>0</v>
      </c>
      <c r="W26" s="205"/>
      <c r="X26" s="205"/>
      <c r="Y26" s="208"/>
      <c r="Z26" s="209">
        <v>0</v>
      </c>
      <c r="AA26" s="207"/>
      <c r="AB26" s="206" t="s">
        <v>1580</v>
      </c>
      <c r="AC26" s="210"/>
      <c r="AD26" s="211">
        <v>0</v>
      </c>
      <c r="AE26" s="213">
        <v>0</v>
      </c>
      <c r="AF26" s="190"/>
      <c r="AG26" s="191"/>
      <c r="AH26" s="191"/>
      <c r="AI26" s="191"/>
      <c r="AJ26" s="191"/>
      <c r="AK26" s="191"/>
      <c r="AL26" s="191" t="str">
        <f>"    " &amp; TEXT(AE26,"#0.00%") &amp; " " &amp; "로딩화면 메시지 띄우는 기능 완성" &amp; "(박광현)" &amp; " " &amp; IF(P26="","",TEXT(P26,"M/D-")) &amp; IF(Q26="","",TEXT(Q26,"M/D")) &amp; " "</f>
        <v xml:space="preserve">    0.00% 로딩화면 메시지 띄우는 기능 완성(박광현) 1/13-1/15 </v>
      </c>
      <c r="AM26" s="191"/>
      <c r="AN26" s="191"/>
      <c r="AO26" s="191"/>
    </row>
    <row r="27" spans="1:41" ht="12" customHeight="1" outlineLevel="3">
      <c r="A27" s="203"/>
      <c r="B27" s="203" t="s">
        <v>1570</v>
      </c>
      <c r="C27" s="203">
        <v>4</v>
      </c>
      <c r="D27" s="214" t="s">
        <v>1453</v>
      </c>
      <c r="E27" s="204"/>
      <c r="F27" s="204"/>
      <c r="G27" s="204"/>
      <c r="H27" s="204" t="s">
        <v>1666</v>
      </c>
      <c r="I27" s="204"/>
      <c r="J27" s="204"/>
      <c r="K27" s="204"/>
      <c r="L27" s="204"/>
      <c r="M27" s="204"/>
      <c r="N27" s="204"/>
      <c r="O27" s="204"/>
      <c r="P27" s="205">
        <v>44562</v>
      </c>
      <c r="Q27" s="205">
        <v>44577</v>
      </c>
      <c r="R27" s="206"/>
      <c r="S27" s="207">
        <v>10</v>
      </c>
      <c r="T27" s="207">
        <v>6</v>
      </c>
      <c r="U27" s="207">
        <v>10</v>
      </c>
      <c r="V27" s="207">
        <v>6</v>
      </c>
      <c r="W27" s="205"/>
      <c r="X27" s="205"/>
      <c r="Y27" s="208">
        <v>0</v>
      </c>
      <c r="Z27" s="209">
        <v>0</v>
      </c>
      <c r="AA27" s="207"/>
      <c r="AB27" s="206"/>
      <c r="AC27" s="210"/>
      <c r="AD27" s="211">
        <v>0.6</v>
      </c>
      <c r="AE27" s="251">
        <v>0</v>
      </c>
      <c r="AF27" s="190"/>
      <c r="AG27" s="191"/>
      <c r="AH27" s="191"/>
      <c r="AI27" s="191"/>
      <c r="AJ27" s="191" t="str">
        <f>"      " &amp; TEXT(AE27,"#0.00%") &amp; " " &amp; "인게임 UI" &amp; " " &amp; IF(P27="","",TEXT(P27,"M/D-")) &amp; IF(Q27="","",TEXT(Q27,"M/D")) &amp; " "</f>
        <v xml:space="preserve">      0.00% 인게임 UI 1/1-1/16 </v>
      </c>
      <c r="AK27" s="191"/>
      <c r="AL27" s="191"/>
      <c r="AM27" s="191"/>
      <c r="AN27" s="191"/>
      <c r="AO27" s="191"/>
    </row>
    <row r="28" spans="1:41" ht="12" customHeight="1" outlineLevel="4">
      <c r="A28" s="203"/>
      <c r="B28" s="203"/>
      <c r="C28" s="203">
        <v>5</v>
      </c>
      <c r="D28" s="214" t="s">
        <v>1668</v>
      </c>
      <c r="E28" s="204"/>
      <c r="F28" s="204"/>
      <c r="G28" s="204"/>
      <c r="H28" s="204"/>
      <c r="I28" s="204" t="s">
        <v>1667</v>
      </c>
      <c r="J28" s="204"/>
      <c r="K28" s="204"/>
      <c r="L28" s="204"/>
      <c r="M28" s="204"/>
      <c r="N28" s="204"/>
      <c r="O28" s="204"/>
      <c r="P28" s="205">
        <v>44562</v>
      </c>
      <c r="Q28" s="205">
        <v>44573</v>
      </c>
      <c r="R28" s="206"/>
      <c r="S28" s="207">
        <v>8</v>
      </c>
      <c r="T28" s="207">
        <v>6</v>
      </c>
      <c r="U28" s="207">
        <v>8</v>
      </c>
      <c r="V28" s="207">
        <v>6</v>
      </c>
      <c r="W28" s="205"/>
      <c r="X28" s="205"/>
      <c r="Y28" s="208"/>
      <c r="Z28" s="209">
        <v>0</v>
      </c>
      <c r="AA28" s="207"/>
      <c r="AB28" s="206" t="s">
        <v>1579</v>
      </c>
      <c r="AC28" s="210"/>
      <c r="AD28" s="211">
        <v>0.75</v>
      </c>
      <c r="AE28" s="250">
        <v>0</v>
      </c>
      <c r="AF28" s="190"/>
      <c r="AG28" s="191"/>
      <c r="AH28" s="191"/>
      <c r="AI28" s="191"/>
      <c r="AJ28" s="191" t="str">
        <f>"      " &amp; TEXT(AE28,"#0.00%") &amp; " " &amp; "일시정지 UI 및 옵션 조절" &amp; "(권성빈)" &amp; " " &amp; IF(P28="","",TEXT(P28,"M/D-")) &amp; IF(Q28="","",TEXT(Q28,"M/D")) &amp; " "</f>
        <v xml:space="preserve">      0.00% 일시정지 UI 및 옵션 조절(권성빈) 1/1-1/12 </v>
      </c>
      <c r="AK28" s="191"/>
      <c r="AL28" s="191"/>
      <c r="AM28" s="191"/>
      <c r="AN28" s="191"/>
      <c r="AO28" s="191"/>
    </row>
    <row r="29" spans="1:41" ht="12" customHeight="1" outlineLevel="4">
      <c r="A29" s="203"/>
      <c r="B29" s="203"/>
      <c r="C29" s="203">
        <v>5</v>
      </c>
      <c r="D29" s="214" t="s">
        <v>1731</v>
      </c>
      <c r="E29" s="204"/>
      <c r="F29" s="204"/>
      <c r="G29" s="204"/>
      <c r="H29" s="204"/>
      <c r="I29" s="204" t="s">
        <v>1730</v>
      </c>
      <c r="J29" s="204"/>
      <c r="K29" s="204"/>
      <c r="L29" s="204"/>
      <c r="M29" s="204"/>
      <c r="N29" s="204"/>
      <c r="O29" s="204"/>
      <c r="P29" s="205">
        <v>44574</v>
      </c>
      <c r="Q29" s="205">
        <v>44577</v>
      </c>
      <c r="R29" s="206"/>
      <c r="S29" s="207">
        <v>2</v>
      </c>
      <c r="T29" s="207">
        <v>0</v>
      </c>
      <c r="U29" s="207">
        <v>2</v>
      </c>
      <c r="V29" s="207">
        <v>0</v>
      </c>
      <c r="W29" s="205"/>
      <c r="X29" s="205"/>
      <c r="Y29" s="208"/>
      <c r="Z29" s="209">
        <v>0</v>
      </c>
      <c r="AA29" s="207"/>
      <c r="AB29" s="206" t="s">
        <v>1579</v>
      </c>
      <c r="AC29" s="210"/>
      <c r="AD29" s="211">
        <v>0</v>
      </c>
      <c r="AE29" s="213">
        <v>0</v>
      </c>
      <c r="AF29" s="190"/>
      <c r="AG29" s="191"/>
      <c r="AH29" s="191"/>
      <c r="AI29" s="191"/>
      <c r="AJ29" s="191"/>
      <c r="AK29" s="191"/>
      <c r="AL29" s="191" t="str">
        <f>"    " &amp; TEXT(AE29,"#0.00%") &amp; " " &amp; "인게임 중 대사 ( 로그 시스템 추가 )" &amp; "(권성빈)" &amp; " " &amp; IF(P29="","",TEXT(P29,"M/D-")) &amp; IF(Q29="","",TEXT(Q29,"M/D")) &amp; " "</f>
        <v xml:space="preserve">    0.00% 인게임 중 대사 ( 로그 시스템 추가 )(권성빈) 1/13-1/16 </v>
      </c>
      <c r="AM29" s="191"/>
      <c r="AN29" s="191"/>
      <c r="AO29" s="191"/>
    </row>
    <row r="30" spans="1:41" ht="12" customHeight="1" outlineLevel="2">
      <c r="A30" s="203"/>
      <c r="B30" s="203" t="s">
        <v>1570</v>
      </c>
      <c r="C30" s="203">
        <v>3</v>
      </c>
      <c r="D30" s="214" t="s">
        <v>1104</v>
      </c>
      <c r="E30" s="204"/>
      <c r="F30" s="204"/>
      <c r="G30" s="204" t="s">
        <v>1653</v>
      </c>
      <c r="H30" s="204"/>
      <c r="I30" s="204"/>
      <c r="J30" s="204"/>
      <c r="K30" s="204"/>
      <c r="L30" s="204"/>
      <c r="M30" s="204"/>
      <c r="N30" s="204"/>
      <c r="O30" s="204"/>
      <c r="P30" s="205">
        <v>44571</v>
      </c>
      <c r="Q30" s="205">
        <v>44581</v>
      </c>
      <c r="R30" s="206"/>
      <c r="S30" s="207">
        <v>7</v>
      </c>
      <c r="T30" s="207">
        <v>1</v>
      </c>
      <c r="U30" s="207">
        <v>9</v>
      </c>
      <c r="V30" s="207">
        <v>1</v>
      </c>
      <c r="W30" s="205"/>
      <c r="X30" s="205"/>
      <c r="Y30" s="208">
        <v>0</v>
      </c>
      <c r="Z30" s="209">
        <v>0</v>
      </c>
      <c r="AA30" s="207"/>
      <c r="AB30" s="206"/>
      <c r="AC30" s="210"/>
      <c r="AD30" s="211">
        <v>0.14285714285714285</v>
      </c>
      <c r="AE30" s="251">
        <v>0</v>
      </c>
      <c r="AF30" s="190"/>
      <c r="AG30" s="191"/>
      <c r="AH30" s="191"/>
      <c r="AI30" s="191"/>
      <c r="AJ30" s="191"/>
      <c r="AK30" s="191"/>
      <c r="AL30" s="191" t="str">
        <f>" " &amp; TEXT(AE30,"#0.00%") &amp; " " &amp; "프로토타입 제출" &amp; " " &amp; IF(P30="","",TEXT(P30,"M/D-")) &amp; IF(Q30="","",TEXT(Q30,"M/D")) &amp; " "</f>
        <v xml:space="preserve"> 0.00% 프로토타입 제출 1/10-1/20 </v>
      </c>
      <c r="AM30" s="191"/>
      <c r="AN30" s="191"/>
      <c r="AO30" s="191"/>
    </row>
    <row r="31" spans="1:41" ht="12" customHeight="1" outlineLevel="3">
      <c r="A31" s="203"/>
      <c r="B31" s="203"/>
      <c r="C31" s="203">
        <v>4</v>
      </c>
      <c r="D31" s="214" t="s">
        <v>1655</v>
      </c>
      <c r="E31" s="204"/>
      <c r="F31" s="204"/>
      <c r="G31" s="204"/>
      <c r="H31" s="204" t="s">
        <v>1654</v>
      </c>
      <c r="I31" s="204"/>
      <c r="J31" s="204"/>
      <c r="K31" s="204"/>
      <c r="L31" s="204"/>
      <c r="M31" s="204"/>
      <c r="N31" s="204"/>
      <c r="O31" s="204"/>
      <c r="P31" s="205">
        <v>44577</v>
      </c>
      <c r="Q31" s="205">
        <v>44581</v>
      </c>
      <c r="R31" s="206"/>
      <c r="S31" s="207">
        <v>4</v>
      </c>
      <c r="T31" s="207">
        <v>0</v>
      </c>
      <c r="U31" s="207">
        <v>4</v>
      </c>
      <c r="V31" s="207">
        <v>0</v>
      </c>
      <c r="W31" s="205"/>
      <c r="X31" s="205"/>
      <c r="Y31" s="208"/>
      <c r="Z31" s="209">
        <v>0</v>
      </c>
      <c r="AA31" s="207"/>
      <c r="AB31" s="206" t="s">
        <v>1658</v>
      </c>
      <c r="AC31" s="210"/>
      <c r="AD31" s="211">
        <v>0</v>
      </c>
      <c r="AE31" s="213">
        <v>0</v>
      </c>
      <c r="AF31" s="190"/>
      <c r="AG31" s="191"/>
      <c r="AH31" s="191"/>
      <c r="AI31" s="191"/>
      <c r="AJ31" s="191"/>
      <c r="AK31" s="191"/>
      <c r="AL31" s="191"/>
      <c r="AM31" s="191" t="str">
        <f>"" &amp; TEXT(AE31,"#0.00%") &amp; " " &amp; "프로토타입 씬과 메인메뉴 연결" &amp; "(개발 전원 협력)" &amp; " " &amp; IF(P31="","",TEXT(P31,"M/D-")) &amp; IF(Q31="","",TEXT(Q31,"M/D")) &amp; " "</f>
        <v xml:space="preserve">0.00% 프로토타입 씬과 메인메뉴 연결(개발 전원 협력) 1/16-1/20 </v>
      </c>
      <c r="AN31" s="191"/>
      <c r="AO31" s="191"/>
    </row>
    <row r="32" spans="1:41" ht="12" customHeight="1" outlineLevel="3">
      <c r="A32" s="203"/>
      <c r="B32" s="203"/>
      <c r="C32" s="203">
        <v>4</v>
      </c>
      <c r="D32" s="214" t="s">
        <v>1656</v>
      </c>
      <c r="E32" s="204"/>
      <c r="F32" s="204"/>
      <c r="G32" s="204"/>
      <c r="H32" s="204" t="s">
        <v>1657</v>
      </c>
      <c r="I32" s="204"/>
      <c r="J32" s="204"/>
      <c r="K32" s="204"/>
      <c r="L32" s="204"/>
      <c r="M32" s="204"/>
      <c r="N32" s="204"/>
      <c r="O32" s="204"/>
      <c r="P32" s="205">
        <v>44571</v>
      </c>
      <c r="Q32" s="205">
        <v>44573</v>
      </c>
      <c r="R32" s="205">
        <v>44484</v>
      </c>
      <c r="S32" s="207">
        <v>3</v>
      </c>
      <c r="T32" s="207">
        <v>1</v>
      </c>
      <c r="U32" s="207">
        <v>3</v>
      </c>
      <c r="V32" s="207">
        <v>1</v>
      </c>
      <c r="W32" s="205"/>
      <c r="X32" s="205"/>
      <c r="Y32" s="208"/>
      <c r="Z32" s="209">
        <v>0</v>
      </c>
      <c r="AA32" s="207"/>
      <c r="AB32" s="206" t="s">
        <v>1658</v>
      </c>
      <c r="AC32" s="210"/>
      <c r="AD32" s="211">
        <v>0.33333333333333331</v>
      </c>
      <c r="AE32" s="250">
        <v>0</v>
      </c>
      <c r="AF32" s="190"/>
      <c r="AG32" s="191"/>
      <c r="AH32" s="191"/>
      <c r="AI32" s="191"/>
      <c r="AJ32" s="191"/>
      <c r="AK32" s="191"/>
      <c r="AL32" s="191" t="str">
        <f>" " &amp; TEXT(AE32,"#0.00%") &amp; " " &amp; "프로토타입 제출 전 연출들 제작 및 연결" &amp; "(개발 전원 협력)" &amp; " " &amp; IF(P32="","",TEXT(P32,"M/D-")) &amp; IF(Q32="","",TEXT(Q32,"M/D")) &amp; " "</f>
        <v xml:space="preserve"> 0.00% 프로토타입 제출 전 연출들 제작 및 연결(개발 전원 협력) 1/10-1/12 </v>
      </c>
      <c r="AM32" s="191"/>
      <c r="AN32" s="191"/>
      <c r="AO32" s="191"/>
    </row>
    <row r="33" spans="1:41" ht="12" customHeight="1" outlineLevel="1">
      <c r="A33" s="203"/>
      <c r="B33" s="203" t="s">
        <v>1570</v>
      </c>
      <c r="C33" s="203">
        <v>2</v>
      </c>
      <c r="D33" s="214" t="s">
        <v>1084</v>
      </c>
      <c r="E33" s="204"/>
      <c r="F33" s="204" t="s">
        <v>1583</v>
      </c>
      <c r="G33" s="204"/>
      <c r="H33" s="204"/>
      <c r="I33" s="204"/>
      <c r="J33" s="204"/>
      <c r="K33" s="204"/>
      <c r="L33" s="204"/>
      <c r="M33" s="204"/>
      <c r="N33" s="204"/>
      <c r="O33" s="204" t="s">
        <v>1604</v>
      </c>
      <c r="P33" s="205">
        <v>44532</v>
      </c>
      <c r="Q33" s="205">
        <v>44581</v>
      </c>
      <c r="R33" s="206"/>
      <c r="S33" s="207">
        <v>39</v>
      </c>
      <c r="T33" s="207">
        <v>22</v>
      </c>
      <c r="U33" s="207">
        <v>36</v>
      </c>
      <c r="V33" s="207">
        <v>28</v>
      </c>
      <c r="W33" s="205"/>
      <c r="X33" s="205"/>
      <c r="Y33" s="208">
        <v>0</v>
      </c>
      <c r="Z33" s="209">
        <v>0</v>
      </c>
      <c r="AA33" s="207"/>
      <c r="AB33" s="206"/>
      <c r="AC33" s="210"/>
      <c r="AD33" s="211">
        <v>0.5641025641025641</v>
      </c>
      <c r="AE33" s="249">
        <v>0.8948717948717948</v>
      </c>
      <c r="AF33" s="190"/>
      <c r="AG33" s="191"/>
      <c r="AH33" s="191"/>
      <c r="AI33" s="191"/>
      <c r="AJ33" s="191"/>
      <c r="AK33" s="191"/>
      <c r="AL33" s="191"/>
      <c r="AM33" s="191" t="str">
        <f>"" &amp; TEXT(AE33,"#0.00%") &amp; " " &amp; "기획 관련" &amp; " " &amp; IF(P33="","",TEXT(P33,"M/D-")) &amp; IF(Q33="","",TEXT(Q33,"M/D")) &amp; " "</f>
        <v xml:space="preserve">89.49% 기획 관련 12/2-1/20 </v>
      </c>
      <c r="AN33" s="191"/>
      <c r="AO33" s="191"/>
    </row>
    <row r="34" spans="1:41" ht="12" customHeight="1" outlineLevel="2">
      <c r="A34" s="203"/>
      <c r="B34" s="203" t="s">
        <v>1570</v>
      </c>
      <c r="C34" s="203">
        <v>3</v>
      </c>
      <c r="D34" s="214" t="s">
        <v>1085</v>
      </c>
      <c r="E34" s="204"/>
      <c r="F34" s="204"/>
      <c r="G34" s="204" t="s">
        <v>1705</v>
      </c>
      <c r="H34" s="204"/>
      <c r="I34" s="204"/>
      <c r="J34" s="204"/>
      <c r="K34" s="204"/>
      <c r="L34" s="204"/>
      <c r="M34" s="204"/>
      <c r="N34" s="204"/>
      <c r="O34" s="204"/>
      <c r="P34" s="205">
        <v>44532</v>
      </c>
      <c r="Q34" s="205">
        <v>44581</v>
      </c>
      <c r="R34" s="206"/>
      <c r="S34" s="207">
        <v>39</v>
      </c>
      <c r="T34" s="207">
        <v>22</v>
      </c>
      <c r="U34" s="207">
        <v>36</v>
      </c>
      <c r="V34" s="207">
        <v>28</v>
      </c>
      <c r="W34" s="205"/>
      <c r="X34" s="205"/>
      <c r="Y34" s="208">
        <v>0</v>
      </c>
      <c r="Z34" s="209">
        <v>0</v>
      </c>
      <c r="AA34" s="207"/>
      <c r="AB34" s="206"/>
      <c r="AC34" s="210"/>
      <c r="AD34" s="211">
        <v>0.5641025641025641</v>
      </c>
      <c r="AE34" s="249">
        <v>0.8948717948717948</v>
      </c>
      <c r="AF34" s="190"/>
      <c r="AG34" s="191"/>
      <c r="AH34" s="191"/>
      <c r="AI34" s="191"/>
      <c r="AJ34" s="191"/>
      <c r="AK34" s="191"/>
      <c r="AL34" s="191"/>
      <c r="AM34" s="191" t="str">
        <f>"" &amp; TEXT(AE34,"#0.00%") &amp; " " &amp; "인게임 관련 기획" &amp; " " &amp; IF(P34="","",TEXT(P34,"M/D-")) &amp; IF(Q34="","",TEXT(Q34,"M/D")) &amp; " "</f>
        <v xml:space="preserve">89.49% 인게임 관련 기획 12/2-1/20 </v>
      </c>
      <c r="AN34" s="191"/>
      <c r="AO34" s="191"/>
    </row>
    <row r="35" spans="1:41" ht="12" customHeight="1" outlineLevel="3">
      <c r="A35" s="203"/>
      <c r="B35" s="203" t="s">
        <v>1570</v>
      </c>
      <c r="C35" s="203">
        <v>4</v>
      </c>
      <c r="D35" s="214" t="s">
        <v>1596</v>
      </c>
      <c r="E35" s="204"/>
      <c r="F35" s="204"/>
      <c r="G35" s="204"/>
      <c r="H35" s="204" t="s">
        <v>1590</v>
      </c>
      <c r="I35" s="204"/>
      <c r="J35" s="204"/>
      <c r="K35" s="204"/>
      <c r="L35" s="204"/>
      <c r="M35" s="204"/>
      <c r="N35" s="204"/>
      <c r="O35" s="204"/>
      <c r="P35" s="205">
        <v>44532</v>
      </c>
      <c r="Q35" s="205">
        <v>44581</v>
      </c>
      <c r="R35" s="206"/>
      <c r="S35" s="207">
        <v>37</v>
      </c>
      <c r="T35" s="207">
        <v>20</v>
      </c>
      <c r="U35" s="207">
        <v>36</v>
      </c>
      <c r="V35" s="207">
        <v>28</v>
      </c>
      <c r="W35" s="205"/>
      <c r="X35" s="205"/>
      <c r="Y35" s="208">
        <v>0</v>
      </c>
      <c r="Z35" s="209">
        <v>0</v>
      </c>
      <c r="AA35" s="207"/>
      <c r="AB35" s="206"/>
      <c r="AC35" s="210"/>
      <c r="AD35" s="211">
        <v>0.54054054054054057</v>
      </c>
      <c r="AE35" s="249">
        <v>0.89189189189189189</v>
      </c>
      <c r="AF35" s="190"/>
      <c r="AG35" s="191"/>
      <c r="AH35" s="191"/>
      <c r="AI35" s="191"/>
      <c r="AJ35" s="191"/>
      <c r="AK35" s="191"/>
      <c r="AL35" s="191"/>
      <c r="AM35" s="191" t="str">
        <f>"" &amp; TEXT(AE35,"#0.00%") &amp; " " &amp; "스토리 관련" &amp; " " &amp; IF(P35="","",TEXT(P35,"M/D-")) &amp; IF(Q35="","",TEXT(Q35,"M/D")) &amp; " "</f>
        <v xml:space="preserve">89.19% 스토리 관련 12/2-1/20 </v>
      </c>
      <c r="AN35" s="191"/>
      <c r="AO35" s="191"/>
    </row>
    <row r="36" spans="1:41" ht="12" customHeight="1" outlineLevel="4">
      <c r="A36" s="203"/>
      <c r="B36" s="203" t="s">
        <v>1570</v>
      </c>
      <c r="C36" s="203">
        <v>5</v>
      </c>
      <c r="D36" s="214" t="s">
        <v>1597</v>
      </c>
      <c r="E36" s="204"/>
      <c r="F36" s="204"/>
      <c r="G36" s="204"/>
      <c r="H36" s="204"/>
      <c r="I36" s="204" t="s">
        <v>1587</v>
      </c>
      <c r="J36" s="204"/>
      <c r="K36" s="204"/>
      <c r="L36" s="204"/>
      <c r="M36" s="204"/>
      <c r="N36" s="204"/>
      <c r="O36" s="204"/>
      <c r="P36" s="205">
        <v>44532</v>
      </c>
      <c r="Q36" s="205">
        <v>44532</v>
      </c>
      <c r="R36" s="206"/>
      <c r="S36" s="207">
        <v>3</v>
      </c>
      <c r="T36" s="207">
        <v>3</v>
      </c>
      <c r="U36" s="207">
        <v>1</v>
      </c>
      <c r="V36" s="207">
        <v>1</v>
      </c>
      <c r="W36" s="205"/>
      <c r="X36" s="205"/>
      <c r="Y36" s="208">
        <v>0</v>
      </c>
      <c r="Z36" s="209">
        <v>0</v>
      </c>
      <c r="AA36" s="207"/>
      <c r="AB36" s="206"/>
      <c r="AC36" s="210"/>
      <c r="AD36" s="211">
        <v>1</v>
      </c>
      <c r="AE36" s="247">
        <v>1</v>
      </c>
      <c r="AF36" s="190" t="str">
        <f>"     " &amp; TEXT(AE36,"#0.00%") &amp; " " &amp; "주변 세계관" &amp; " " &amp; IF(P36="","",TEXT(P36,"M/D-")) &amp; IF(Q36="","",TEXT(Q36,"M/D")) &amp; " "</f>
        <v xml:space="preserve">     100.00% 주변 세계관 12/2-12/2 </v>
      </c>
      <c r="AG36" s="191"/>
      <c r="AH36" s="191"/>
      <c r="AI36" s="191"/>
      <c r="AJ36" s="191"/>
      <c r="AK36" s="191"/>
      <c r="AL36" s="191"/>
      <c r="AM36" s="191"/>
      <c r="AN36" s="191"/>
      <c r="AO36" s="191"/>
    </row>
    <row r="37" spans="1:41" ht="12" customHeight="1" outlineLevel="5">
      <c r="A37" s="203"/>
      <c r="B37" s="203"/>
      <c r="C37" s="203">
        <v>6</v>
      </c>
      <c r="D37" s="214" t="s">
        <v>1706</v>
      </c>
      <c r="E37" s="204"/>
      <c r="F37" s="204"/>
      <c r="G37" s="204"/>
      <c r="H37" s="204"/>
      <c r="I37" s="204"/>
      <c r="J37" s="204" t="s">
        <v>1601</v>
      </c>
      <c r="K37" s="204"/>
      <c r="L37" s="204"/>
      <c r="M37" s="204"/>
      <c r="N37" s="204"/>
      <c r="O37" s="204"/>
      <c r="P37" s="205">
        <v>44532</v>
      </c>
      <c r="Q37" s="205">
        <v>44532</v>
      </c>
      <c r="R37" s="206"/>
      <c r="S37" s="207">
        <v>1</v>
      </c>
      <c r="T37" s="207">
        <v>1</v>
      </c>
      <c r="U37" s="207">
        <v>1</v>
      </c>
      <c r="V37" s="207">
        <v>1</v>
      </c>
      <c r="W37" s="205"/>
      <c r="X37" s="205"/>
      <c r="Y37" s="208"/>
      <c r="Z37" s="209">
        <v>0</v>
      </c>
      <c r="AA37" s="207"/>
      <c r="AB37" s="206"/>
      <c r="AC37" s="210"/>
      <c r="AD37" s="211">
        <v>1</v>
      </c>
      <c r="AE37" s="213">
        <v>1</v>
      </c>
      <c r="AF37" s="190" t="str">
        <f>"     " &amp; TEXT(AE37,"#0.00%") &amp; " " &amp; "시대상 or 기술수준 확립" &amp; " " &amp; IF(P37="","",TEXT(P37,"M/D-")) &amp; IF(Q37="","",TEXT(Q37,"M/D")) &amp; " "</f>
        <v xml:space="preserve">     100.00% 시대상 or 기술수준 확립 12/2-12/2 </v>
      </c>
      <c r="AG37" s="191"/>
      <c r="AH37" s="191"/>
      <c r="AI37" s="191"/>
      <c r="AJ37" s="191"/>
      <c r="AK37" s="191"/>
      <c r="AL37" s="191"/>
      <c r="AM37" s="191"/>
      <c r="AN37" s="191"/>
      <c r="AO37" s="191"/>
    </row>
    <row r="38" spans="1:41" ht="12" customHeight="1" outlineLevel="5">
      <c r="A38" s="203">
        <v>0</v>
      </c>
      <c r="B38" s="203"/>
      <c r="C38" s="203">
        <v>6</v>
      </c>
      <c r="D38" s="214" t="s">
        <v>1707</v>
      </c>
      <c r="E38" s="204"/>
      <c r="F38" s="204"/>
      <c r="G38" s="204"/>
      <c r="H38" s="204"/>
      <c r="I38" s="204"/>
      <c r="J38" s="204" t="s">
        <v>1588</v>
      </c>
      <c r="K38" s="204"/>
      <c r="L38" s="204"/>
      <c r="M38" s="204"/>
      <c r="N38" s="204"/>
      <c r="O38" s="204"/>
      <c r="P38" s="205">
        <v>44532</v>
      </c>
      <c r="Q38" s="205">
        <v>44532</v>
      </c>
      <c r="R38" s="206"/>
      <c r="S38" s="207">
        <v>1</v>
      </c>
      <c r="T38" s="207">
        <v>1</v>
      </c>
      <c r="U38" s="207">
        <v>1</v>
      </c>
      <c r="V38" s="207">
        <v>1</v>
      </c>
      <c r="W38" s="205"/>
      <c r="X38" s="205"/>
      <c r="Y38" s="208"/>
      <c r="Z38" s="209">
        <v>0</v>
      </c>
      <c r="AA38" s="207"/>
      <c r="AB38" s="206"/>
      <c r="AC38" s="210"/>
      <c r="AD38" s="211">
        <v>1</v>
      </c>
      <c r="AE38" s="213">
        <v>1</v>
      </c>
      <c r="AF38" s="190" t="str">
        <f>"     " &amp; TEXT(AE38,"#0.00%") &amp; " " &amp; "주인공 소속사 확립" &amp; " " &amp; IF(P38="","",TEXT(P38,"M/D-")) &amp; IF(Q38="","",TEXT(Q38,"M/D")) &amp; " "</f>
        <v xml:space="preserve">     100.00% 주인공 소속사 확립 12/2-12/2 </v>
      </c>
      <c r="AG38" s="191"/>
      <c r="AH38" s="191"/>
      <c r="AI38" s="191"/>
      <c r="AJ38" s="191"/>
      <c r="AK38" s="191"/>
      <c r="AL38" s="191"/>
      <c r="AM38" s="191"/>
      <c r="AN38" s="191"/>
      <c r="AO38" s="191"/>
    </row>
    <row r="39" spans="1:41" ht="12" customHeight="1" outlineLevel="5">
      <c r="A39" s="203"/>
      <c r="B39" s="203"/>
      <c r="C39" s="203">
        <v>6</v>
      </c>
      <c r="D39" s="214" t="s">
        <v>1708</v>
      </c>
      <c r="E39" s="204"/>
      <c r="F39" s="204"/>
      <c r="G39" s="204"/>
      <c r="H39" s="204"/>
      <c r="I39" s="204"/>
      <c r="J39" s="204" t="s">
        <v>1589</v>
      </c>
      <c r="K39" s="204"/>
      <c r="L39" s="204"/>
      <c r="M39" s="204"/>
      <c r="N39" s="204"/>
      <c r="O39" s="204"/>
      <c r="P39" s="205">
        <v>44532</v>
      </c>
      <c r="Q39" s="205">
        <v>44532</v>
      </c>
      <c r="R39" s="206"/>
      <c r="S39" s="207">
        <v>1</v>
      </c>
      <c r="T39" s="207">
        <v>1</v>
      </c>
      <c r="U39" s="207">
        <v>1</v>
      </c>
      <c r="V39" s="207">
        <v>1</v>
      </c>
      <c r="W39" s="205"/>
      <c r="X39" s="205"/>
      <c r="Y39" s="208"/>
      <c r="Z39" s="209">
        <v>0</v>
      </c>
      <c r="AA39" s="207"/>
      <c r="AB39" s="206"/>
      <c r="AC39" s="210"/>
      <c r="AD39" s="211">
        <v>1</v>
      </c>
      <c r="AE39" s="213">
        <v>1</v>
      </c>
      <c r="AF39" s="190" t="str">
        <f>"     " &amp; TEXT(AE39,"#0.00%") &amp; " " &amp; "주인공 역할 확립" &amp; " " &amp; IF(P39="","",TEXT(P39,"M/D-")) &amp; IF(Q39="","",TEXT(Q39,"M/D")) &amp; " "</f>
        <v xml:space="preserve">     100.00% 주인공 역할 확립 12/2-12/2 </v>
      </c>
      <c r="AG39" s="191"/>
      <c r="AH39" s="191"/>
      <c r="AI39" s="191"/>
      <c r="AJ39" s="191"/>
      <c r="AK39" s="191"/>
      <c r="AL39" s="191"/>
      <c r="AM39" s="191"/>
      <c r="AN39" s="191"/>
      <c r="AO39" s="191"/>
    </row>
    <row r="40" spans="1:41" ht="12" customHeight="1" outlineLevel="4">
      <c r="A40" s="203"/>
      <c r="B40" s="203" t="s">
        <v>1570</v>
      </c>
      <c r="C40" s="203">
        <v>5</v>
      </c>
      <c r="D40" s="214" t="s">
        <v>1598</v>
      </c>
      <c r="E40" s="204"/>
      <c r="F40" s="204"/>
      <c r="G40" s="204"/>
      <c r="H40" s="204"/>
      <c r="I40" s="204" t="s">
        <v>1643</v>
      </c>
      <c r="J40" s="204"/>
      <c r="K40" s="204"/>
      <c r="L40" s="204"/>
      <c r="M40" s="204"/>
      <c r="N40" s="204"/>
      <c r="O40" s="204"/>
      <c r="P40" s="205"/>
      <c r="Q40" s="205"/>
      <c r="R40" s="206"/>
      <c r="S40" s="207">
        <v>0</v>
      </c>
      <c r="T40" s="207">
        <v>0</v>
      </c>
      <c r="U40" s="207">
        <v>0</v>
      </c>
      <c r="V40" s="207">
        <v>0</v>
      </c>
      <c r="W40" s="205"/>
      <c r="X40" s="205"/>
      <c r="Y40" s="208">
        <v>0</v>
      </c>
      <c r="Z40" s="209">
        <v>0</v>
      </c>
      <c r="AA40" s="207"/>
      <c r="AB40" s="206"/>
      <c r="AC40" s="210"/>
      <c r="AD40" s="211">
        <v>0</v>
      </c>
      <c r="AE40" s="216">
        <v>0</v>
      </c>
      <c r="AF40" s="190"/>
      <c r="AG40" s="191"/>
      <c r="AH40" s="191"/>
      <c r="AI40" s="191"/>
      <c r="AJ40" s="191"/>
      <c r="AK40" s="191"/>
      <c r="AL40" s="191"/>
      <c r="AM40" s="191"/>
      <c r="AN40" s="191"/>
      <c r="AO40" s="191"/>
    </row>
    <row r="41" spans="1:41" ht="12" customHeight="1" outlineLevel="5">
      <c r="A41" s="203"/>
      <c r="B41" s="203" t="s">
        <v>1570</v>
      </c>
      <c r="C41" s="203">
        <v>6</v>
      </c>
      <c r="D41" s="214" t="s">
        <v>1709</v>
      </c>
      <c r="E41" s="204"/>
      <c r="F41" s="204"/>
      <c r="G41" s="204"/>
      <c r="H41" s="204"/>
      <c r="I41" s="204"/>
      <c r="J41" s="204" t="s">
        <v>1642</v>
      </c>
      <c r="K41" s="204"/>
      <c r="L41" s="204"/>
      <c r="M41" s="204"/>
      <c r="N41" s="204"/>
      <c r="O41" s="204"/>
      <c r="P41" s="205"/>
      <c r="Q41" s="205"/>
      <c r="R41" s="206"/>
      <c r="S41" s="207">
        <v>0</v>
      </c>
      <c r="T41" s="207">
        <v>0</v>
      </c>
      <c r="U41" s="207">
        <v>0</v>
      </c>
      <c r="V41" s="207">
        <v>0</v>
      </c>
      <c r="W41" s="205"/>
      <c r="X41" s="205"/>
      <c r="Y41" s="208">
        <v>0</v>
      </c>
      <c r="Z41" s="209">
        <v>0</v>
      </c>
      <c r="AA41" s="207"/>
      <c r="AB41" s="206"/>
      <c r="AC41" s="210"/>
      <c r="AD41" s="211">
        <v>0</v>
      </c>
      <c r="AE41" s="216">
        <v>0</v>
      </c>
      <c r="AF41" s="190"/>
      <c r="AG41" s="191"/>
      <c r="AH41" s="191"/>
      <c r="AI41" s="191"/>
      <c r="AJ41" s="191"/>
      <c r="AK41" s="191"/>
      <c r="AL41" s="191"/>
      <c r="AM41" s="191"/>
      <c r="AN41" s="191"/>
      <c r="AO41" s="191"/>
    </row>
    <row r="42" spans="1:41" ht="12" customHeight="1" outlineLevel="6">
      <c r="A42" s="203"/>
      <c r="B42" s="203"/>
      <c r="C42" s="203">
        <v>7</v>
      </c>
      <c r="D42" s="214" t="s">
        <v>1710</v>
      </c>
      <c r="E42" s="204"/>
      <c r="F42" s="204"/>
      <c r="G42" s="204"/>
      <c r="H42" s="204"/>
      <c r="I42" s="204"/>
      <c r="J42" s="204"/>
      <c r="K42" s="204" t="s">
        <v>1584</v>
      </c>
      <c r="L42" s="204"/>
      <c r="M42" s="204"/>
      <c r="N42" s="204"/>
      <c r="O42" s="204" t="s">
        <v>1638</v>
      </c>
      <c r="P42" s="205"/>
      <c r="Q42" s="205"/>
      <c r="R42" s="206"/>
      <c r="S42" s="207">
        <v>0</v>
      </c>
      <c r="T42" s="207">
        <v>0</v>
      </c>
      <c r="U42" s="207">
        <v>0</v>
      </c>
      <c r="V42" s="207">
        <v>0</v>
      </c>
      <c r="W42" s="205"/>
      <c r="X42" s="205"/>
      <c r="Y42" s="208">
        <v>0</v>
      </c>
      <c r="Z42" s="209">
        <v>0</v>
      </c>
      <c r="AA42" s="207">
        <v>1</v>
      </c>
      <c r="AB42" s="206" t="s">
        <v>1630</v>
      </c>
      <c r="AC42" s="210"/>
      <c r="AD42" s="211">
        <v>0</v>
      </c>
      <c r="AE42" s="216">
        <v>0</v>
      </c>
      <c r="AF42" s="190"/>
      <c r="AG42" s="191"/>
      <c r="AH42" s="191"/>
      <c r="AI42" s="191"/>
      <c r="AJ42" s="191"/>
      <c r="AK42" s="191"/>
      <c r="AL42" s="191"/>
      <c r="AM42" s="191"/>
      <c r="AN42" s="191"/>
      <c r="AO42" s="191"/>
    </row>
    <row r="43" spans="1:41" ht="12" customHeight="1" outlineLevel="6">
      <c r="A43" s="203"/>
      <c r="B43" s="203"/>
      <c r="C43" s="203">
        <v>7</v>
      </c>
      <c r="D43" s="214" t="s">
        <v>1711</v>
      </c>
      <c r="E43" s="204"/>
      <c r="F43" s="204"/>
      <c r="G43" s="204"/>
      <c r="H43" s="204"/>
      <c r="I43" s="204"/>
      <c r="J43" s="204"/>
      <c r="K43" s="204" t="s">
        <v>1585</v>
      </c>
      <c r="L43" s="204"/>
      <c r="M43" s="204"/>
      <c r="N43" s="204"/>
      <c r="O43" s="204"/>
      <c r="P43" s="205"/>
      <c r="Q43" s="205"/>
      <c r="R43" s="206"/>
      <c r="S43" s="207">
        <v>0</v>
      </c>
      <c r="T43" s="207">
        <v>0</v>
      </c>
      <c r="U43" s="207">
        <v>0</v>
      </c>
      <c r="V43" s="207">
        <v>0</v>
      </c>
      <c r="W43" s="205"/>
      <c r="X43" s="205"/>
      <c r="Y43" s="208">
        <v>0</v>
      </c>
      <c r="Z43" s="209">
        <v>0</v>
      </c>
      <c r="AA43" s="207"/>
      <c r="AB43" s="206" t="s">
        <v>1630</v>
      </c>
      <c r="AC43" s="210"/>
      <c r="AD43" s="211">
        <v>0</v>
      </c>
      <c r="AE43" s="216">
        <v>0</v>
      </c>
      <c r="AF43" s="190"/>
      <c r="AG43" s="191"/>
      <c r="AH43" s="191"/>
      <c r="AI43" s="191"/>
      <c r="AJ43" s="191"/>
      <c r="AK43" s="191"/>
      <c r="AL43" s="191"/>
      <c r="AM43" s="191"/>
      <c r="AN43" s="191"/>
      <c r="AO43" s="191"/>
    </row>
    <row r="44" spans="1:41" ht="12" customHeight="1" outlineLevel="4">
      <c r="A44" s="203">
        <v>1</v>
      </c>
      <c r="B44" s="203" t="s">
        <v>1570</v>
      </c>
      <c r="C44" s="203">
        <v>5</v>
      </c>
      <c r="D44" s="214" t="s">
        <v>1602</v>
      </c>
      <c r="E44" s="204"/>
      <c r="F44" s="204"/>
      <c r="G44" s="204"/>
      <c r="H44" s="204"/>
      <c r="I44" s="204" t="s">
        <v>1591</v>
      </c>
      <c r="J44" s="204"/>
      <c r="K44" s="204"/>
      <c r="L44" s="204"/>
      <c r="M44" s="204"/>
      <c r="N44" s="204"/>
      <c r="O44" s="204"/>
      <c r="P44" s="205">
        <v>44571</v>
      </c>
      <c r="Q44" s="205">
        <v>44581</v>
      </c>
      <c r="R44" s="206"/>
      <c r="S44" s="207">
        <v>20</v>
      </c>
      <c r="T44" s="207">
        <v>3</v>
      </c>
      <c r="U44" s="207">
        <v>9</v>
      </c>
      <c r="V44" s="207">
        <v>1</v>
      </c>
      <c r="W44" s="205"/>
      <c r="X44" s="205"/>
      <c r="Y44" s="208">
        <v>0</v>
      </c>
      <c r="Z44" s="209">
        <v>0</v>
      </c>
      <c r="AA44" s="207"/>
      <c r="AB44" s="206"/>
      <c r="AC44" s="210"/>
      <c r="AD44" s="211">
        <v>0.15</v>
      </c>
      <c r="AE44" s="249">
        <v>0.8</v>
      </c>
      <c r="AF44" s="190"/>
      <c r="AG44" s="191"/>
      <c r="AH44" s="191"/>
      <c r="AI44" s="191"/>
      <c r="AJ44" s="191"/>
      <c r="AK44" s="191"/>
      <c r="AL44" s="191" t="str">
        <f>"     " &amp; TEXT(AE44,"#0.00%") &amp; " " &amp; "레벨 디자인" &amp; " " &amp; IF(P44="","",TEXT(P44,"M/D-")) &amp; IF(Q44="","",TEXT(Q44,"M/D")) &amp; " "</f>
        <v xml:space="preserve">     80.00% 레벨 디자인 1/10-1/20 </v>
      </c>
      <c r="AM44" s="191"/>
      <c r="AN44" s="191"/>
      <c r="AO44" s="191"/>
    </row>
    <row r="45" spans="1:41" ht="12" customHeight="1" outlineLevel="5">
      <c r="A45" s="203"/>
      <c r="B45" s="203" t="s">
        <v>1570</v>
      </c>
      <c r="C45" s="203">
        <v>6</v>
      </c>
      <c r="D45" s="214" t="s">
        <v>1712</v>
      </c>
      <c r="E45" s="204"/>
      <c r="F45" s="204"/>
      <c r="G45" s="204"/>
      <c r="H45" s="204"/>
      <c r="I45" s="204"/>
      <c r="J45" s="204" t="s">
        <v>1669</v>
      </c>
      <c r="K45" s="204"/>
      <c r="L45" s="204"/>
      <c r="M45" s="204"/>
      <c r="N45" s="204"/>
      <c r="O45" s="204"/>
      <c r="P45" s="205">
        <v>44571</v>
      </c>
      <c r="Q45" s="205">
        <v>44581</v>
      </c>
      <c r="R45" s="206"/>
      <c r="S45" s="207">
        <v>20</v>
      </c>
      <c r="T45" s="207">
        <v>3</v>
      </c>
      <c r="U45" s="207">
        <v>9</v>
      </c>
      <c r="V45" s="207">
        <v>1</v>
      </c>
      <c r="W45" s="205"/>
      <c r="X45" s="205"/>
      <c r="Y45" s="208">
        <v>0</v>
      </c>
      <c r="Z45" s="209">
        <v>0</v>
      </c>
      <c r="AA45" s="207"/>
      <c r="AB45" s="206"/>
      <c r="AC45" s="210"/>
      <c r="AD45" s="211">
        <v>0.15</v>
      </c>
      <c r="AE45" s="249">
        <v>0.8</v>
      </c>
      <c r="AF45" s="190"/>
      <c r="AG45" s="191"/>
      <c r="AH45" s="191"/>
      <c r="AI45" s="191"/>
      <c r="AJ45" s="191"/>
      <c r="AK45" s="191"/>
      <c r="AL45" s="191"/>
      <c r="AM45" s="191" t="str">
        <f>"   " &amp; TEXT(AE45,"#0.00%") &amp; " " &amp; "튜토리얼" &amp; " " &amp; IF(P45="","",TEXT(P45,"M/D-")) &amp; IF(Q45="","",TEXT(Q45,"M/D")) &amp; " "</f>
        <v xml:space="preserve">   80.00% 튜토리얼 1/10-1/20 </v>
      </c>
      <c r="AN45" s="191"/>
      <c r="AO45" s="191"/>
    </row>
    <row r="46" spans="1:41" ht="12" customHeight="1" outlineLevel="6">
      <c r="A46" s="203"/>
      <c r="B46" s="203"/>
      <c r="C46" s="203">
        <v>7</v>
      </c>
      <c r="D46" s="214" t="s">
        <v>1713</v>
      </c>
      <c r="E46" s="204"/>
      <c r="F46" s="204"/>
      <c r="G46" s="204"/>
      <c r="H46" s="204"/>
      <c r="I46" s="204"/>
      <c r="J46" s="204"/>
      <c r="K46" s="204" t="s">
        <v>1670</v>
      </c>
      <c r="L46" s="204"/>
      <c r="M46" s="204"/>
      <c r="N46" s="204"/>
      <c r="O46" s="204"/>
      <c r="P46" s="205">
        <v>44571</v>
      </c>
      <c r="Q46" s="205">
        <v>44576</v>
      </c>
      <c r="R46" s="206"/>
      <c r="S46" s="207">
        <v>5</v>
      </c>
      <c r="T46" s="207">
        <v>1</v>
      </c>
      <c r="U46" s="207">
        <v>5</v>
      </c>
      <c r="V46" s="207">
        <v>1</v>
      </c>
      <c r="W46" s="205"/>
      <c r="X46" s="205"/>
      <c r="Y46" s="208"/>
      <c r="Z46" s="209">
        <v>0</v>
      </c>
      <c r="AA46" s="207"/>
      <c r="AB46" s="206" t="s">
        <v>1603</v>
      </c>
      <c r="AC46" s="210"/>
      <c r="AD46" s="211">
        <v>0.2</v>
      </c>
      <c r="AE46" s="248">
        <v>1</v>
      </c>
      <c r="AF46" s="190"/>
      <c r="AG46" s="191"/>
      <c r="AH46" s="191"/>
      <c r="AI46" s="191"/>
      <c r="AJ46" s="191"/>
      <c r="AK46" s="191"/>
      <c r="AL46" s="191"/>
      <c r="AM46" s="191" t="str">
        <f>"" &amp; TEXT(AE46,"#0.00%") &amp; " " &amp; "튜토리얼 레벨 디자인" &amp; "(황민재)" &amp; " " &amp; IF(P46="","",TEXT(P46,"M/D-")) &amp; IF(Q46="","",TEXT(Q46,"M/D")) &amp; " "</f>
        <v xml:space="preserve">100.00% 튜토리얼 레벨 디자인(황민재) 1/10-1/15 </v>
      </c>
      <c r="AN46" s="191"/>
      <c r="AO46" s="191"/>
    </row>
    <row r="47" spans="1:41" ht="12" customHeight="1" outlineLevel="6">
      <c r="A47" s="203"/>
      <c r="B47" s="203"/>
      <c r="C47" s="203">
        <v>7</v>
      </c>
      <c r="D47" s="214" t="s">
        <v>1714</v>
      </c>
      <c r="E47" s="204"/>
      <c r="F47" s="204"/>
      <c r="G47" s="204"/>
      <c r="H47" s="204"/>
      <c r="I47" s="204"/>
      <c r="J47" s="204"/>
      <c r="K47" s="204" t="s">
        <v>1671</v>
      </c>
      <c r="L47" s="204"/>
      <c r="M47" s="204"/>
      <c r="N47" s="204"/>
      <c r="O47" s="204"/>
      <c r="P47" s="205">
        <v>44571</v>
      </c>
      <c r="Q47" s="205">
        <v>44577</v>
      </c>
      <c r="R47" s="206"/>
      <c r="S47" s="207">
        <v>5</v>
      </c>
      <c r="T47" s="207">
        <v>1</v>
      </c>
      <c r="U47" s="207">
        <v>5</v>
      </c>
      <c r="V47" s="207">
        <v>1</v>
      </c>
      <c r="W47" s="205"/>
      <c r="X47" s="205"/>
      <c r="Y47" s="208"/>
      <c r="Z47" s="209">
        <v>0</v>
      </c>
      <c r="AA47" s="207"/>
      <c r="AB47" s="206" t="s">
        <v>1603</v>
      </c>
      <c r="AC47" s="210"/>
      <c r="AD47" s="211">
        <v>0.2</v>
      </c>
      <c r="AE47" s="248">
        <v>1</v>
      </c>
      <c r="AF47" s="190"/>
      <c r="AG47" s="191"/>
      <c r="AH47" s="191"/>
      <c r="AI47" s="191"/>
      <c r="AJ47" s="191"/>
      <c r="AK47" s="191"/>
      <c r="AL47" s="191"/>
      <c r="AM47" s="191" t="str">
        <f>" " &amp; TEXT(AE47,"#0.00%") &amp; " " &amp; "튜토리얼 사물 배치" &amp; "(황민재)" &amp; " " &amp; IF(P47="","",TEXT(P47,"M/D-")) &amp; IF(Q47="","",TEXT(Q47,"M/D")) &amp; " "</f>
        <v xml:space="preserve"> 100.00% 튜토리얼 사물 배치(황민재) 1/10-1/16 </v>
      </c>
      <c r="AN47" s="191"/>
      <c r="AO47" s="191"/>
    </row>
    <row r="48" spans="1:41" ht="12" customHeight="1" outlineLevel="6">
      <c r="A48" s="203"/>
      <c r="B48" s="203"/>
      <c r="C48" s="203">
        <v>7</v>
      </c>
      <c r="D48" s="214" t="s">
        <v>1715</v>
      </c>
      <c r="E48" s="204"/>
      <c r="F48" s="204"/>
      <c r="G48" s="204"/>
      <c r="H48" s="204"/>
      <c r="I48" s="204"/>
      <c r="J48" s="204"/>
      <c r="K48" s="204" t="s">
        <v>1672</v>
      </c>
      <c r="L48" s="204"/>
      <c r="M48" s="204"/>
      <c r="N48" s="204"/>
      <c r="O48" s="204"/>
      <c r="P48" s="205">
        <v>44571</v>
      </c>
      <c r="Q48" s="205">
        <v>44578</v>
      </c>
      <c r="R48" s="206"/>
      <c r="S48" s="207">
        <v>6</v>
      </c>
      <c r="T48" s="207">
        <v>1</v>
      </c>
      <c r="U48" s="207">
        <v>6</v>
      </c>
      <c r="V48" s="207">
        <v>1</v>
      </c>
      <c r="W48" s="205"/>
      <c r="X48" s="205"/>
      <c r="Y48" s="208"/>
      <c r="Z48" s="209">
        <v>0</v>
      </c>
      <c r="AA48" s="207"/>
      <c r="AB48" s="206" t="s">
        <v>1603</v>
      </c>
      <c r="AC48" s="210"/>
      <c r="AD48" s="211">
        <v>0.16666666666666666</v>
      </c>
      <c r="AE48" s="248">
        <v>1</v>
      </c>
      <c r="AF48" s="190"/>
      <c r="AG48" s="191"/>
      <c r="AH48" s="191"/>
      <c r="AI48" s="191"/>
      <c r="AJ48" s="191"/>
      <c r="AK48" s="191"/>
      <c r="AL48" s="191"/>
      <c r="AM48" s="191" t="str">
        <f>"  " &amp; TEXT(AE48,"#0.00%") &amp; " " &amp; "튜토리얼 퍼즐 배치" &amp; "(황민재)" &amp; " " &amp; IF(P48="","",TEXT(P48,"M/D-")) &amp; IF(Q48="","",TEXT(Q48,"M/D")) &amp; " "</f>
        <v xml:space="preserve">  100.00% 튜토리얼 퍼즐 배치(황민재) 1/10-1/17 </v>
      </c>
      <c r="AN48" s="191"/>
      <c r="AO48" s="191"/>
    </row>
    <row r="49" spans="1:41" ht="12" customHeight="1" outlineLevel="6">
      <c r="A49" s="203"/>
      <c r="B49" s="203"/>
      <c r="C49" s="203">
        <v>7</v>
      </c>
      <c r="D49" s="214" t="s">
        <v>1716</v>
      </c>
      <c r="E49" s="204"/>
      <c r="F49" s="204"/>
      <c r="G49" s="204"/>
      <c r="H49" s="204"/>
      <c r="I49" s="204"/>
      <c r="J49" s="204"/>
      <c r="K49" s="204" t="s">
        <v>1673</v>
      </c>
      <c r="L49" s="204"/>
      <c r="M49" s="204"/>
      <c r="N49" s="204"/>
      <c r="O49" s="204"/>
      <c r="P49" s="205">
        <v>44578</v>
      </c>
      <c r="Q49" s="205">
        <v>44581</v>
      </c>
      <c r="R49" s="206"/>
      <c r="S49" s="207">
        <v>4</v>
      </c>
      <c r="T49" s="207">
        <v>0</v>
      </c>
      <c r="U49" s="207">
        <v>4</v>
      </c>
      <c r="V49" s="207">
        <v>0</v>
      </c>
      <c r="W49" s="205"/>
      <c r="X49" s="205"/>
      <c r="Y49" s="208"/>
      <c r="Z49" s="209">
        <v>0</v>
      </c>
      <c r="AA49" s="207"/>
      <c r="AB49" s="206" t="s">
        <v>1603</v>
      </c>
      <c r="AC49" s="210"/>
      <c r="AD49" s="211">
        <v>0</v>
      </c>
      <c r="AE49" s="213">
        <v>0</v>
      </c>
      <c r="AF49" s="190"/>
      <c r="AG49" s="191"/>
      <c r="AH49" s="191"/>
      <c r="AI49" s="191"/>
      <c r="AJ49" s="191"/>
      <c r="AK49" s="191"/>
      <c r="AL49" s="191"/>
      <c r="AM49" s="191" t="str">
        <f>" " &amp; TEXT(AE49,"#0.00%") &amp; " " &amp; "튜토리얼 수집물 배치" &amp; "(황민재)" &amp; " " &amp; IF(P49="","",TEXT(P49,"M/D-")) &amp; IF(Q49="","",TEXT(Q49,"M/D")) &amp; " "</f>
        <v xml:space="preserve"> 0.00% 튜토리얼 수집물 배치(황민재) 1/17-1/20 </v>
      </c>
      <c r="AN49" s="191"/>
      <c r="AO49" s="191"/>
    </row>
    <row r="50" spans="1:41" ht="12" customHeight="1" outlineLevel="5">
      <c r="A50" s="203" t="s">
        <v>1641</v>
      </c>
      <c r="B50" s="203" t="s">
        <v>1570</v>
      </c>
      <c r="C50" s="203">
        <v>6</v>
      </c>
      <c r="D50" s="214" t="s">
        <v>1717</v>
      </c>
      <c r="E50" s="204"/>
      <c r="F50" s="204"/>
      <c r="G50" s="204"/>
      <c r="H50" s="204"/>
      <c r="I50" s="204"/>
      <c r="J50" s="204" t="s">
        <v>1642</v>
      </c>
      <c r="K50" s="204"/>
      <c r="L50" s="204"/>
      <c r="M50" s="204"/>
      <c r="N50" s="204"/>
      <c r="O50" s="204"/>
      <c r="P50" s="205"/>
      <c r="Q50" s="205"/>
      <c r="R50" s="206"/>
      <c r="S50" s="207">
        <v>0</v>
      </c>
      <c r="T50" s="207">
        <v>0</v>
      </c>
      <c r="U50" s="207">
        <v>0</v>
      </c>
      <c r="V50" s="207">
        <v>0</v>
      </c>
      <c r="W50" s="205"/>
      <c r="X50" s="205"/>
      <c r="Y50" s="208">
        <v>0</v>
      </c>
      <c r="Z50" s="209">
        <v>0</v>
      </c>
      <c r="AA50" s="207"/>
      <c r="AB50" s="206"/>
      <c r="AC50" s="210"/>
      <c r="AD50" s="211">
        <v>0</v>
      </c>
      <c r="AE50" s="216">
        <v>0</v>
      </c>
      <c r="AF50" s="190"/>
      <c r="AG50" s="191"/>
      <c r="AH50" s="191"/>
      <c r="AI50" s="191"/>
      <c r="AJ50" s="191"/>
      <c r="AK50" s="191"/>
      <c r="AL50" s="191"/>
      <c r="AM50" s="191"/>
      <c r="AN50" s="191"/>
      <c r="AO50" s="191"/>
    </row>
    <row r="51" spans="1:41" ht="12" customHeight="1" outlineLevel="6">
      <c r="A51" s="203"/>
      <c r="B51" s="203"/>
      <c r="C51" s="203">
        <v>7</v>
      </c>
      <c r="D51" s="214" t="s">
        <v>1718</v>
      </c>
      <c r="E51" s="204"/>
      <c r="F51" s="204"/>
      <c r="G51" s="204"/>
      <c r="H51" s="204"/>
      <c r="I51" s="204"/>
      <c r="J51" s="204"/>
      <c r="K51" s="204" t="s">
        <v>1593</v>
      </c>
      <c r="L51" s="204"/>
      <c r="M51" s="204"/>
      <c r="N51" s="204"/>
      <c r="O51" s="204"/>
      <c r="P51" s="205"/>
      <c r="Q51" s="205"/>
      <c r="R51" s="206"/>
      <c r="S51" s="207">
        <v>0</v>
      </c>
      <c r="T51" s="207">
        <v>0</v>
      </c>
      <c r="U51" s="207">
        <v>0</v>
      </c>
      <c r="V51" s="207">
        <v>0</v>
      </c>
      <c r="W51" s="205"/>
      <c r="X51" s="205"/>
      <c r="Y51" s="208">
        <v>0</v>
      </c>
      <c r="Z51" s="209">
        <v>0</v>
      </c>
      <c r="AA51" s="207"/>
      <c r="AB51" s="206" t="s">
        <v>1603</v>
      </c>
      <c r="AC51" s="210"/>
      <c r="AD51" s="211">
        <v>0</v>
      </c>
      <c r="AE51" s="216">
        <v>0</v>
      </c>
      <c r="AF51" s="190"/>
      <c r="AG51" s="191"/>
      <c r="AH51" s="191"/>
      <c r="AI51" s="191"/>
      <c r="AJ51" s="191"/>
      <c r="AK51" s="191"/>
      <c r="AL51" s="191"/>
      <c r="AM51" s="191"/>
      <c r="AN51" s="191"/>
      <c r="AO51" s="191"/>
    </row>
    <row r="52" spans="1:41" ht="12" customHeight="1" outlineLevel="6">
      <c r="A52" s="203"/>
      <c r="B52" s="203"/>
      <c r="C52" s="203">
        <v>7</v>
      </c>
      <c r="D52" s="214" t="s">
        <v>1719</v>
      </c>
      <c r="E52" s="204"/>
      <c r="F52" s="204"/>
      <c r="G52" s="204"/>
      <c r="H52" s="204"/>
      <c r="I52" s="204"/>
      <c r="J52" s="204"/>
      <c r="K52" s="204" t="s">
        <v>1592</v>
      </c>
      <c r="L52" s="204"/>
      <c r="M52" s="204"/>
      <c r="N52" s="204"/>
      <c r="O52" s="204"/>
      <c r="P52" s="205"/>
      <c r="Q52" s="205"/>
      <c r="R52" s="206"/>
      <c r="S52" s="207">
        <v>0</v>
      </c>
      <c r="T52" s="207">
        <v>0</v>
      </c>
      <c r="U52" s="207">
        <v>0</v>
      </c>
      <c r="V52" s="207">
        <v>0</v>
      </c>
      <c r="W52" s="205"/>
      <c r="X52" s="205"/>
      <c r="Y52" s="208">
        <v>0</v>
      </c>
      <c r="Z52" s="209">
        <v>0</v>
      </c>
      <c r="AA52" s="207"/>
      <c r="AB52" s="206" t="s">
        <v>1603</v>
      </c>
      <c r="AC52" s="210"/>
      <c r="AD52" s="211">
        <v>0</v>
      </c>
      <c r="AE52" s="216">
        <v>0</v>
      </c>
      <c r="AF52" s="190"/>
      <c r="AG52" s="191"/>
      <c r="AH52" s="191"/>
      <c r="AI52" s="191"/>
      <c r="AJ52" s="191"/>
      <c r="AK52" s="191"/>
      <c r="AL52" s="191"/>
      <c r="AM52" s="191"/>
      <c r="AN52" s="191"/>
      <c r="AO52" s="191"/>
    </row>
    <row r="53" spans="1:41" ht="12" customHeight="1" outlineLevel="6">
      <c r="A53" s="203"/>
      <c r="B53" s="203"/>
      <c r="C53" s="203">
        <v>7</v>
      </c>
      <c r="D53" s="214" t="s">
        <v>1720</v>
      </c>
      <c r="E53" s="204"/>
      <c r="F53" s="204"/>
      <c r="G53" s="204"/>
      <c r="H53" s="204"/>
      <c r="I53" s="204"/>
      <c r="J53" s="204"/>
      <c r="K53" s="204" t="s">
        <v>1594</v>
      </c>
      <c r="L53" s="204"/>
      <c r="M53" s="204"/>
      <c r="N53" s="204"/>
      <c r="O53" s="204"/>
      <c r="P53" s="205"/>
      <c r="Q53" s="205"/>
      <c r="R53" s="206"/>
      <c r="S53" s="207">
        <v>0</v>
      </c>
      <c r="T53" s="207">
        <v>0</v>
      </c>
      <c r="U53" s="207">
        <v>0</v>
      </c>
      <c r="V53" s="207">
        <v>0</v>
      </c>
      <c r="W53" s="205"/>
      <c r="X53" s="205"/>
      <c r="Y53" s="208">
        <v>0</v>
      </c>
      <c r="Z53" s="209">
        <v>0</v>
      </c>
      <c r="AA53" s="207"/>
      <c r="AB53" s="206" t="s">
        <v>1603</v>
      </c>
      <c r="AC53" s="210"/>
      <c r="AD53" s="211">
        <v>0</v>
      </c>
      <c r="AE53" s="216">
        <v>0</v>
      </c>
      <c r="AF53" s="190"/>
      <c r="AG53" s="191"/>
      <c r="AH53" s="191"/>
      <c r="AI53" s="191"/>
      <c r="AJ53" s="191"/>
      <c r="AK53" s="191"/>
      <c r="AL53" s="191"/>
      <c r="AM53" s="191"/>
      <c r="AN53" s="191"/>
      <c r="AO53" s="191"/>
    </row>
    <row r="54" spans="1:41" ht="12" customHeight="1" outlineLevel="6">
      <c r="A54" s="203"/>
      <c r="B54" s="203"/>
      <c r="C54" s="203">
        <v>7</v>
      </c>
      <c r="D54" s="214" t="s">
        <v>1721</v>
      </c>
      <c r="E54" s="204"/>
      <c r="F54" s="204"/>
      <c r="G54" s="204"/>
      <c r="H54" s="204"/>
      <c r="I54" s="204"/>
      <c r="J54" s="204"/>
      <c r="K54" s="204" t="s">
        <v>1595</v>
      </c>
      <c r="L54" s="204"/>
      <c r="M54" s="204"/>
      <c r="N54" s="204"/>
      <c r="O54" s="204"/>
      <c r="P54" s="205"/>
      <c r="Q54" s="205"/>
      <c r="R54" s="206"/>
      <c r="S54" s="207">
        <v>0</v>
      </c>
      <c r="T54" s="207">
        <v>0</v>
      </c>
      <c r="U54" s="207">
        <v>0</v>
      </c>
      <c r="V54" s="207">
        <v>0</v>
      </c>
      <c r="W54" s="205">
        <v>44190</v>
      </c>
      <c r="X54" s="205">
        <v>44208</v>
      </c>
      <c r="Y54" s="208">
        <v>0</v>
      </c>
      <c r="Z54" s="209">
        <v>11</v>
      </c>
      <c r="AA54" s="207">
        <v>1</v>
      </c>
      <c r="AB54" s="206" t="s">
        <v>1603</v>
      </c>
      <c r="AC54" s="210"/>
      <c r="AD54" s="211">
        <v>0</v>
      </c>
      <c r="AE54" s="216">
        <v>0</v>
      </c>
      <c r="AF54" s="190"/>
      <c r="AG54" s="191"/>
      <c r="AH54" s="191"/>
      <c r="AI54" s="191"/>
      <c r="AJ54" s="191"/>
      <c r="AK54" s="191"/>
      <c r="AL54" s="191"/>
      <c r="AM54" s="191"/>
      <c r="AN54" s="191"/>
      <c r="AO54" s="191"/>
    </row>
    <row r="55" spans="1:41" ht="12" customHeight="1" outlineLevel="4">
      <c r="A55" s="203"/>
      <c r="B55" s="203" t="s">
        <v>1570</v>
      </c>
      <c r="C55" s="203">
        <v>5</v>
      </c>
      <c r="D55" s="214" t="s">
        <v>1722</v>
      </c>
      <c r="E55" s="204"/>
      <c r="F55" s="204"/>
      <c r="G55" s="204"/>
      <c r="H55" s="204"/>
      <c r="I55" s="204" t="s">
        <v>1629</v>
      </c>
      <c r="J55" s="204"/>
      <c r="K55" s="204"/>
      <c r="L55" s="204"/>
      <c r="M55" s="204"/>
      <c r="N55" s="204"/>
      <c r="O55" s="204"/>
      <c r="P55" s="205">
        <v>44552</v>
      </c>
      <c r="Q55" s="205">
        <v>44571</v>
      </c>
      <c r="R55" s="206"/>
      <c r="S55" s="207">
        <v>14</v>
      </c>
      <c r="T55" s="207">
        <v>14</v>
      </c>
      <c r="U55" s="207">
        <v>14</v>
      </c>
      <c r="V55" s="207">
        <v>14</v>
      </c>
      <c r="W55" s="205"/>
      <c r="X55" s="205"/>
      <c r="Y55" s="208">
        <v>0</v>
      </c>
      <c r="Z55" s="209">
        <v>0</v>
      </c>
      <c r="AA55" s="207"/>
      <c r="AB55" s="206"/>
      <c r="AC55" s="210"/>
      <c r="AD55" s="211">
        <v>1</v>
      </c>
      <c r="AE55" s="247">
        <v>1</v>
      </c>
      <c r="AF55" s="190"/>
      <c r="AG55" s="191"/>
      <c r="AH55" s="191"/>
      <c r="AI55" s="191"/>
      <c r="AJ55" s="191"/>
      <c r="AK55" s="191"/>
      <c r="AL55" s="191" t="str">
        <f>"  " &amp; TEXT(AE55,"#0.00%") &amp; " " &amp; "게임 콘텐츠 기획" &amp; " " &amp; IF(P55="","",TEXT(P55,"M/D-")) &amp; IF(Q55="","",TEXT(Q55,"M/D")) &amp; " "</f>
        <v xml:space="preserve">  100.00% 게임 콘텐츠 기획 12/22-1/10 </v>
      </c>
      <c r="AM55" s="191"/>
      <c r="AN55" s="191"/>
      <c r="AO55" s="191"/>
    </row>
    <row r="56" spans="1:41" ht="12" customHeight="1" outlineLevel="5">
      <c r="A56" s="203"/>
      <c r="B56" s="203"/>
      <c r="C56" s="203">
        <v>6</v>
      </c>
      <c r="D56" s="214" t="s">
        <v>1723</v>
      </c>
      <c r="E56" s="204"/>
      <c r="F56" s="204"/>
      <c r="G56" s="204"/>
      <c r="H56" s="204"/>
      <c r="I56" s="204"/>
      <c r="J56" s="204" t="s">
        <v>1640</v>
      </c>
      <c r="K56" s="204"/>
      <c r="L56" s="204"/>
      <c r="M56" s="204"/>
      <c r="N56" s="204"/>
      <c r="O56" s="204"/>
      <c r="P56" s="205">
        <v>44552</v>
      </c>
      <c r="Q56" s="205">
        <v>44571</v>
      </c>
      <c r="R56" s="206"/>
      <c r="S56" s="207">
        <v>14</v>
      </c>
      <c r="T56" s="207">
        <v>14</v>
      </c>
      <c r="U56" s="207">
        <v>14</v>
      </c>
      <c r="V56" s="207">
        <v>14</v>
      </c>
      <c r="W56" s="205"/>
      <c r="X56" s="205"/>
      <c r="Y56" s="208"/>
      <c r="Z56" s="209">
        <v>0</v>
      </c>
      <c r="AA56" s="207"/>
      <c r="AB56" s="206" t="s">
        <v>1630</v>
      </c>
      <c r="AC56" s="210"/>
      <c r="AD56" s="211">
        <v>1</v>
      </c>
      <c r="AE56" s="213">
        <v>1</v>
      </c>
      <c r="AF56" s="190"/>
      <c r="AG56" s="191"/>
      <c r="AH56" s="191"/>
      <c r="AI56" s="191"/>
      <c r="AJ56" s="191"/>
      <c r="AK56" s="191"/>
      <c r="AL56" s="191" t="str">
        <f>"  " &amp; TEXT(AE56,"#0.00%") &amp; " " &amp; "챕터별 퍼즐 형태 기획" &amp; "(회의)" &amp; " " &amp; IF(P56="","",TEXT(P56,"M/D-")) &amp; IF(Q56="","",TEXT(Q56,"M/D")) &amp; " "</f>
        <v xml:space="preserve">  100.00% 챕터별 퍼즐 형태 기획(회의) 12/22-1/10 </v>
      </c>
      <c r="AM56" s="191"/>
      <c r="AN56" s="191"/>
      <c r="AO56" s="191"/>
    </row>
    <row r="57" spans="1:41" ht="12" customHeight="1" outlineLevel="3">
      <c r="A57" s="203"/>
      <c r="B57" s="203" t="s">
        <v>1570</v>
      </c>
      <c r="C57" s="203">
        <v>4</v>
      </c>
      <c r="D57" s="214" t="s">
        <v>1599</v>
      </c>
      <c r="E57" s="204"/>
      <c r="F57" s="204"/>
      <c r="G57" s="204"/>
      <c r="H57" s="204" t="s">
        <v>1724</v>
      </c>
      <c r="I57" s="204"/>
      <c r="J57" s="204"/>
      <c r="K57" s="204"/>
      <c r="L57" s="204"/>
      <c r="M57" s="204"/>
      <c r="N57" s="204"/>
      <c r="O57" s="204"/>
      <c r="P57" s="205">
        <v>44568</v>
      </c>
      <c r="Q57" s="205">
        <v>44571</v>
      </c>
      <c r="R57" s="206"/>
      <c r="S57" s="207">
        <v>2</v>
      </c>
      <c r="T57" s="207">
        <v>2</v>
      </c>
      <c r="U57" s="207">
        <v>2</v>
      </c>
      <c r="V57" s="207">
        <v>2</v>
      </c>
      <c r="W57" s="205"/>
      <c r="X57" s="205"/>
      <c r="Y57" s="208">
        <v>0</v>
      </c>
      <c r="Z57" s="209">
        <v>0</v>
      </c>
      <c r="AA57" s="207"/>
      <c r="AB57" s="206"/>
      <c r="AC57" s="210"/>
      <c r="AD57" s="211">
        <v>1</v>
      </c>
      <c r="AE57" s="251">
        <v>0.95</v>
      </c>
      <c r="AF57" s="190"/>
      <c r="AG57" s="191"/>
      <c r="AH57" s="191"/>
      <c r="AI57" s="191"/>
      <c r="AJ57" s="191"/>
      <c r="AK57" s="191"/>
      <c r="AL57" s="191" t="str">
        <f>"  " &amp; TEXT(AE57,"#0.00%") &amp; " " &amp; "기획서 작성" &amp; " " &amp; IF(P57="","",TEXT(P57,"M/D-")) &amp; IF(Q57="","",TEXT(Q57,"M/D")) &amp; " "</f>
        <v xml:space="preserve">  95.00% 기획서 작성 1/7-1/10 </v>
      </c>
      <c r="AM57" s="191"/>
      <c r="AN57" s="191"/>
      <c r="AO57" s="191"/>
    </row>
    <row r="58" spans="1:41" ht="12" customHeight="1" outlineLevel="4">
      <c r="A58" s="203"/>
      <c r="B58" s="203"/>
      <c r="C58" s="203">
        <v>5</v>
      </c>
      <c r="D58" s="214" t="s">
        <v>1600</v>
      </c>
      <c r="E58" s="204"/>
      <c r="F58" s="204"/>
      <c r="G58" s="204"/>
      <c r="H58" s="204"/>
      <c r="I58" s="204" t="s">
        <v>1725</v>
      </c>
      <c r="J58" s="204"/>
      <c r="K58" s="204"/>
      <c r="L58" s="204"/>
      <c r="M58" s="204"/>
      <c r="N58" s="204"/>
      <c r="O58" s="204"/>
      <c r="P58" s="205">
        <v>44568</v>
      </c>
      <c r="Q58" s="205">
        <v>44571</v>
      </c>
      <c r="R58" s="206"/>
      <c r="S58" s="207">
        <v>2</v>
      </c>
      <c r="T58" s="207">
        <v>2</v>
      </c>
      <c r="U58" s="207">
        <v>2</v>
      </c>
      <c r="V58" s="207">
        <v>2</v>
      </c>
      <c r="W58" s="205"/>
      <c r="X58" s="205"/>
      <c r="Y58" s="208"/>
      <c r="Z58" s="209">
        <v>0</v>
      </c>
      <c r="AA58" s="207"/>
      <c r="AB58" s="206" t="s">
        <v>1579</v>
      </c>
      <c r="AC58" s="210"/>
      <c r="AD58" s="211">
        <v>1</v>
      </c>
      <c r="AE58" s="250">
        <v>0.95</v>
      </c>
      <c r="AF58" s="190"/>
      <c r="AG58" s="191"/>
      <c r="AH58" s="191"/>
      <c r="AI58" s="191"/>
      <c r="AJ58" s="191"/>
      <c r="AK58" s="191"/>
      <c r="AL58" s="191" t="str">
        <f>"  " &amp; TEXT(AE58,"#0.00%") &amp; " " &amp; "전체 게임의 기획서 작성" &amp; "(권성빈)" &amp; " " &amp; IF(P58="","",TEXT(P58,"M/D-")) &amp; IF(Q58="","",TEXT(Q58,"M/D")) &amp; " "</f>
        <v xml:space="preserve">  95.00% 전체 게임의 기획서 작성(권성빈) 1/7-1/10 </v>
      </c>
      <c r="AM58" s="191"/>
      <c r="AN58" s="191"/>
      <c r="AO58" s="191"/>
    </row>
    <row r="59" spans="1:41" ht="12" customHeight="1" outlineLevel="1">
      <c r="A59" s="203"/>
      <c r="B59" s="203" t="s">
        <v>1570</v>
      </c>
      <c r="C59" s="203">
        <v>2</v>
      </c>
      <c r="D59" s="214" t="s">
        <v>1086</v>
      </c>
      <c r="E59" s="204"/>
      <c r="F59" s="204" t="s">
        <v>1605</v>
      </c>
      <c r="G59" s="204"/>
      <c r="H59" s="204"/>
      <c r="I59" s="204"/>
      <c r="J59" s="204"/>
      <c r="K59" s="204"/>
      <c r="L59" s="204"/>
      <c r="M59" s="204"/>
      <c r="N59" s="204"/>
      <c r="O59" s="204"/>
      <c r="P59" s="205">
        <v>44558</v>
      </c>
      <c r="Q59" s="205">
        <v>44586</v>
      </c>
      <c r="R59" s="206"/>
      <c r="S59" s="207">
        <v>72</v>
      </c>
      <c r="T59" s="207">
        <v>32</v>
      </c>
      <c r="U59" s="207">
        <v>21</v>
      </c>
      <c r="V59" s="207">
        <v>10</v>
      </c>
      <c r="W59" s="205"/>
      <c r="X59" s="205"/>
      <c r="Y59" s="208">
        <v>0</v>
      </c>
      <c r="Z59" s="209">
        <v>0</v>
      </c>
      <c r="AA59" s="207"/>
      <c r="AB59" s="206"/>
      <c r="AC59" s="210"/>
      <c r="AD59" s="211">
        <v>0.44444444444444442</v>
      </c>
      <c r="AE59" s="251">
        <v>0.38361111111111107</v>
      </c>
      <c r="AF59" s="190"/>
      <c r="AG59" s="191"/>
      <c r="AH59" s="191"/>
      <c r="AI59" s="191"/>
      <c r="AJ59" s="191"/>
      <c r="AK59" s="191" t="str">
        <f>"      " &amp; TEXT(AE59,"#0.00%") &amp; " " &amp; "아트 관련" &amp; " " &amp; IF(P59="","",TEXT(P59,"M/D-")) &amp; IF(Q59="","",TEXT(Q59,"M/D")) &amp; " "</f>
        <v xml:space="preserve">      38.36% 아트 관련 12/28-1/25 </v>
      </c>
      <c r="AL59" s="191"/>
      <c r="AM59" s="191"/>
      <c r="AN59" s="191"/>
      <c r="AO59" s="191"/>
    </row>
    <row r="60" spans="1:41" ht="12" customHeight="1" outlineLevel="2">
      <c r="A60" s="203"/>
      <c r="B60" s="203" t="s">
        <v>1570</v>
      </c>
      <c r="C60" s="203">
        <v>3</v>
      </c>
      <c r="D60" s="214" t="s">
        <v>1087</v>
      </c>
      <c r="E60" s="204"/>
      <c r="F60" s="204"/>
      <c r="G60" s="204" t="s">
        <v>1606</v>
      </c>
      <c r="H60" s="204"/>
      <c r="I60" s="204"/>
      <c r="J60" s="204"/>
      <c r="K60" s="204"/>
      <c r="L60" s="204"/>
      <c r="M60" s="204"/>
      <c r="N60" s="204"/>
      <c r="O60" s="204"/>
      <c r="P60" s="205">
        <v>44558</v>
      </c>
      <c r="Q60" s="205">
        <v>44585</v>
      </c>
      <c r="R60" s="206"/>
      <c r="S60" s="207">
        <v>39</v>
      </c>
      <c r="T60" s="207">
        <v>20</v>
      </c>
      <c r="U60" s="207">
        <v>20</v>
      </c>
      <c r="V60" s="207">
        <v>10</v>
      </c>
      <c r="W60" s="205"/>
      <c r="X60" s="205"/>
      <c r="Y60" s="208">
        <v>0</v>
      </c>
      <c r="Z60" s="209">
        <v>0</v>
      </c>
      <c r="AA60" s="207"/>
      <c r="AB60" s="206"/>
      <c r="AC60" s="210"/>
      <c r="AD60" s="211">
        <v>0.51282051282051277</v>
      </c>
      <c r="AE60" s="251">
        <v>0.16461538461538461</v>
      </c>
      <c r="AF60" s="190"/>
      <c r="AG60" s="191"/>
      <c r="AH60" s="191"/>
      <c r="AI60" s="191"/>
      <c r="AJ60" s="191"/>
      <c r="AK60" s="191" t="str">
        <f>"" &amp; TEXT(AE60,"#0.00%") &amp; " "</f>
        <v xml:space="preserve">16.46% </v>
      </c>
      <c r="AL60" s="191"/>
      <c r="AM60" s="191"/>
      <c r="AN60" s="191" t="str">
        <f>"  " &amp; "3D 모델 작업" &amp; " " &amp; IF(P60="","",TEXT(P60,"M/D-")) &amp; IF(Q60="","",TEXT(Q60,"M/D")) &amp; " "</f>
        <v xml:space="preserve">  3D 모델 작업 12/28-1/24 </v>
      </c>
      <c r="AO60" s="191"/>
    </row>
    <row r="61" spans="1:41" ht="12" customHeight="1" outlineLevel="3">
      <c r="A61" s="203"/>
      <c r="B61" s="203" t="s">
        <v>1570</v>
      </c>
      <c r="C61" s="203">
        <v>4</v>
      </c>
      <c r="D61" s="214" t="s">
        <v>1609</v>
      </c>
      <c r="E61" s="204"/>
      <c r="F61" s="204"/>
      <c r="G61" s="204"/>
      <c r="H61" s="204" t="s">
        <v>1608</v>
      </c>
      <c r="I61" s="204"/>
      <c r="J61" s="204"/>
      <c r="K61" s="204"/>
      <c r="L61" s="204"/>
      <c r="M61" s="204"/>
      <c r="N61" s="204"/>
      <c r="O61" s="204"/>
      <c r="P61" s="205">
        <v>44558</v>
      </c>
      <c r="Q61" s="205">
        <v>44585</v>
      </c>
      <c r="R61" s="206"/>
      <c r="S61" s="207">
        <v>39</v>
      </c>
      <c r="T61" s="207">
        <v>20</v>
      </c>
      <c r="U61" s="207">
        <v>20</v>
      </c>
      <c r="V61" s="207">
        <v>10</v>
      </c>
      <c r="W61" s="205"/>
      <c r="X61" s="205"/>
      <c r="Y61" s="208">
        <v>0</v>
      </c>
      <c r="Z61" s="209">
        <v>0</v>
      </c>
      <c r="AA61" s="207"/>
      <c r="AB61" s="206"/>
      <c r="AC61" s="210"/>
      <c r="AD61" s="211">
        <v>0.51282051282051277</v>
      </c>
      <c r="AE61" s="251">
        <v>0.16461538461538461</v>
      </c>
      <c r="AF61" s="190"/>
      <c r="AG61" s="191"/>
      <c r="AH61" s="191"/>
      <c r="AI61" s="191"/>
      <c r="AJ61" s="191"/>
      <c r="AK61" s="191" t="str">
        <f>"" &amp; TEXT(AE61,"#0.00%") &amp; " "</f>
        <v xml:space="preserve">16.46% </v>
      </c>
      <c r="AL61" s="191"/>
      <c r="AM61" s="191"/>
      <c r="AN61" s="191" t="str">
        <f>"  " &amp; "각종 사물들 작업" &amp; " " &amp; IF(P61="","",TEXT(P61,"M/D-")) &amp; IF(Q61="","",TEXT(Q61,"M/D")) &amp; " "</f>
        <v xml:space="preserve">  각종 사물들 작업 12/28-1/24 </v>
      </c>
      <c r="AO61" s="191"/>
    </row>
    <row r="62" spans="1:41" ht="12" customHeight="1" outlineLevel="4">
      <c r="A62" s="203"/>
      <c r="B62" s="203" t="s">
        <v>1570</v>
      </c>
      <c r="C62" s="203">
        <v>5</v>
      </c>
      <c r="D62" s="214" t="s">
        <v>1618</v>
      </c>
      <c r="E62" s="204"/>
      <c r="F62" s="204"/>
      <c r="G62" s="204"/>
      <c r="H62" s="204"/>
      <c r="I62" s="204" t="s">
        <v>1625</v>
      </c>
      <c r="J62" s="204"/>
      <c r="K62" s="204"/>
      <c r="L62" s="204"/>
      <c r="M62" s="204"/>
      <c r="N62" s="204"/>
      <c r="O62" s="204"/>
      <c r="P62" s="205">
        <v>44558</v>
      </c>
      <c r="Q62" s="205">
        <v>44585</v>
      </c>
      <c r="R62" s="206"/>
      <c r="S62" s="207">
        <v>39</v>
      </c>
      <c r="T62" s="207">
        <v>20</v>
      </c>
      <c r="U62" s="207">
        <v>20</v>
      </c>
      <c r="V62" s="207">
        <v>10</v>
      </c>
      <c r="W62" s="205"/>
      <c r="X62" s="205"/>
      <c r="Y62" s="208">
        <v>0</v>
      </c>
      <c r="Z62" s="209">
        <v>0</v>
      </c>
      <c r="AA62" s="207"/>
      <c r="AB62" s="206"/>
      <c r="AC62" s="210"/>
      <c r="AD62" s="211">
        <v>0.51282051282051277</v>
      </c>
      <c r="AE62" s="251">
        <v>0.16461538461538461</v>
      </c>
      <c r="AF62" s="190"/>
      <c r="AG62" s="191"/>
      <c r="AH62" s="191"/>
      <c r="AI62" s="191"/>
      <c r="AJ62" s="191"/>
      <c r="AK62" s="191" t="str">
        <f>"" &amp; TEXT(AE62,"#0.00%") &amp; " "</f>
        <v xml:space="preserve">16.46% </v>
      </c>
      <c r="AL62" s="191"/>
      <c r="AM62" s="191"/>
      <c r="AN62" s="191" t="str">
        <f>"  " &amp; "01. 튜토리얼" &amp; " " &amp; IF(P62="","",TEXT(P62,"M/D-")) &amp; IF(Q62="","",TEXT(Q62,"M/D")) &amp; " "</f>
        <v xml:space="preserve">  01. 튜토리얼 12/28-1/24 </v>
      </c>
      <c r="AO62" s="191"/>
    </row>
    <row r="63" spans="1:41" ht="12" customHeight="1" outlineLevel="5">
      <c r="A63" s="203"/>
      <c r="B63" s="203" t="s">
        <v>1570</v>
      </c>
      <c r="C63" s="203">
        <v>6</v>
      </c>
      <c r="D63" s="214" t="s">
        <v>1622</v>
      </c>
      <c r="E63" s="204"/>
      <c r="F63" s="204"/>
      <c r="G63" s="204"/>
      <c r="H63" s="204"/>
      <c r="I63" s="204"/>
      <c r="J63" s="204" t="s">
        <v>1617</v>
      </c>
      <c r="K63" s="204"/>
      <c r="L63" s="204"/>
      <c r="M63" s="204"/>
      <c r="N63" s="204"/>
      <c r="O63" s="204"/>
      <c r="P63" s="205">
        <v>44558</v>
      </c>
      <c r="Q63" s="205">
        <v>44581</v>
      </c>
      <c r="R63" s="206"/>
      <c r="S63" s="207">
        <v>32</v>
      </c>
      <c r="T63" s="207">
        <v>20</v>
      </c>
      <c r="U63" s="207">
        <v>18</v>
      </c>
      <c r="V63" s="207">
        <v>10</v>
      </c>
      <c r="W63" s="205"/>
      <c r="X63" s="205"/>
      <c r="Y63" s="208">
        <v>0</v>
      </c>
      <c r="Z63" s="209">
        <v>0</v>
      </c>
      <c r="AA63" s="207"/>
      <c r="AB63" s="206"/>
      <c r="AC63" s="210"/>
      <c r="AD63" s="211">
        <v>0.625</v>
      </c>
      <c r="AE63" s="251">
        <v>0.200625</v>
      </c>
      <c r="AF63" s="190"/>
      <c r="AG63" s="191"/>
      <c r="AH63" s="191"/>
      <c r="AI63" s="191"/>
      <c r="AJ63" s="191"/>
      <c r="AK63" s="191" t="str">
        <f>"" &amp; TEXT(AE63,"#0.00%") &amp; " " &amp; "튜토리얼 관련 프롭 제작" &amp; " " &amp; IF(P63="","",TEXT(P63,"M/D-")) &amp; IF(Q63="","",TEXT(Q63,"M/D")) &amp; " "</f>
        <v xml:space="preserve">20.06% 튜토리얼 관련 프롭 제작 12/28-1/20 </v>
      </c>
      <c r="AL63" s="191"/>
      <c r="AM63" s="191"/>
      <c r="AN63" s="191"/>
      <c r="AO63" s="191"/>
    </row>
    <row r="64" spans="1:41" ht="12" customHeight="1" outlineLevel="6">
      <c r="A64" s="203"/>
      <c r="B64" s="203"/>
      <c r="C64" s="203">
        <v>7</v>
      </c>
      <c r="D64" s="214" t="s">
        <v>1644</v>
      </c>
      <c r="E64" s="204"/>
      <c r="F64" s="204"/>
      <c r="G64" s="204"/>
      <c r="H64" s="204"/>
      <c r="I64" s="204"/>
      <c r="J64" s="204"/>
      <c r="K64" s="204" t="s">
        <v>1639</v>
      </c>
      <c r="L64" s="204"/>
      <c r="M64" s="204"/>
      <c r="N64" s="204"/>
      <c r="O64" s="204"/>
      <c r="P64" s="205">
        <v>44558</v>
      </c>
      <c r="Q64" s="205">
        <v>44577</v>
      </c>
      <c r="R64" s="206"/>
      <c r="S64" s="207">
        <v>14</v>
      </c>
      <c r="T64" s="207">
        <v>10</v>
      </c>
      <c r="U64" s="207">
        <v>14</v>
      </c>
      <c r="V64" s="207">
        <v>10</v>
      </c>
      <c r="W64" s="205"/>
      <c r="X64" s="205"/>
      <c r="Y64" s="208"/>
      <c r="Z64" s="209">
        <v>0</v>
      </c>
      <c r="AA64" s="207"/>
      <c r="AB64" s="206" t="s">
        <v>1603</v>
      </c>
      <c r="AC64" s="210"/>
      <c r="AD64" s="211">
        <v>0.7142857142857143</v>
      </c>
      <c r="AE64" s="250">
        <v>0.33</v>
      </c>
      <c r="AF64" s="190"/>
      <c r="AG64" s="191"/>
      <c r="AH64" s="191"/>
      <c r="AI64" s="191"/>
      <c r="AJ64" s="191"/>
      <c r="AK64" s="191" t="str">
        <f>"  " &amp; TEXT(AE64,"#0.00%") &amp; " " &amp; "러시아워 퍼즐 프롭 제작" &amp; "(황민재)" &amp; " " &amp; IF(P64="","",TEXT(P64,"M/D-")) &amp; IF(Q64="","",TEXT(Q64,"M/D")) &amp; " "</f>
        <v xml:space="preserve">  33.00% 러시아워 퍼즐 프롭 제작(황민재) 12/28-1/16 </v>
      </c>
      <c r="AL64" s="191"/>
      <c r="AM64" s="191"/>
      <c r="AN64" s="191"/>
      <c r="AO64" s="191"/>
    </row>
    <row r="65" spans="1:41" ht="12" customHeight="1" outlineLevel="6">
      <c r="A65" s="203"/>
      <c r="B65" s="203"/>
      <c r="C65" s="203">
        <v>7</v>
      </c>
      <c r="D65" s="214" t="s">
        <v>1646</v>
      </c>
      <c r="E65" s="204"/>
      <c r="F65" s="204"/>
      <c r="G65" s="204"/>
      <c r="H65" s="204"/>
      <c r="I65" s="204"/>
      <c r="J65" s="204"/>
      <c r="K65" s="204" t="s">
        <v>1645</v>
      </c>
      <c r="L65" s="204"/>
      <c r="M65" s="204"/>
      <c r="N65" s="204"/>
      <c r="O65" s="204"/>
      <c r="P65" s="205">
        <v>44558</v>
      </c>
      <c r="Q65" s="205">
        <v>44581</v>
      </c>
      <c r="R65" s="206"/>
      <c r="S65" s="207">
        <v>18</v>
      </c>
      <c r="T65" s="207">
        <v>10</v>
      </c>
      <c r="U65" s="207">
        <v>18</v>
      </c>
      <c r="V65" s="207">
        <v>10</v>
      </c>
      <c r="W65" s="205"/>
      <c r="X65" s="205"/>
      <c r="Y65" s="208"/>
      <c r="Z65" s="209">
        <v>0</v>
      </c>
      <c r="AA65" s="207"/>
      <c r="AB65" s="206" t="s">
        <v>1603</v>
      </c>
      <c r="AC65" s="210"/>
      <c r="AD65" s="211">
        <v>0.55555555555555558</v>
      </c>
      <c r="AE65" s="250">
        <v>0.1</v>
      </c>
      <c r="AF65" s="190"/>
      <c r="AG65" s="191"/>
      <c r="AH65" s="191"/>
      <c r="AI65" s="191"/>
      <c r="AJ65" s="191" t="str">
        <f>"    " &amp; TEXT(AE65,"#0.00%") &amp; " " &amp; "튜토리얼 맵 프롭" &amp; "(황민재)" &amp; " " &amp; IF(P65="","",TEXT(P65,"M/D-")) &amp; IF(Q65="","",TEXT(Q65,"M/D")) &amp; " "</f>
        <v xml:space="preserve">    10.00% 튜토리얼 맵 프롭(황민재) 12/28-1/20 </v>
      </c>
      <c r="AK65" s="191"/>
      <c r="AL65" s="191"/>
      <c r="AM65" s="191"/>
      <c r="AN65" s="191"/>
      <c r="AO65" s="191"/>
    </row>
    <row r="66" spans="1:41" ht="12" customHeight="1" outlineLevel="5">
      <c r="A66" s="204" t="s">
        <v>1639</v>
      </c>
      <c r="B66" s="203"/>
      <c r="C66" s="203">
        <v>6</v>
      </c>
      <c r="D66" s="214" t="s">
        <v>1623</v>
      </c>
      <c r="E66" s="204"/>
      <c r="F66" s="204"/>
      <c r="G66" s="204"/>
      <c r="H66" s="204"/>
      <c r="I66" s="204"/>
      <c r="J66" s="204" t="s">
        <v>1619</v>
      </c>
      <c r="K66" s="204"/>
      <c r="L66" s="204"/>
      <c r="M66" s="204"/>
      <c r="N66" s="204"/>
      <c r="O66" s="204"/>
      <c r="P66" s="205">
        <v>44578</v>
      </c>
      <c r="Q66" s="205">
        <v>44581</v>
      </c>
      <c r="R66" s="206"/>
      <c r="S66" s="207">
        <v>4</v>
      </c>
      <c r="T66" s="207">
        <v>0</v>
      </c>
      <c r="U66" s="207">
        <v>4</v>
      </c>
      <c r="V66" s="207">
        <v>0</v>
      </c>
      <c r="W66" s="205"/>
      <c r="X66" s="205"/>
      <c r="Y66" s="208"/>
      <c r="Z66" s="209">
        <v>0</v>
      </c>
      <c r="AA66" s="207"/>
      <c r="AB66" s="206" t="s">
        <v>1603</v>
      </c>
      <c r="AC66" s="210"/>
      <c r="AD66" s="211">
        <v>0</v>
      </c>
      <c r="AE66" s="213">
        <v>0</v>
      </c>
      <c r="AF66" s="190"/>
      <c r="AG66" s="191"/>
      <c r="AH66" s="191"/>
      <c r="AI66" s="191"/>
      <c r="AJ66" s="191"/>
      <c r="AK66" s="191"/>
      <c r="AL66" s="191"/>
      <c r="AM66" s="191" t="str">
        <f>" " &amp; TEXT(AE66,"#0.00%") &amp; " " &amp; "튜토리얼 관련 맵 제작" &amp; "(황민재)" &amp; " " &amp; IF(P66="","",TEXT(P66,"M/D-")) &amp; IF(Q66="","",TEXT(Q66,"M/D")) &amp; " "</f>
        <v xml:space="preserve"> 0.00% 튜토리얼 관련 맵 제작(황민재) 1/17-1/20 </v>
      </c>
      <c r="AN66" s="191"/>
      <c r="AO66" s="191"/>
    </row>
    <row r="67" spans="1:41" ht="12" customHeight="1" outlineLevel="5">
      <c r="A67" s="203"/>
      <c r="B67" s="203"/>
      <c r="C67" s="203">
        <v>6</v>
      </c>
      <c r="D67" s="214" t="s">
        <v>1624</v>
      </c>
      <c r="E67" s="204"/>
      <c r="F67" s="204"/>
      <c r="G67" s="204"/>
      <c r="H67" s="204"/>
      <c r="I67" s="204"/>
      <c r="J67" s="204" t="s">
        <v>1620</v>
      </c>
      <c r="K67" s="204"/>
      <c r="L67" s="204"/>
      <c r="M67" s="204"/>
      <c r="N67" s="204"/>
      <c r="O67" s="204"/>
      <c r="P67" s="205">
        <v>44581</v>
      </c>
      <c r="Q67" s="205">
        <v>44585</v>
      </c>
      <c r="R67" s="206"/>
      <c r="S67" s="207">
        <v>3</v>
      </c>
      <c r="T67" s="207">
        <v>0</v>
      </c>
      <c r="U67" s="207">
        <v>3</v>
      </c>
      <c r="V67" s="207">
        <v>0</v>
      </c>
      <c r="W67" s="205"/>
      <c r="X67" s="205"/>
      <c r="Y67" s="208"/>
      <c r="Z67" s="209">
        <v>0</v>
      </c>
      <c r="AA67" s="207"/>
      <c r="AB67" s="206" t="s">
        <v>1603</v>
      </c>
      <c r="AC67" s="210"/>
      <c r="AD67" s="211">
        <v>0</v>
      </c>
      <c r="AE67" s="213">
        <v>0</v>
      </c>
      <c r="AF67" s="190"/>
      <c r="AG67" s="191"/>
      <c r="AH67" s="191"/>
      <c r="AI67" s="191"/>
      <c r="AJ67" s="191"/>
      <c r="AK67" s="191"/>
      <c r="AL67" s="191"/>
      <c r="AM67" s="191" t="str">
        <f>"    " &amp; TEXT(AE67,"#0.00%") &amp; " " &amp; "튜토리얼 맵에 사물 배치 ( 기획 적용 )" &amp; "(황민재)" &amp; " " &amp; IF(P67="","",TEXT(P67,"M/D-")) &amp; IF(Q67="","",TEXT(Q67,"M/D")) &amp; " "</f>
        <v xml:space="preserve">    0.00% 튜토리얼 맵에 사물 배치 ( 기획 적용 )(황민재) 1/20-1/24 </v>
      </c>
      <c r="AN67" s="191"/>
      <c r="AO67" s="191"/>
    </row>
    <row r="68" spans="1:41" ht="12" customHeight="1" outlineLevel="2">
      <c r="A68" s="203"/>
      <c r="B68" s="203" t="s">
        <v>1570</v>
      </c>
      <c r="C68" s="203">
        <v>3</v>
      </c>
      <c r="D68" s="214" t="s">
        <v>1107</v>
      </c>
      <c r="E68" s="204"/>
      <c r="F68" s="204"/>
      <c r="G68" s="204" t="s">
        <v>1607</v>
      </c>
      <c r="H68" s="204"/>
      <c r="I68" s="204"/>
      <c r="J68" s="204"/>
      <c r="K68" s="204"/>
      <c r="L68" s="204"/>
      <c r="M68" s="204"/>
      <c r="N68" s="204"/>
      <c r="O68" s="204"/>
      <c r="P68" s="205">
        <v>44562</v>
      </c>
      <c r="Q68" s="205">
        <v>44586</v>
      </c>
      <c r="R68" s="206"/>
      <c r="S68" s="207">
        <v>33</v>
      </c>
      <c r="T68" s="207">
        <v>12</v>
      </c>
      <c r="U68" s="207">
        <v>17</v>
      </c>
      <c r="V68" s="207">
        <v>6</v>
      </c>
      <c r="W68" s="205"/>
      <c r="X68" s="205"/>
      <c r="Y68" s="208">
        <v>0</v>
      </c>
      <c r="Z68" s="209">
        <v>0</v>
      </c>
      <c r="AA68" s="207"/>
      <c r="AB68" s="206"/>
      <c r="AC68" s="210"/>
      <c r="AD68" s="211">
        <v>0.36363636363636365</v>
      </c>
      <c r="AE68" s="249">
        <v>0.64242424242424245</v>
      </c>
      <c r="AF68" s="190"/>
      <c r="AG68" s="191"/>
      <c r="AH68" s="191"/>
      <c r="AI68" s="191"/>
      <c r="AJ68" s="191"/>
      <c r="AK68" s="191"/>
      <c r="AL68" s="191"/>
      <c r="AM68" s="191" t="str">
        <f>" " &amp; TEXT(AE68,"#0.00%") &amp; " " &amp; "2D 이미지 작업" &amp; " " &amp; IF(P68="","",TEXT(P68,"M/D-")) &amp; IF(Q68="","",TEXT(Q68,"M/D")) &amp; " "</f>
        <v xml:space="preserve"> 64.24% 2D 이미지 작업 1/1-1/25 </v>
      </c>
      <c r="AN68" s="191"/>
      <c r="AO68" s="191"/>
    </row>
    <row r="69" spans="1:41" ht="12" customHeight="1" outlineLevel="3">
      <c r="A69" s="203"/>
      <c r="B69" s="203" t="s">
        <v>1570</v>
      </c>
      <c r="C69" s="203">
        <v>4</v>
      </c>
      <c r="D69" s="214" t="s">
        <v>1610</v>
      </c>
      <c r="E69" s="204"/>
      <c r="F69" s="204"/>
      <c r="G69" s="204"/>
      <c r="H69" s="204" t="s">
        <v>1621</v>
      </c>
      <c r="I69" s="204"/>
      <c r="J69" s="204"/>
      <c r="K69" s="204"/>
      <c r="L69" s="204"/>
      <c r="M69" s="204"/>
      <c r="N69" s="204"/>
      <c r="O69" s="204"/>
      <c r="P69" s="205">
        <v>44562</v>
      </c>
      <c r="Q69" s="205">
        <v>44586</v>
      </c>
      <c r="R69" s="206"/>
      <c r="S69" s="207">
        <v>33</v>
      </c>
      <c r="T69" s="207">
        <v>12</v>
      </c>
      <c r="U69" s="207">
        <v>17</v>
      </c>
      <c r="V69" s="207">
        <v>6</v>
      </c>
      <c r="W69" s="205"/>
      <c r="X69" s="205"/>
      <c r="Y69" s="208">
        <v>0</v>
      </c>
      <c r="Z69" s="209">
        <v>0</v>
      </c>
      <c r="AA69" s="207"/>
      <c r="AB69" s="206"/>
      <c r="AC69" s="210"/>
      <c r="AD69" s="211">
        <v>0.36363636363636365</v>
      </c>
      <c r="AE69" s="249">
        <v>0.64242424242424245</v>
      </c>
      <c r="AF69" s="190"/>
      <c r="AG69" s="191"/>
      <c r="AH69" s="191"/>
      <c r="AI69" s="191"/>
      <c r="AJ69" s="191"/>
      <c r="AK69" s="191"/>
      <c r="AL69" s="191"/>
      <c r="AM69" s="191" t="str">
        <f>" " &amp; TEXT(AE69,"#0.00%") &amp; " " &amp; "UI 디자인 및 기획" &amp; " " &amp; IF(P69="","",TEXT(P69,"M/D-")) &amp; IF(Q69="","",TEXT(Q69,"M/D")) &amp; " "</f>
        <v xml:space="preserve"> 64.24% UI 디자인 및 기획 1/1-1/25 </v>
      </c>
      <c r="AN69" s="191"/>
      <c r="AO69" s="191"/>
    </row>
    <row r="70" spans="1:41" ht="12" customHeight="1" outlineLevel="4">
      <c r="A70" s="203"/>
      <c r="B70" s="203"/>
      <c r="C70" s="203">
        <v>5</v>
      </c>
      <c r="D70" s="214" t="s">
        <v>1627</v>
      </c>
      <c r="E70" s="204"/>
      <c r="F70" s="204"/>
      <c r="G70" s="204"/>
      <c r="H70" s="204"/>
      <c r="I70" s="204" t="s">
        <v>1626</v>
      </c>
      <c r="J70" s="204"/>
      <c r="K70" s="204"/>
      <c r="L70" s="204"/>
      <c r="M70" s="204"/>
      <c r="N70" s="204"/>
      <c r="O70" s="204"/>
      <c r="P70" s="205">
        <v>44571</v>
      </c>
      <c r="Q70" s="205">
        <v>44586</v>
      </c>
      <c r="R70" s="206"/>
      <c r="S70" s="207">
        <v>12</v>
      </c>
      <c r="T70" s="207">
        <v>1</v>
      </c>
      <c r="U70" s="207">
        <v>12</v>
      </c>
      <c r="V70" s="207">
        <v>1</v>
      </c>
      <c r="W70" s="205"/>
      <c r="X70" s="205"/>
      <c r="Y70" s="208"/>
      <c r="Z70" s="209">
        <v>0</v>
      </c>
      <c r="AA70" s="207">
        <v>1</v>
      </c>
      <c r="AB70" s="206" t="s">
        <v>1704</v>
      </c>
      <c r="AC70" s="210"/>
      <c r="AD70" s="211">
        <v>8.3333333333333329E-2</v>
      </c>
      <c r="AE70" s="248">
        <v>0.6</v>
      </c>
      <c r="AF70" s="190"/>
      <c r="AG70" s="191"/>
      <c r="AH70" s="191"/>
      <c r="AI70" s="191"/>
      <c r="AJ70" s="191"/>
      <c r="AK70" s="191"/>
      <c r="AL70" s="191"/>
      <c r="AM70" s="191" t="str">
        <f>"    " &amp; TEXT(AE70,"#0.00%") &amp; " " &amp; "타이틀 화면 UI 디자인" &amp; "(이재유 및 팀원)" &amp; " " &amp; IF(P70="","",TEXT(P70,"M/D-")) &amp; IF(Q70="","",TEXT(Q70,"M/D")) &amp; " "</f>
        <v xml:space="preserve">    60.00% 타이틀 화면 UI 디자인(이재유 및 팀원) 1/10-1/25 </v>
      </c>
      <c r="AN70" s="191"/>
      <c r="AO70" s="191"/>
    </row>
    <row r="71" spans="1:41" ht="12" customHeight="1" outlineLevel="4">
      <c r="A71" s="203"/>
      <c r="B71" s="203"/>
      <c r="C71" s="203">
        <v>5</v>
      </c>
      <c r="D71" s="214" t="s">
        <v>1628</v>
      </c>
      <c r="E71" s="204"/>
      <c r="F71" s="204"/>
      <c r="G71" s="204"/>
      <c r="H71" s="204"/>
      <c r="I71" s="204" t="s">
        <v>1661</v>
      </c>
      <c r="J71" s="204"/>
      <c r="K71" s="204"/>
      <c r="L71" s="204"/>
      <c r="M71" s="204"/>
      <c r="N71" s="204"/>
      <c r="O71" s="204"/>
      <c r="P71" s="205">
        <v>44562</v>
      </c>
      <c r="Q71" s="205">
        <v>44574</v>
      </c>
      <c r="R71" s="206"/>
      <c r="S71" s="207">
        <v>9</v>
      </c>
      <c r="T71" s="207">
        <v>6</v>
      </c>
      <c r="U71" s="207">
        <v>9</v>
      </c>
      <c r="V71" s="207">
        <v>6</v>
      </c>
      <c r="W71" s="205"/>
      <c r="X71" s="205"/>
      <c r="Y71" s="208"/>
      <c r="Z71" s="209">
        <v>0</v>
      </c>
      <c r="AA71" s="207">
        <v>1</v>
      </c>
      <c r="AB71" s="206" t="s">
        <v>1703</v>
      </c>
      <c r="AC71" s="210"/>
      <c r="AD71" s="211">
        <v>0.66666666666666663</v>
      </c>
      <c r="AE71" s="248">
        <v>1</v>
      </c>
      <c r="AF71" s="190"/>
      <c r="AG71" s="191"/>
      <c r="AH71" s="191"/>
      <c r="AI71" s="191"/>
      <c r="AJ71" s="191"/>
      <c r="AK71" s="191"/>
      <c r="AL71" s="191" t="str">
        <f>"     " &amp; TEXT(AE71,"#0.00%") &amp; " " &amp; "인벤토리 기획" &amp; "(이재유 / 권성빈)" &amp; " " &amp; IF(P71="","",TEXT(P71,"M/D-")) &amp; IF(Q71="","",TEXT(Q71,"M/D")) &amp; " "</f>
        <v xml:space="preserve">     100.00% 인벤토리 기획(이재유 / 권성빈) 1/1-1/13 </v>
      </c>
      <c r="AM71" s="191"/>
      <c r="AN71" s="191"/>
      <c r="AO71" s="191"/>
    </row>
    <row r="72" spans="1:41" ht="12" customHeight="1" outlineLevel="4">
      <c r="A72" s="203"/>
      <c r="B72" s="203"/>
      <c r="C72" s="203">
        <v>5</v>
      </c>
      <c r="D72" s="214" t="s">
        <v>1663</v>
      </c>
      <c r="E72" s="204"/>
      <c r="F72" s="204"/>
      <c r="G72" s="204"/>
      <c r="H72" s="204"/>
      <c r="I72" s="204" t="s">
        <v>1662</v>
      </c>
      <c r="J72" s="204"/>
      <c r="K72" s="204"/>
      <c r="L72" s="204"/>
      <c r="M72" s="204"/>
      <c r="N72" s="204"/>
      <c r="O72" s="204"/>
      <c r="P72" s="205">
        <v>44573</v>
      </c>
      <c r="Q72" s="205">
        <v>44581</v>
      </c>
      <c r="R72" s="206"/>
      <c r="S72" s="207">
        <v>7</v>
      </c>
      <c r="T72" s="207">
        <v>0</v>
      </c>
      <c r="U72" s="207">
        <v>7</v>
      </c>
      <c r="V72" s="207">
        <v>0</v>
      </c>
      <c r="W72" s="205"/>
      <c r="X72" s="205"/>
      <c r="Y72" s="208"/>
      <c r="Z72" s="209">
        <v>0</v>
      </c>
      <c r="AA72" s="207">
        <v>1</v>
      </c>
      <c r="AB72" s="206" t="s">
        <v>1703</v>
      </c>
      <c r="AC72" s="210"/>
      <c r="AD72" s="211">
        <v>0</v>
      </c>
      <c r="AE72" s="213">
        <v>0</v>
      </c>
      <c r="AF72" s="190"/>
      <c r="AG72" s="191"/>
      <c r="AH72" s="191"/>
      <c r="AI72" s="191"/>
      <c r="AJ72" s="191"/>
      <c r="AK72" s="191"/>
      <c r="AL72" s="191" t="str">
        <f>"   " &amp; TEXT(AE72,"#0.00%") &amp; " " &amp; "진단서 UI 기획" &amp; "(이재유 / 권성빈)" &amp; " " &amp; IF(P72="","",TEXT(P72,"M/D-")) &amp; IF(Q72="","",TEXT(Q72,"M/D")) &amp; " "</f>
        <v xml:space="preserve">   0.00% 진단서 UI 기획(이재유 / 권성빈) 1/12-1/20 </v>
      </c>
      <c r="AM72" s="191"/>
      <c r="AN72" s="191"/>
      <c r="AO72" s="191"/>
    </row>
    <row r="73" spans="1:41" ht="12" customHeight="1" outlineLevel="4">
      <c r="A73" s="203"/>
      <c r="B73" s="203"/>
      <c r="C73" s="203">
        <v>5</v>
      </c>
      <c r="D73" s="214" t="s">
        <v>1665</v>
      </c>
      <c r="E73" s="204"/>
      <c r="F73" s="204"/>
      <c r="G73" s="204"/>
      <c r="H73" s="204"/>
      <c r="I73" s="204" t="s">
        <v>1664</v>
      </c>
      <c r="J73" s="204"/>
      <c r="K73" s="204"/>
      <c r="L73" s="204"/>
      <c r="M73" s="204"/>
      <c r="N73" s="204"/>
      <c r="O73" s="204"/>
      <c r="P73" s="205">
        <v>44564</v>
      </c>
      <c r="Q73" s="205">
        <v>44568</v>
      </c>
      <c r="R73" s="206"/>
      <c r="S73" s="207">
        <v>5</v>
      </c>
      <c r="T73" s="207">
        <v>5</v>
      </c>
      <c r="U73" s="207">
        <v>5</v>
      </c>
      <c r="V73" s="207">
        <v>5</v>
      </c>
      <c r="W73" s="205"/>
      <c r="X73" s="205"/>
      <c r="Y73" s="208"/>
      <c r="Z73" s="209">
        <v>0</v>
      </c>
      <c r="AA73" s="207">
        <v>1</v>
      </c>
      <c r="AB73" s="206" t="s">
        <v>1703</v>
      </c>
      <c r="AC73" s="210"/>
      <c r="AD73" s="211">
        <v>1</v>
      </c>
      <c r="AE73" s="213">
        <v>1</v>
      </c>
      <c r="AF73" s="190"/>
      <c r="AG73" s="191"/>
      <c r="AH73" s="191"/>
      <c r="AI73" s="191"/>
      <c r="AJ73" s="191"/>
      <c r="AK73" s="191" t="str">
        <f>"      " &amp; TEXT(AE73,"#0.00%") &amp; " " &amp; "인게임 일시정지 메뉴 기획" &amp; "(이재유 / 권성빈)" &amp; " " &amp; IF(P73="","",TEXT(P73,"M/D-")) &amp; IF(Q73="","",TEXT(Q73,"M/D")) &amp; " "</f>
        <v xml:space="preserve">      100.00% 인게임 일시정지 메뉴 기획(이재유 / 권성빈) 1/3-1/7 </v>
      </c>
      <c r="AL73" s="191"/>
      <c r="AM73" s="191"/>
      <c r="AN73" s="191"/>
      <c r="AO73" s="191"/>
    </row>
    <row r="74" spans="1:41" ht="12" customHeight="1">
      <c r="A74" s="236"/>
      <c r="B74" s="236"/>
      <c r="C74" s="236">
        <v>0</v>
      </c>
      <c r="D74" s="237"/>
      <c r="E74" s="238"/>
      <c r="F74" s="238"/>
      <c r="G74" s="238"/>
      <c r="H74" s="238"/>
      <c r="I74" s="238"/>
      <c r="J74" s="238"/>
      <c r="K74" s="238"/>
      <c r="L74" s="238"/>
      <c r="M74" s="238"/>
      <c r="N74" s="238"/>
      <c r="O74" s="238"/>
      <c r="P74" s="239"/>
      <c r="Q74" s="239"/>
      <c r="R74" s="240"/>
      <c r="S74" s="241"/>
      <c r="T74" s="241"/>
      <c r="U74" s="241"/>
      <c r="V74" s="241"/>
      <c r="W74" s="239"/>
      <c r="X74" s="239"/>
      <c r="Y74" s="242"/>
      <c r="Z74" s="243">
        <v>0</v>
      </c>
      <c r="AA74" s="241"/>
      <c r="AB74" s="240"/>
      <c r="AC74" s="244"/>
      <c r="AD74" s="245"/>
      <c r="AE74" s="246"/>
      <c r="AF74" s="189"/>
      <c r="AG74" s="189"/>
      <c r="AH74" s="189"/>
      <c r="AI74" s="189"/>
      <c r="AJ74" s="189"/>
      <c r="AK74" s="189"/>
      <c r="AL74" s="189"/>
      <c r="AM74" s="189"/>
      <c r="AN74" s="189"/>
      <c r="AO74" s="189"/>
    </row>
    <row r="75" spans="1:41" ht="12" customHeight="1">
      <c r="A75" s="203"/>
      <c r="B75" s="203"/>
      <c r="C75" s="203">
        <v>0</v>
      </c>
      <c r="D75" s="214"/>
      <c r="E75" s="204"/>
      <c r="F75" s="204"/>
      <c r="G75" s="204"/>
      <c r="H75" s="204"/>
      <c r="I75" s="204"/>
      <c r="J75" s="204"/>
      <c r="K75" s="204"/>
      <c r="L75" s="204"/>
      <c r="M75" s="204"/>
      <c r="N75" s="204"/>
      <c r="O75" s="204"/>
      <c r="P75" s="205"/>
      <c r="Q75" s="205"/>
      <c r="R75" s="206"/>
      <c r="S75" s="207"/>
      <c r="T75" s="207"/>
      <c r="U75" s="207"/>
      <c r="V75" s="207"/>
      <c r="W75" s="205"/>
      <c r="X75" s="205"/>
      <c r="Y75" s="208"/>
      <c r="Z75" s="209">
        <v>0</v>
      </c>
      <c r="AA75" s="207"/>
      <c r="AB75" s="206"/>
      <c r="AC75" s="210"/>
      <c r="AD75" s="211"/>
      <c r="AE75" s="216"/>
    </row>
    <row r="76" spans="1:41" ht="12" customHeight="1">
      <c r="A76" s="203"/>
      <c r="B76" s="203"/>
      <c r="C76" s="203">
        <v>0</v>
      </c>
      <c r="D76" s="214"/>
      <c r="E76" s="204"/>
      <c r="F76" s="204"/>
      <c r="G76" s="204"/>
      <c r="H76" s="204"/>
      <c r="I76" s="204"/>
      <c r="J76" s="204"/>
      <c r="K76" s="204"/>
      <c r="L76" s="204"/>
      <c r="M76" s="204"/>
      <c r="N76" s="204"/>
      <c r="O76" s="204"/>
      <c r="P76" s="205"/>
      <c r="Q76" s="205"/>
      <c r="R76" s="206"/>
      <c r="S76" s="207"/>
      <c r="T76" s="207"/>
      <c r="U76" s="207"/>
      <c r="V76" s="207"/>
      <c r="W76" s="205"/>
      <c r="X76" s="205"/>
      <c r="Y76" s="208"/>
      <c r="Z76" s="209">
        <v>0</v>
      </c>
      <c r="AA76" s="207">
        <v>1</v>
      </c>
      <c r="AB76" s="206"/>
      <c r="AC76" s="210"/>
      <c r="AD76" s="211"/>
      <c r="AE76" s="216"/>
    </row>
    <row r="77" spans="1:41" ht="12" customHeight="1">
      <c r="A77" s="203"/>
      <c r="B77" s="203"/>
      <c r="C77" s="203">
        <v>0</v>
      </c>
      <c r="D77" s="214"/>
      <c r="E77" s="204"/>
      <c r="F77" s="204"/>
      <c r="G77" s="204"/>
      <c r="H77" s="204"/>
      <c r="I77" s="204"/>
      <c r="J77" s="204"/>
      <c r="K77" s="204"/>
      <c r="L77" s="204"/>
      <c r="M77" s="204"/>
      <c r="N77" s="204"/>
      <c r="O77" s="204"/>
      <c r="P77" s="205"/>
      <c r="Q77" s="205"/>
      <c r="R77" s="206"/>
      <c r="S77" s="207"/>
      <c r="T77" s="207"/>
      <c r="U77" s="207"/>
      <c r="V77" s="207"/>
      <c r="W77" s="205"/>
      <c r="X77" s="205"/>
      <c r="Y77" s="208"/>
      <c r="Z77" s="209">
        <v>0</v>
      </c>
      <c r="AA77" s="207"/>
      <c r="AB77" s="206"/>
      <c r="AC77" s="210"/>
      <c r="AD77" s="211"/>
      <c r="AE77" s="216"/>
    </row>
    <row r="78" spans="1:41" ht="12" customHeight="1">
      <c r="A78" s="203"/>
      <c r="B78" s="203"/>
      <c r="C78" s="203">
        <v>0</v>
      </c>
      <c r="D78" s="214"/>
      <c r="E78" s="204"/>
      <c r="F78" s="204"/>
      <c r="G78" s="204"/>
      <c r="H78" s="204"/>
      <c r="I78" s="204"/>
      <c r="J78" s="204"/>
      <c r="K78" s="204"/>
      <c r="L78" s="204"/>
      <c r="M78" s="204"/>
      <c r="N78" s="204"/>
      <c r="O78" s="204"/>
      <c r="P78" s="205"/>
      <c r="Q78" s="205"/>
      <c r="R78" s="206"/>
      <c r="S78" s="207"/>
      <c r="T78" s="207"/>
      <c r="U78" s="207"/>
      <c r="V78" s="207"/>
      <c r="W78" s="205"/>
      <c r="X78" s="205"/>
      <c r="Y78" s="208"/>
      <c r="Z78" s="209">
        <v>0</v>
      </c>
      <c r="AA78" s="207"/>
      <c r="AB78" s="206"/>
      <c r="AC78" s="210"/>
      <c r="AD78" s="211"/>
      <c r="AE78" s="216"/>
    </row>
    <row r="79" spans="1:41" ht="12" customHeight="1">
      <c r="A79" s="203"/>
      <c r="B79" s="203"/>
      <c r="C79" s="203">
        <v>0</v>
      </c>
      <c r="D79" s="214"/>
      <c r="E79" s="204"/>
      <c r="F79" s="204"/>
      <c r="G79" s="204"/>
      <c r="H79" s="204"/>
      <c r="I79" s="204"/>
      <c r="J79" s="204"/>
      <c r="K79" s="204"/>
      <c r="L79" s="204"/>
      <c r="M79" s="204"/>
      <c r="N79" s="204"/>
      <c r="O79" s="204"/>
      <c r="P79" s="205"/>
      <c r="Q79" s="205"/>
      <c r="R79" s="206"/>
      <c r="S79" s="207"/>
      <c r="T79" s="207"/>
      <c r="U79" s="207"/>
      <c r="V79" s="207"/>
      <c r="W79" s="205"/>
      <c r="X79" s="205"/>
      <c r="Y79" s="208"/>
      <c r="Z79" s="209">
        <v>0</v>
      </c>
      <c r="AA79" s="207">
        <v>1</v>
      </c>
      <c r="AB79" s="206"/>
      <c r="AC79" s="210"/>
      <c r="AD79" s="211"/>
      <c r="AE79" s="216"/>
    </row>
    <row r="80" spans="1:41" ht="12" customHeight="1">
      <c r="A80" s="203"/>
      <c r="B80" s="203"/>
      <c r="C80" s="203">
        <v>0</v>
      </c>
      <c r="D80" s="214"/>
      <c r="E80" s="204"/>
      <c r="F80" s="204"/>
      <c r="G80" s="204"/>
      <c r="H80" s="204"/>
      <c r="I80" s="204"/>
      <c r="J80" s="204"/>
      <c r="K80" s="204"/>
      <c r="L80" s="204"/>
      <c r="M80" s="204"/>
      <c r="N80" s="204"/>
      <c r="O80" s="204"/>
      <c r="P80" s="205"/>
      <c r="Q80" s="205"/>
      <c r="R80" s="206"/>
      <c r="S80" s="207"/>
      <c r="T80" s="207"/>
      <c r="U80" s="207"/>
      <c r="V80" s="207"/>
      <c r="W80" s="205"/>
      <c r="X80" s="205"/>
      <c r="Y80" s="208"/>
      <c r="Z80" s="209">
        <v>0</v>
      </c>
      <c r="AA80" s="207">
        <v>1</v>
      </c>
      <c r="AB80" s="206"/>
      <c r="AC80" s="210"/>
      <c r="AD80" s="211"/>
      <c r="AE80" s="216"/>
    </row>
    <row r="81" spans="1:31" ht="12" customHeight="1">
      <c r="A81" s="203"/>
      <c r="B81" s="203"/>
      <c r="C81" s="203">
        <v>0</v>
      </c>
      <c r="D81" s="214"/>
      <c r="E81" s="204"/>
      <c r="F81" s="204"/>
      <c r="G81" s="204"/>
      <c r="H81" s="204"/>
      <c r="I81" s="204"/>
      <c r="J81" s="204"/>
      <c r="K81" s="204"/>
      <c r="L81" s="204"/>
      <c r="M81" s="204"/>
      <c r="N81" s="204"/>
      <c r="O81" s="204"/>
      <c r="P81" s="205"/>
      <c r="Q81" s="205"/>
      <c r="R81" s="206"/>
      <c r="S81" s="207"/>
      <c r="T81" s="207"/>
      <c r="U81" s="207"/>
      <c r="V81" s="207"/>
      <c r="W81" s="205"/>
      <c r="X81" s="205"/>
      <c r="Y81" s="208"/>
      <c r="Z81" s="209">
        <v>0</v>
      </c>
      <c r="AA81" s="207">
        <v>1</v>
      </c>
      <c r="AB81" s="206"/>
      <c r="AC81" s="210"/>
      <c r="AD81" s="211"/>
      <c r="AE81" s="216"/>
    </row>
    <row r="82" spans="1:31" ht="12" customHeight="1">
      <c r="A82" s="203"/>
      <c r="B82" s="203"/>
      <c r="C82" s="203">
        <v>0</v>
      </c>
      <c r="D82" s="214"/>
      <c r="E82" s="204"/>
      <c r="F82" s="204"/>
      <c r="G82" s="204"/>
      <c r="H82" s="204"/>
      <c r="I82" s="204"/>
      <c r="J82" s="204"/>
      <c r="K82" s="204"/>
      <c r="L82" s="204"/>
      <c r="M82" s="204"/>
      <c r="N82" s="204"/>
      <c r="O82" s="204"/>
      <c r="P82" s="205"/>
      <c r="Q82" s="205"/>
      <c r="R82" s="206"/>
      <c r="S82" s="207"/>
      <c r="T82" s="207"/>
      <c r="U82" s="207"/>
      <c r="V82" s="207"/>
      <c r="W82" s="205"/>
      <c r="X82" s="205"/>
      <c r="Y82" s="208"/>
      <c r="Z82" s="209">
        <v>0</v>
      </c>
      <c r="AA82" s="207">
        <v>1</v>
      </c>
      <c r="AB82" s="206"/>
      <c r="AC82" s="210"/>
      <c r="AD82" s="211"/>
      <c r="AE82" s="216"/>
    </row>
    <row r="83" spans="1:31" ht="12" customHeight="1">
      <c r="A83" s="203"/>
      <c r="B83" s="203"/>
      <c r="C83" s="203">
        <v>0</v>
      </c>
      <c r="D83" s="214"/>
      <c r="E83" s="204"/>
      <c r="F83" s="204"/>
      <c r="G83" s="204"/>
      <c r="H83" s="204"/>
      <c r="I83" s="204"/>
      <c r="J83" s="204"/>
      <c r="K83" s="204"/>
      <c r="L83" s="204"/>
      <c r="M83" s="204"/>
      <c r="N83" s="204"/>
      <c r="O83" s="204"/>
      <c r="P83" s="205"/>
      <c r="Q83" s="205"/>
      <c r="R83" s="206"/>
      <c r="S83" s="207"/>
      <c r="T83" s="207"/>
      <c r="U83" s="207"/>
      <c r="V83" s="207"/>
      <c r="W83" s="205"/>
      <c r="X83" s="205"/>
      <c r="Y83" s="208"/>
      <c r="Z83" s="209">
        <v>0</v>
      </c>
      <c r="AA83" s="207">
        <v>1</v>
      </c>
      <c r="AB83" s="206"/>
      <c r="AC83" s="210"/>
      <c r="AD83" s="211"/>
      <c r="AE83" s="216"/>
    </row>
    <row r="84" spans="1:31" ht="12" customHeight="1">
      <c r="A84" s="203"/>
      <c r="B84" s="203"/>
      <c r="C84" s="203">
        <v>0</v>
      </c>
      <c r="D84" s="214"/>
      <c r="E84" s="204"/>
      <c r="F84" s="204"/>
      <c r="G84" s="204"/>
      <c r="H84" s="204"/>
      <c r="I84" s="235"/>
      <c r="J84" s="204"/>
      <c r="K84" s="204"/>
      <c r="L84" s="204"/>
      <c r="M84" s="204"/>
      <c r="N84" s="204"/>
      <c r="O84" s="204"/>
      <c r="P84" s="205"/>
      <c r="Q84" s="205"/>
      <c r="R84" s="206"/>
      <c r="S84" s="207"/>
      <c r="T84" s="207"/>
      <c r="U84" s="207"/>
      <c r="V84" s="207"/>
      <c r="W84" s="205"/>
      <c r="X84" s="205"/>
      <c r="Y84" s="208"/>
      <c r="Z84" s="209">
        <v>0</v>
      </c>
      <c r="AA84" s="207">
        <v>1</v>
      </c>
      <c r="AB84" s="206"/>
      <c r="AC84" s="210"/>
      <c r="AD84" s="211"/>
      <c r="AE84" s="216"/>
    </row>
    <row r="85" spans="1:31" ht="12" customHeight="1">
      <c r="A85" s="203"/>
      <c r="B85" s="203"/>
      <c r="C85" s="203">
        <v>0</v>
      </c>
      <c r="D85" s="214"/>
      <c r="E85" s="204"/>
      <c r="F85" s="204"/>
      <c r="G85" s="204"/>
      <c r="H85" s="204"/>
      <c r="I85" s="204"/>
      <c r="J85" s="204"/>
      <c r="K85" s="204"/>
      <c r="L85" s="204"/>
      <c r="M85" s="204"/>
      <c r="N85" s="204"/>
      <c r="O85" s="204"/>
      <c r="P85" s="205"/>
      <c r="Q85" s="205"/>
      <c r="R85" s="206"/>
      <c r="S85" s="207"/>
      <c r="T85" s="207"/>
      <c r="U85" s="207"/>
      <c r="V85" s="207"/>
      <c r="W85" s="205"/>
      <c r="X85" s="205"/>
      <c r="Y85" s="208"/>
      <c r="Z85" s="209">
        <v>0</v>
      </c>
      <c r="AA85" s="207"/>
      <c r="AB85" s="206"/>
      <c r="AC85" s="210"/>
      <c r="AD85" s="211"/>
      <c r="AE85" s="216"/>
    </row>
    <row r="86" spans="1:31" ht="12" customHeight="1">
      <c r="A86" s="203"/>
      <c r="B86" s="203"/>
      <c r="C86" s="203">
        <v>0</v>
      </c>
      <c r="D86" s="214"/>
      <c r="E86" s="204"/>
      <c r="F86" s="204"/>
      <c r="G86" s="204"/>
      <c r="H86" s="204"/>
      <c r="I86" s="204"/>
      <c r="J86" s="204"/>
      <c r="K86" s="204"/>
      <c r="L86" s="204"/>
      <c r="M86" s="204"/>
      <c r="N86" s="204"/>
      <c r="O86" s="204"/>
      <c r="P86" s="205"/>
      <c r="Q86" s="205"/>
      <c r="R86" s="206"/>
      <c r="S86" s="207"/>
      <c r="T86" s="207"/>
      <c r="U86" s="207"/>
      <c r="V86" s="207"/>
      <c r="W86" s="205"/>
      <c r="X86" s="205"/>
      <c r="Y86" s="208"/>
      <c r="Z86" s="209">
        <v>0</v>
      </c>
      <c r="AA86" s="207">
        <v>1</v>
      </c>
      <c r="AB86" s="206"/>
      <c r="AC86" s="210"/>
      <c r="AD86" s="211"/>
      <c r="AE86" s="216"/>
    </row>
    <row r="87" spans="1:31" ht="12" customHeight="1">
      <c r="A87" s="203"/>
      <c r="B87" s="203"/>
      <c r="C87" s="203">
        <v>0</v>
      </c>
      <c r="D87" s="214"/>
      <c r="E87" s="204"/>
      <c r="F87" s="204"/>
      <c r="G87" s="204"/>
      <c r="H87" s="204"/>
      <c r="I87" s="204"/>
      <c r="J87" s="204"/>
      <c r="K87" s="204"/>
      <c r="L87" s="204"/>
      <c r="M87" s="204"/>
      <c r="N87" s="204"/>
      <c r="O87" s="204"/>
      <c r="P87" s="205"/>
      <c r="Q87" s="205"/>
      <c r="R87" s="206"/>
      <c r="S87" s="207"/>
      <c r="T87" s="207"/>
      <c r="U87" s="207"/>
      <c r="V87" s="207"/>
      <c r="W87" s="205"/>
      <c r="X87" s="205"/>
      <c r="Y87" s="208"/>
      <c r="Z87" s="209">
        <v>0</v>
      </c>
      <c r="AA87" s="207">
        <v>1</v>
      </c>
      <c r="AB87" s="206"/>
      <c r="AC87" s="210"/>
      <c r="AD87" s="211"/>
      <c r="AE87" s="216"/>
    </row>
    <row r="88" spans="1:31" ht="12" customHeight="1">
      <c r="A88" s="203"/>
      <c r="B88" s="203"/>
      <c r="C88" s="203">
        <v>0</v>
      </c>
      <c r="D88" s="214"/>
      <c r="E88" s="204"/>
      <c r="F88" s="204"/>
      <c r="G88" s="204"/>
      <c r="H88" s="204"/>
      <c r="I88" s="204"/>
      <c r="J88" s="204"/>
      <c r="K88" s="204"/>
      <c r="L88" s="204"/>
      <c r="M88" s="204"/>
      <c r="N88" s="204"/>
      <c r="O88" s="204"/>
      <c r="P88" s="205"/>
      <c r="Q88" s="205"/>
      <c r="R88" s="206"/>
      <c r="S88" s="207"/>
      <c r="T88" s="207"/>
      <c r="U88" s="207"/>
      <c r="V88" s="207"/>
      <c r="W88" s="205"/>
      <c r="X88" s="205"/>
      <c r="Y88" s="208"/>
      <c r="Z88" s="209">
        <v>0</v>
      </c>
      <c r="AA88" s="207"/>
      <c r="AB88" s="206"/>
      <c r="AC88" s="210"/>
      <c r="AD88" s="211"/>
      <c r="AE88" s="216"/>
    </row>
    <row r="89" spans="1:31" ht="12" customHeight="1">
      <c r="A89" s="203"/>
      <c r="B89" s="203"/>
      <c r="C89" s="203">
        <v>0</v>
      </c>
      <c r="D89" s="214"/>
      <c r="E89" s="204"/>
      <c r="F89" s="204"/>
      <c r="G89" s="204"/>
      <c r="H89" s="204"/>
      <c r="I89" s="204"/>
      <c r="J89" s="204"/>
      <c r="K89" s="204"/>
      <c r="L89" s="204"/>
      <c r="M89" s="204"/>
      <c r="N89" s="204"/>
      <c r="O89" s="204"/>
      <c r="P89" s="205"/>
      <c r="Q89" s="205"/>
      <c r="R89" s="206"/>
      <c r="S89" s="207"/>
      <c r="T89" s="207"/>
      <c r="U89" s="207"/>
      <c r="V89" s="207"/>
      <c r="W89" s="205"/>
      <c r="X89" s="205"/>
      <c r="Y89" s="208"/>
      <c r="Z89" s="209">
        <v>0</v>
      </c>
      <c r="AA89" s="207"/>
      <c r="AB89" s="206"/>
      <c r="AC89" s="210"/>
      <c r="AD89" s="211"/>
      <c r="AE89" s="216"/>
    </row>
    <row r="90" spans="1:31" ht="12" customHeight="1">
      <c r="A90" s="203"/>
      <c r="B90" s="203"/>
      <c r="C90" s="203">
        <v>0</v>
      </c>
      <c r="D90" s="214"/>
      <c r="E90" s="204"/>
      <c r="F90" s="204"/>
      <c r="G90" s="204"/>
      <c r="H90" s="204"/>
      <c r="I90" s="204"/>
      <c r="J90" s="204"/>
      <c r="K90" s="204"/>
      <c r="L90" s="204"/>
      <c r="M90" s="204"/>
      <c r="N90" s="204"/>
      <c r="O90" s="204"/>
      <c r="P90" s="205"/>
      <c r="Q90" s="205"/>
      <c r="R90" s="206"/>
      <c r="S90" s="207"/>
      <c r="T90" s="207"/>
      <c r="U90" s="207"/>
      <c r="V90" s="207"/>
      <c r="W90" s="205"/>
      <c r="X90" s="205"/>
      <c r="Y90" s="208"/>
      <c r="Z90" s="209">
        <v>0</v>
      </c>
      <c r="AA90" s="207">
        <v>1</v>
      </c>
      <c r="AB90" s="206"/>
      <c r="AC90" s="210"/>
      <c r="AD90" s="211"/>
      <c r="AE90" s="216"/>
    </row>
    <row r="91" spans="1:31" ht="12" customHeight="1">
      <c r="A91" s="203"/>
      <c r="B91" s="203"/>
      <c r="C91" s="203">
        <v>0</v>
      </c>
      <c r="D91" s="214"/>
      <c r="E91" s="204"/>
      <c r="F91" s="204"/>
      <c r="G91" s="204"/>
      <c r="H91" s="204"/>
      <c r="I91" s="204"/>
      <c r="J91" s="204"/>
      <c r="K91" s="204"/>
      <c r="L91" s="204"/>
      <c r="M91" s="204"/>
      <c r="N91" s="204"/>
      <c r="O91" s="204"/>
      <c r="P91" s="205"/>
      <c r="Q91" s="205"/>
      <c r="R91" s="206"/>
      <c r="S91" s="207"/>
      <c r="T91" s="207"/>
      <c r="U91" s="207"/>
      <c r="V91" s="207"/>
      <c r="W91" s="205"/>
      <c r="X91" s="205"/>
      <c r="Y91" s="208"/>
      <c r="Z91" s="209">
        <v>0</v>
      </c>
      <c r="AA91" s="207"/>
      <c r="AB91" s="206"/>
      <c r="AC91" s="210"/>
      <c r="AD91" s="211"/>
      <c r="AE91" s="216"/>
    </row>
    <row r="92" spans="1:31" ht="12" customHeight="1">
      <c r="A92" s="203"/>
      <c r="B92" s="203"/>
      <c r="C92" s="203">
        <v>0</v>
      </c>
      <c r="D92" s="214"/>
      <c r="E92" s="204"/>
      <c r="F92" s="204"/>
      <c r="G92" s="204"/>
      <c r="H92" s="204"/>
      <c r="I92" s="204"/>
      <c r="J92" s="204"/>
      <c r="K92" s="204"/>
      <c r="L92" s="204"/>
      <c r="M92" s="204"/>
      <c r="N92" s="204"/>
      <c r="O92" s="204"/>
      <c r="P92" s="205"/>
      <c r="Q92" s="205"/>
      <c r="R92" s="206"/>
      <c r="S92" s="207"/>
      <c r="T92" s="207"/>
      <c r="U92" s="207"/>
      <c r="V92" s="207"/>
      <c r="W92" s="205"/>
      <c r="X92" s="205"/>
      <c r="Y92" s="208"/>
      <c r="Z92" s="209">
        <v>0</v>
      </c>
      <c r="AA92" s="207">
        <v>1</v>
      </c>
      <c r="AB92" s="206"/>
      <c r="AC92" s="210"/>
      <c r="AD92" s="211"/>
      <c r="AE92" s="216"/>
    </row>
    <row r="93" spans="1:31" ht="12" customHeight="1">
      <c r="A93" s="203"/>
      <c r="B93" s="203"/>
      <c r="C93" s="203">
        <v>0</v>
      </c>
      <c r="D93" s="214"/>
      <c r="E93" s="204"/>
      <c r="F93" s="204"/>
      <c r="G93" s="204"/>
      <c r="H93" s="204"/>
      <c r="I93" s="204"/>
      <c r="J93" s="204"/>
      <c r="K93" s="204"/>
      <c r="L93" s="204"/>
      <c r="M93" s="204"/>
      <c r="N93" s="204"/>
      <c r="O93" s="204"/>
      <c r="P93" s="205"/>
      <c r="Q93" s="205"/>
      <c r="R93" s="206"/>
      <c r="S93" s="207"/>
      <c r="T93" s="207"/>
      <c r="U93" s="207"/>
      <c r="V93" s="207"/>
      <c r="W93" s="205"/>
      <c r="X93" s="205"/>
      <c r="Y93" s="208"/>
      <c r="Z93" s="209">
        <v>0</v>
      </c>
      <c r="AA93" s="207">
        <v>1</v>
      </c>
      <c r="AB93" s="206"/>
      <c r="AC93" s="210"/>
      <c r="AD93" s="211"/>
      <c r="AE93" s="216"/>
    </row>
    <row r="94" spans="1:31" ht="12" customHeight="1">
      <c r="A94" s="203"/>
      <c r="B94" s="203"/>
      <c r="C94" s="203">
        <v>0</v>
      </c>
      <c r="D94" s="214"/>
      <c r="E94" s="204"/>
      <c r="F94" s="204"/>
      <c r="G94" s="204"/>
      <c r="H94" s="204"/>
      <c r="I94" s="204"/>
      <c r="J94" s="204"/>
      <c r="K94" s="204"/>
      <c r="L94" s="204"/>
      <c r="M94" s="204"/>
      <c r="N94" s="204"/>
      <c r="O94" s="204"/>
      <c r="P94" s="205"/>
      <c r="Q94" s="205"/>
      <c r="R94" s="206"/>
      <c r="S94" s="207"/>
      <c r="T94" s="207"/>
      <c r="U94" s="207"/>
      <c r="V94" s="207"/>
      <c r="W94" s="205"/>
      <c r="X94" s="205"/>
      <c r="Y94" s="208"/>
      <c r="Z94" s="209">
        <v>0</v>
      </c>
      <c r="AA94" s="207">
        <v>1</v>
      </c>
      <c r="AB94" s="206"/>
      <c r="AC94" s="210"/>
      <c r="AD94" s="211"/>
      <c r="AE94" s="216"/>
    </row>
    <row r="95" spans="1:31" ht="12" customHeight="1">
      <c r="A95" s="203"/>
      <c r="B95" s="203"/>
      <c r="C95" s="203">
        <v>0</v>
      </c>
      <c r="D95" s="214"/>
      <c r="E95" s="204"/>
      <c r="F95" s="204"/>
      <c r="G95" s="204"/>
      <c r="H95" s="204"/>
      <c r="I95" s="204"/>
      <c r="J95" s="204"/>
      <c r="K95" s="204"/>
      <c r="L95" s="204"/>
      <c r="M95" s="204"/>
      <c r="N95" s="204"/>
      <c r="O95" s="204"/>
      <c r="P95" s="205"/>
      <c r="Q95" s="205"/>
      <c r="R95" s="206"/>
      <c r="S95" s="207"/>
      <c r="T95" s="207"/>
      <c r="U95" s="207"/>
      <c r="V95" s="207"/>
      <c r="W95" s="205"/>
      <c r="X95" s="205"/>
      <c r="Y95" s="208"/>
      <c r="Z95" s="209">
        <v>0</v>
      </c>
      <c r="AA95" s="207">
        <v>1</v>
      </c>
      <c r="AB95" s="206"/>
      <c r="AC95" s="210"/>
      <c r="AD95" s="211"/>
      <c r="AE95" s="216"/>
    </row>
    <row r="96" spans="1:31" ht="12" customHeight="1">
      <c r="A96" s="203">
        <v>1</v>
      </c>
      <c r="B96" s="192"/>
      <c r="C96" s="192"/>
      <c r="D96" s="193"/>
      <c r="E96" s="194"/>
      <c r="F96" s="194"/>
      <c r="G96" s="194"/>
      <c r="H96" s="194"/>
      <c r="I96" s="194"/>
      <c r="J96" s="194"/>
      <c r="K96" s="194"/>
      <c r="L96" s="194"/>
      <c r="M96" s="194"/>
      <c r="N96" s="194"/>
      <c r="O96" s="194"/>
      <c r="P96" s="195"/>
      <c r="Q96" s="195"/>
      <c r="R96" s="196"/>
      <c r="S96" s="197"/>
      <c r="T96" s="197"/>
      <c r="U96" s="197"/>
      <c r="V96" s="197"/>
      <c r="W96" s="195"/>
      <c r="X96" s="195"/>
      <c r="Y96" s="198"/>
      <c r="Z96" s="199"/>
      <c r="AA96" s="197"/>
      <c r="AB96" s="196"/>
      <c r="AC96" s="200"/>
      <c r="AD96" s="201"/>
      <c r="AE96" s="202"/>
    </row>
    <row r="97" spans="1:1" ht="12" customHeight="1">
      <c r="A97" s="192"/>
    </row>
  </sheetData>
  <sheetProtection formatCells="0" formatColumns="0" formatRows="0" insertColumns="0" insertRows="0" insertHyperlinks="0" deleteColumns="0" deleteRows="0" sort="0" autoFilter="0" pivotTables="0"/>
  <dataConsolidate/>
  <mergeCells count="29">
    <mergeCell ref="D2:F2"/>
    <mergeCell ref="O3:O4"/>
    <mergeCell ref="V3:V4"/>
    <mergeCell ref="W3:W4"/>
    <mergeCell ref="U3:U4"/>
    <mergeCell ref="P3:P4"/>
    <mergeCell ref="Q3:Q4"/>
    <mergeCell ref="S3:S4"/>
    <mergeCell ref="R3:R4"/>
    <mergeCell ref="T3:T4"/>
    <mergeCell ref="AE3:AE4"/>
    <mergeCell ref="X3:X4"/>
    <mergeCell ref="Z3:Z4"/>
    <mergeCell ref="A3:A4"/>
    <mergeCell ref="B3:B4"/>
    <mergeCell ref="C3:C4"/>
    <mergeCell ref="D3:D4"/>
    <mergeCell ref="E3:N4"/>
    <mergeCell ref="Y3:Y4"/>
    <mergeCell ref="AD3:AD4"/>
    <mergeCell ref="AB3:AB4"/>
    <mergeCell ref="AA3:AA4"/>
    <mergeCell ref="AC3:AC4"/>
    <mergeCell ref="AF3:AI3"/>
    <mergeCell ref="AF2:AI2"/>
    <mergeCell ref="AJ3:AM3"/>
    <mergeCell ref="AJ2:AM2"/>
    <mergeCell ref="AN3:AQ3"/>
    <mergeCell ref="AN2:AQ2"/>
  </mergeCells>
  <phoneticPr fontId="4" type="noConversion"/>
  <conditionalFormatting sqref="D5:AD73">
    <cfRule type="expression" dxfId="1" priority="2">
      <formula>($B5="G")</formula>
    </cfRule>
    <cfRule type="expression" dxfId="0" priority="1">
      <formula>($AE5=1)</formula>
    </cfRule>
  </conditionalFormatting>
  <hyperlinks>
    <hyperlink ref="AF1:BJ1" r:id="rId1" display="https://xlworks.net/xlgantt-project-scheduler/" xr:uid="{8E09BD03-614A-4684-9BE9-FEEAA5B10BDA}"/>
  </hyperlinks>
  <pageMargins left="0.19685039370078741" right="0.23622047244094491" top="0.43307086614173229" bottom="0.23622047244094491" header="0.23622047244094491" footer="0.19685039370078741"/>
  <pageSetup paperSize="9" scale="60"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1697</v>
      </c>
      <c r="B1" s="2"/>
      <c r="C1" s="2"/>
      <c r="D1" s="2"/>
      <c r="E1" s="2"/>
      <c r="F1" s="2"/>
      <c r="G1" s="2"/>
      <c r="H1" s="2"/>
      <c r="I1" s="2"/>
      <c r="J1" s="2"/>
      <c r="K1" s="2"/>
      <c r="L1" s="306"/>
      <c r="M1" s="307"/>
      <c r="N1" s="307"/>
      <c r="O1" s="3"/>
      <c r="P1" s="3"/>
      <c r="Q1" s="3"/>
    </row>
    <row r="2" spans="1:17" s="7" customFormat="1" ht="12.75">
      <c r="A2" s="5" t="s">
        <v>1427</v>
      </c>
      <c r="B2" s="6"/>
    </row>
    <row r="3" spans="1:17" s="7" customFormat="1" ht="12.75">
      <c r="A3" s="5" t="s">
        <v>1428</v>
      </c>
      <c r="B3" s="6"/>
    </row>
    <row r="4" spans="1:17" s="7" customFormat="1" ht="12.75">
      <c r="A4" s="308"/>
      <c r="B4" s="308"/>
      <c r="C4" s="8"/>
      <c r="D4" s="9"/>
      <c r="E4" s="9"/>
      <c r="F4" s="9"/>
    </row>
    <row r="5" spans="1:17" s="15" customFormat="1" ht="12.75">
      <c r="A5" s="10"/>
      <c r="B5" s="11"/>
      <c r="C5" s="12"/>
      <c r="D5" s="13"/>
      <c r="E5" s="14"/>
      <c r="F5" s="14"/>
      <c r="G5" s="14"/>
    </row>
    <row r="6" spans="1:17" s="15" customFormat="1" ht="12.75">
      <c r="A6" s="16" t="s">
        <v>1429</v>
      </c>
      <c r="B6" s="17">
        <v>183</v>
      </c>
      <c r="C6" s="15" t="s">
        <v>0</v>
      </c>
      <c r="D6" s="305" t="s">
        <v>1430</v>
      </c>
      <c r="E6" s="305"/>
      <c r="F6" s="305"/>
      <c r="G6" s="305"/>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1431</v>
      </c>
      <c r="B9" s="17">
        <v>110</v>
      </c>
      <c r="C9" s="15" t="s">
        <v>0</v>
      </c>
      <c r="D9" s="304" t="s">
        <v>1432</v>
      </c>
      <c r="E9" s="304"/>
      <c r="F9" s="304"/>
      <c r="G9" s="304"/>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1698</v>
      </c>
      <c r="B12" s="17">
        <v>92.52</v>
      </c>
      <c r="C12" s="15" t="s">
        <v>0</v>
      </c>
      <c r="D12" s="309" t="s">
        <v>1699</v>
      </c>
      <c r="E12" s="304"/>
      <c r="F12" s="304"/>
      <c r="G12" s="304"/>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1433</v>
      </c>
      <c r="B15" s="17"/>
      <c r="C15" s="15" t="s">
        <v>0</v>
      </c>
      <c r="D15" s="304" t="s">
        <v>1434</v>
      </c>
      <c r="E15" s="304"/>
      <c r="F15" s="304"/>
      <c r="G15" s="304"/>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1435</v>
      </c>
      <c r="B18" s="39">
        <v>0.60109289617486339</v>
      </c>
      <c r="D18" s="304" t="s">
        <v>1436</v>
      </c>
      <c r="E18" s="304"/>
      <c r="F18" s="304"/>
      <c r="G18" s="304"/>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1437</v>
      </c>
      <c r="B21" s="39">
        <v>0.5055737704918033</v>
      </c>
      <c r="D21" s="304" t="s">
        <v>1438</v>
      </c>
      <c r="E21" s="304"/>
      <c r="F21" s="304"/>
      <c r="G21" s="304"/>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1439</v>
      </c>
      <c r="B24" s="49">
        <f>ACTUAL_RATE-PLANNED_RATE</f>
        <v>-9.5519125683060091E-2</v>
      </c>
      <c r="D24" s="305" t="s">
        <v>1440</v>
      </c>
      <c r="E24" s="305"/>
      <c r="F24" s="305"/>
      <c r="G24" s="305"/>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8"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1529</v>
      </c>
    </row>
    <row r="2" spans="1:12">
      <c r="A2" s="136" t="s">
        <v>595</v>
      </c>
    </row>
    <row r="3" spans="1:12">
      <c r="A3" s="136" t="s">
        <v>598</v>
      </c>
    </row>
    <row r="6" spans="1:12" ht="45">
      <c r="A6" s="63" t="s">
        <v>1267</v>
      </c>
      <c r="B6" s="91" t="s">
        <v>341</v>
      </c>
      <c r="C6" s="91" t="s">
        <v>1268</v>
      </c>
      <c r="D6" s="91" t="s">
        <v>547</v>
      </c>
      <c r="E6" s="91" t="s">
        <v>548</v>
      </c>
      <c r="F6" s="219" t="s">
        <v>1530</v>
      </c>
      <c r="G6" s="220" t="s">
        <v>1531</v>
      </c>
      <c r="H6" s="220" t="s">
        <v>1532</v>
      </c>
      <c r="I6" s="220" t="s">
        <v>1533</v>
      </c>
      <c r="J6" s="220" t="s">
        <v>761</v>
      </c>
      <c r="K6" s="220" t="s">
        <v>591</v>
      </c>
      <c r="L6" s="221" t="s">
        <v>905</v>
      </c>
    </row>
    <row r="7" spans="1:12" outlineLevel="2">
      <c r="A7" s="222" t="s">
        <v>1441</v>
      </c>
      <c r="B7" s="223" t="s">
        <v>1459</v>
      </c>
      <c r="C7" s="222" t="s">
        <v>1460</v>
      </c>
      <c r="D7" s="224">
        <v>44358</v>
      </c>
      <c r="E7" s="224">
        <v>44358</v>
      </c>
      <c r="F7" s="218">
        <v>1</v>
      </c>
      <c r="G7" s="92">
        <v>1</v>
      </c>
      <c r="H7" s="92">
        <v>0</v>
      </c>
      <c r="I7" s="92">
        <v>0</v>
      </c>
      <c r="J7" s="218">
        <v>0</v>
      </c>
      <c r="K7" s="218">
        <v>0</v>
      </c>
      <c r="L7" s="218">
        <f t="shared" ref="L7:L51" si="0">K7-J7</f>
        <v>0</v>
      </c>
    </row>
    <row r="8" spans="1:12" outlineLevel="2">
      <c r="A8" s="222" t="s">
        <v>1441</v>
      </c>
      <c r="B8" s="223" t="s">
        <v>1465</v>
      </c>
      <c r="C8" s="222" t="s">
        <v>1466</v>
      </c>
      <c r="D8" s="224">
        <v>44487</v>
      </c>
      <c r="E8" s="224">
        <v>44487</v>
      </c>
      <c r="F8" s="218">
        <v>0</v>
      </c>
      <c r="G8" s="92">
        <v>0</v>
      </c>
      <c r="H8" s="92">
        <v>0</v>
      </c>
      <c r="I8" s="92">
        <v>0</v>
      </c>
      <c r="J8" s="218">
        <v>0</v>
      </c>
      <c r="K8" s="218">
        <v>0</v>
      </c>
      <c r="L8" s="218">
        <f t="shared" si="0"/>
        <v>0</v>
      </c>
    </row>
    <row r="9" spans="1:12" outlineLevel="2">
      <c r="A9" s="222" t="s">
        <v>1441</v>
      </c>
      <c r="B9" s="223" t="s">
        <v>1467</v>
      </c>
      <c r="C9" s="222" t="s">
        <v>1468</v>
      </c>
      <c r="D9" s="224">
        <v>44340</v>
      </c>
      <c r="E9" s="224">
        <v>44358</v>
      </c>
      <c r="F9" s="218">
        <v>1</v>
      </c>
      <c r="G9" s="92">
        <v>15</v>
      </c>
      <c r="H9" s="92">
        <v>7</v>
      </c>
      <c r="I9" s="92">
        <v>15</v>
      </c>
      <c r="J9" s="218">
        <v>0.46666666666666667</v>
      </c>
      <c r="K9" s="218">
        <v>1</v>
      </c>
      <c r="L9" s="218">
        <f t="shared" si="0"/>
        <v>0.53333333333333333</v>
      </c>
    </row>
    <row r="10" spans="1:12" outlineLevel="2">
      <c r="A10" s="222" t="s">
        <v>1441</v>
      </c>
      <c r="B10" s="223" t="s">
        <v>1470</v>
      </c>
      <c r="C10" s="222" t="s">
        <v>1471</v>
      </c>
      <c r="D10" s="224">
        <v>44346</v>
      </c>
      <c r="E10" s="224">
        <v>44357</v>
      </c>
      <c r="F10" s="218">
        <v>1</v>
      </c>
      <c r="G10" s="92">
        <v>9</v>
      </c>
      <c r="H10" s="92">
        <v>2</v>
      </c>
      <c r="I10" s="92">
        <v>1.8</v>
      </c>
      <c r="J10" s="218">
        <v>0.22222222222222221</v>
      </c>
      <c r="K10" s="218">
        <v>0.2</v>
      </c>
      <c r="L10" s="233">
        <f t="shared" si="0"/>
        <v>-2.2222222222222199E-2</v>
      </c>
    </row>
    <row r="11" spans="1:12" outlineLevel="2">
      <c r="A11" s="222" t="s">
        <v>1441</v>
      </c>
      <c r="B11" s="223" t="s">
        <v>1474</v>
      </c>
      <c r="C11" s="222" t="s">
        <v>1475</v>
      </c>
      <c r="D11" s="224">
        <v>44360</v>
      </c>
      <c r="E11" s="224">
        <v>44378</v>
      </c>
      <c r="F11" s="218">
        <v>1</v>
      </c>
      <c r="G11" s="92">
        <v>14</v>
      </c>
      <c r="H11" s="92">
        <v>0</v>
      </c>
      <c r="I11" s="92">
        <v>0</v>
      </c>
      <c r="J11" s="218">
        <v>0</v>
      </c>
      <c r="K11" s="218">
        <v>0</v>
      </c>
      <c r="L11" s="218">
        <f t="shared" si="0"/>
        <v>0</v>
      </c>
    </row>
    <row r="12" spans="1:12" outlineLevel="2">
      <c r="A12" s="222" t="s">
        <v>1441</v>
      </c>
      <c r="B12" s="223" t="s">
        <v>1477</v>
      </c>
      <c r="C12" s="222" t="s">
        <v>1478</v>
      </c>
      <c r="D12" s="224">
        <v>44367</v>
      </c>
      <c r="E12" s="224">
        <v>44378</v>
      </c>
      <c r="F12" s="218">
        <v>1</v>
      </c>
      <c r="G12" s="92">
        <v>9</v>
      </c>
      <c r="H12" s="92">
        <v>0</v>
      </c>
      <c r="I12" s="92">
        <v>0</v>
      </c>
      <c r="J12" s="218">
        <v>0</v>
      </c>
      <c r="K12" s="218">
        <v>0</v>
      </c>
      <c r="L12" s="218">
        <f t="shared" si="0"/>
        <v>0</v>
      </c>
    </row>
    <row r="13" spans="1:12" outlineLevel="2">
      <c r="A13" s="222" t="s">
        <v>1441</v>
      </c>
      <c r="B13" s="223" t="s">
        <v>1479</v>
      </c>
      <c r="C13" s="222" t="s">
        <v>1480</v>
      </c>
      <c r="D13" s="224">
        <v>44374</v>
      </c>
      <c r="E13" s="224">
        <v>44385</v>
      </c>
      <c r="F13" s="218">
        <v>1</v>
      </c>
      <c r="G13" s="92">
        <v>9</v>
      </c>
      <c r="H13" s="92">
        <v>0</v>
      </c>
      <c r="I13" s="92">
        <v>0</v>
      </c>
      <c r="J13" s="218">
        <v>0</v>
      </c>
      <c r="K13" s="218">
        <v>0</v>
      </c>
      <c r="L13" s="218">
        <f t="shared" si="0"/>
        <v>0</v>
      </c>
    </row>
    <row r="14" spans="1:12" outlineLevel="2">
      <c r="A14" s="222" t="s">
        <v>1441</v>
      </c>
      <c r="B14" s="223" t="s">
        <v>1481</v>
      </c>
      <c r="C14" s="222" t="s">
        <v>1482</v>
      </c>
      <c r="D14" s="224">
        <v>44374</v>
      </c>
      <c r="E14" s="224">
        <v>44392</v>
      </c>
      <c r="F14" s="218">
        <v>1</v>
      </c>
      <c r="G14" s="92">
        <v>14</v>
      </c>
      <c r="H14" s="92">
        <v>0</v>
      </c>
      <c r="I14" s="92">
        <v>0</v>
      </c>
      <c r="J14" s="218">
        <v>0</v>
      </c>
      <c r="K14" s="218">
        <v>0</v>
      </c>
      <c r="L14" s="218">
        <f t="shared" si="0"/>
        <v>0</v>
      </c>
    </row>
    <row r="15" spans="1:12" outlineLevel="2">
      <c r="A15" s="222" t="s">
        <v>1441</v>
      </c>
      <c r="B15" s="223" t="s">
        <v>1483</v>
      </c>
      <c r="C15" s="222" t="s">
        <v>1484</v>
      </c>
      <c r="D15" s="224">
        <v>44395</v>
      </c>
      <c r="E15" s="224">
        <v>44399</v>
      </c>
      <c r="F15" s="218">
        <v>1</v>
      </c>
      <c r="G15" s="92">
        <v>4</v>
      </c>
      <c r="H15" s="92">
        <v>0</v>
      </c>
      <c r="I15" s="92">
        <v>0</v>
      </c>
      <c r="J15" s="218">
        <v>0</v>
      </c>
      <c r="K15" s="218">
        <v>0</v>
      </c>
      <c r="L15" s="218">
        <f t="shared" si="0"/>
        <v>0</v>
      </c>
    </row>
    <row r="16" spans="1:12" outlineLevel="2">
      <c r="A16" s="222" t="s">
        <v>1441</v>
      </c>
      <c r="B16" s="223" t="s">
        <v>1486</v>
      </c>
      <c r="C16" s="222" t="s">
        <v>1487</v>
      </c>
      <c r="D16" s="224">
        <v>44395</v>
      </c>
      <c r="E16" s="224">
        <v>44399</v>
      </c>
      <c r="F16" s="218">
        <v>1</v>
      </c>
      <c r="G16" s="92">
        <v>4</v>
      </c>
      <c r="H16" s="92">
        <v>0</v>
      </c>
      <c r="I16" s="92">
        <v>0</v>
      </c>
      <c r="J16" s="218">
        <v>0</v>
      </c>
      <c r="K16" s="218">
        <v>0</v>
      </c>
      <c r="L16" s="218">
        <f t="shared" si="0"/>
        <v>0</v>
      </c>
    </row>
    <row r="17" spans="1:12" outlineLevel="2">
      <c r="A17" s="222" t="s">
        <v>1441</v>
      </c>
      <c r="B17" s="223" t="s">
        <v>1490</v>
      </c>
      <c r="C17" s="222" t="s">
        <v>1491</v>
      </c>
      <c r="D17" s="224">
        <v>44395</v>
      </c>
      <c r="E17" s="224">
        <v>44399</v>
      </c>
      <c r="F17" s="218">
        <v>1</v>
      </c>
      <c r="G17" s="92">
        <v>4</v>
      </c>
      <c r="H17" s="92">
        <v>0</v>
      </c>
      <c r="I17" s="92">
        <v>0</v>
      </c>
      <c r="J17" s="218">
        <v>0</v>
      </c>
      <c r="K17" s="218">
        <v>0</v>
      </c>
      <c r="L17" s="218">
        <f t="shared" si="0"/>
        <v>0</v>
      </c>
    </row>
    <row r="18" spans="1:12" outlineLevel="2">
      <c r="A18" s="222" t="s">
        <v>1441</v>
      </c>
      <c r="B18" s="223" t="s">
        <v>1492</v>
      </c>
      <c r="C18" s="222" t="s">
        <v>1493</v>
      </c>
      <c r="D18" s="224">
        <v>44402</v>
      </c>
      <c r="E18" s="224">
        <v>44406</v>
      </c>
      <c r="F18" s="218">
        <v>1</v>
      </c>
      <c r="G18" s="92">
        <v>4</v>
      </c>
      <c r="H18" s="92">
        <v>0</v>
      </c>
      <c r="I18" s="92">
        <v>0</v>
      </c>
      <c r="J18" s="218">
        <v>0</v>
      </c>
      <c r="K18" s="218">
        <v>0</v>
      </c>
      <c r="L18" s="218">
        <f t="shared" si="0"/>
        <v>0</v>
      </c>
    </row>
    <row r="19" spans="1:12" outlineLevel="2">
      <c r="A19" s="222" t="s">
        <v>1441</v>
      </c>
      <c r="B19" s="223" t="s">
        <v>1494</v>
      </c>
      <c r="C19" s="222" t="s">
        <v>1495</v>
      </c>
      <c r="D19" s="224">
        <v>44402</v>
      </c>
      <c r="E19" s="224">
        <v>44413</v>
      </c>
      <c r="F19" s="218">
        <v>1</v>
      </c>
      <c r="G19" s="92">
        <v>9</v>
      </c>
      <c r="H19" s="92">
        <v>0</v>
      </c>
      <c r="I19" s="92">
        <v>0</v>
      </c>
      <c r="J19" s="218">
        <v>0</v>
      </c>
      <c r="K19" s="218">
        <v>0</v>
      </c>
      <c r="L19" s="218">
        <f t="shared" si="0"/>
        <v>0</v>
      </c>
    </row>
    <row r="20" spans="1:12" outlineLevel="2">
      <c r="A20" s="222" t="s">
        <v>1441</v>
      </c>
      <c r="B20" s="223" t="s">
        <v>1496</v>
      </c>
      <c r="C20" s="222" t="s">
        <v>1497</v>
      </c>
      <c r="D20" s="224">
        <v>44395</v>
      </c>
      <c r="E20" s="224">
        <v>44454</v>
      </c>
      <c r="F20" s="218">
        <v>1</v>
      </c>
      <c r="G20" s="92">
        <v>43</v>
      </c>
      <c r="H20" s="92">
        <v>0</v>
      </c>
      <c r="I20" s="92">
        <v>0</v>
      </c>
      <c r="J20" s="218">
        <v>0</v>
      </c>
      <c r="K20" s="218">
        <v>0</v>
      </c>
      <c r="L20" s="218">
        <f t="shared" si="0"/>
        <v>0</v>
      </c>
    </row>
    <row r="21" spans="1:12" outlineLevel="2">
      <c r="A21" s="222" t="s">
        <v>1441</v>
      </c>
      <c r="B21" s="223" t="s">
        <v>1498</v>
      </c>
      <c r="C21" s="222" t="s">
        <v>1499</v>
      </c>
      <c r="D21" s="224">
        <v>44395</v>
      </c>
      <c r="E21" s="224">
        <v>44454</v>
      </c>
      <c r="F21" s="218">
        <v>1</v>
      </c>
      <c r="G21" s="92">
        <v>43</v>
      </c>
      <c r="H21" s="92">
        <v>0</v>
      </c>
      <c r="I21" s="92">
        <v>0</v>
      </c>
      <c r="J21" s="218">
        <v>0</v>
      </c>
      <c r="K21" s="218">
        <v>0</v>
      </c>
      <c r="L21" s="218">
        <f t="shared" si="0"/>
        <v>0</v>
      </c>
    </row>
    <row r="22" spans="1:12" outlineLevel="2">
      <c r="A22" s="222" t="s">
        <v>1441</v>
      </c>
      <c r="B22" s="223" t="s">
        <v>1500</v>
      </c>
      <c r="C22" s="222" t="s">
        <v>1501</v>
      </c>
      <c r="D22" s="224">
        <v>44409</v>
      </c>
      <c r="E22" s="224">
        <v>44454</v>
      </c>
      <c r="F22" s="218">
        <v>1</v>
      </c>
      <c r="G22" s="92">
        <v>33</v>
      </c>
      <c r="H22" s="92">
        <v>0</v>
      </c>
      <c r="I22" s="92">
        <v>0</v>
      </c>
      <c r="J22" s="218">
        <v>0</v>
      </c>
      <c r="K22" s="218">
        <v>0</v>
      </c>
      <c r="L22" s="218">
        <f t="shared" si="0"/>
        <v>0</v>
      </c>
    </row>
    <row r="23" spans="1:12" outlineLevel="2">
      <c r="A23" s="222" t="s">
        <v>1441</v>
      </c>
      <c r="B23" s="223" t="s">
        <v>1503</v>
      </c>
      <c r="C23" s="222" t="s">
        <v>1504</v>
      </c>
      <c r="D23" s="224">
        <v>44437</v>
      </c>
      <c r="E23" s="224">
        <v>44455</v>
      </c>
      <c r="F23" s="218">
        <v>1</v>
      </c>
      <c r="G23" s="92">
        <v>14</v>
      </c>
      <c r="H23" s="92">
        <v>0</v>
      </c>
      <c r="I23" s="92">
        <v>0</v>
      </c>
      <c r="J23" s="218">
        <v>0</v>
      </c>
      <c r="K23" s="218">
        <v>0</v>
      </c>
      <c r="L23" s="218">
        <f t="shared" si="0"/>
        <v>0</v>
      </c>
    </row>
    <row r="24" spans="1:12" outlineLevel="2">
      <c r="A24" s="222" t="s">
        <v>1441</v>
      </c>
      <c r="B24" s="223" t="s">
        <v>1505</v>
      </c>
      <c r="C24" s="222" t="s">
        <v>1506</v>
      </c>
      <c r="D24" s="224">
        <v>44458</v>
      </c>
      <c r="E24" s="224">
        <v>44462</v>
      </c>
      <c r="F24" s="218">
        <v>1</v>
      </c>
      <c r="G24" s="92">
        <v>1</v>
      </c>
      <c r="H24" s="92">
        <v>0</v>
      </c>
      <c r="I24" s="92">
        <v>0</v>
      </c>
      <c r="J24" s="218">
        <v>0</v>
      </c>
      <c r="K24" s="218">
        <v>0</v>
      </c>
      <c r="L24" s="218">
        <f t="shared" si="0"/>
        <v>0</v>
      </c>
    </row>
    <row r="25" spans="1:12" outlineLevel="2">
      <c r="A25" s="222" t="s">
        <v>1441</v>
      </c>
      <c r="B25" s="223" t="s">
        <v>1508</v>
      </c>
      <c r="C25" s="222" t="s">
        <v>1509</v>
      </c>
      <c r="D25" s="224">
        <v>44458</v>
      </c>
      <c r="E25" s="224">
        <v>44460</v>
      </c>
      <c r="F25" s="218">
        <v>1</v>
      </c>
      <c r="G25" s="92">
        <v>0</v>
      </c>
      <c r="H25" s="92">
        <v>0</v>
      </c>
      <c r="I25" s="92">
        <v>0</v>
      </c>
      <c r="J25" s="218">
        <v>0</v>
      </c>
      <c r="K25" s="218">
        <v>0</v>
      </c>
      <c r="L25" s="218">
        <f t="shared" si="0"/>
        <v>0</v>
      </c>
    </row>
    <row r="26" spans="1:12" outlineLevel="2">
      <c r="A26" s="222" t="s">
        <v>1441</v>
      </c>
      <c r="B26" s="223" t="s">
        <v>1511</v>
      </c>
      <c r="C26" s="222" t="s">
        <v>1512</v>
      </c>
      <c r="D26" s="224">
        <v>44462</v>
      </c>
      <c r="E26" s="224">
        <v>44464</v>
      </c>
      <c r="F26" s="218">
        <v>1</v>
      </c>
      <c r="G26" s="92">
        <v>2</v>
      </c>
      <c r="H26" s="92">
        <v>0</v>
      </c>
      <c r="I26" s="92">
        <v>0</v>
      </c>
      <c r="J26" s="218">
        <v>0</v>
      </c>
      <c r="K26" s="218">
        <v>0</v>
      </c>
      <c r="L26" s="218">
        <f t="shared" si="0"/>
        <v>0</v>
      </c>
    </row>
    <row r="27" spans="1:12" outlineLevel="2">
      <c r="A27" s="222" t="s">
        <v>1441</v>
      </c>
      <c r="B27" s="223" t="s">
        <v>1513</v>
      </c>
      <c r="C27" s="222" t="s">
        <v>1514</v>
      </c>
      <c r="D27" s="224">
        <v>44462</v>
      </c>
      <c r="E27" s="224">
        <v>44464</v>
      </c>
      <c r="F27" s="218">
        <v>1</v>
      </c>
      <c r="G27" s="92">
        <v>2</v>
      </c>
      <c r="H27" s="92">
        <v>0</v>
      </c>
      <c r="I27" s="92">
        <v>0</v>
      </c>
      <c r="J27" s="218">
        <v>0</v>
      </c>
      <c r="K27" s="218">
        <v>0</v>
      </c>
      <c r="L27" s="218">
        <f t="shared" si="0"/>
        <v>0</v>
      </c>
    </row>
    <row r="28" spans="1:12" outlineLevel="2">
      <c r="A28" s="222" t="s">
        <v>1441</v>
      </c>
      <c r="B28" s="223" t="s">
        <v>1515</v>
      </c>
      <c r="C28" s="222" t="s">
        <v>1516</v>
      </c>
      <c r="D28" s="224">
        <v>44462</v>
      </c>
      <c r="E28" s="224">
        <v>44464</v>
      </c>
      <c r="F28" s="218">
        <v>1</v>
      </c>
      <c r="G28" s="92">
        <v>2</v>
      </c>
      <c r="H28" s="92">
        <v>0</v>
      </c>
      <c r="I28" s="92">
        <v>0</v>
      </c>
      <c r="J28" s="218">
        <v>0</v>
      </c>
      <c r="K28" s="218">
        <v>0</v>
      </c>
      <c r="L28" s="218">
        <f t="shared" si="0"/>
        <v>0</v>
      </c>
    </row>
    <row r="29" spans="1:12" outlineLevel="2">
      <c r="A29" s="222" t="s">
        <v>1441</v>
      </c>
      <c r="B29" s="223" t="s">
        <v>1517</v>
      </c>
      <c r="C29" s="222" t="s">
        <v>1518</v>
      </c>
      <c r="D29" s="224">
        <v>44465</v>
      </c>
      <c r="E29" s="224">
        <v>44465</v>
      </c>
      <c r="F29" s="218">
        <v>0</v>
      </c>
      <c r="G29" s="92">
        <v>0</v>
      </c>
      <c r="H29" s="92">
        <v>0</v>
      </c>
      <c r="I29" s="92">
        <v>0</v>
      </c>
      <c r="J29" s="218">
        <v>0</v>
      </c>
      <c r="K29" s="218">
        <v>0</v>
      </c>
      <c r="L29" s="218">
        <f t="shared" si="0"/>
        <v>0</v>
      </c>
    </row>
    <row r="30" spans="1:12" outlineLevel="1">
      <c r="A30" s="225" t="s">
        <v>1534</v>
      </c>
      <c r="B30" s="226"/>
      <c r="C30" s="227"/>
      <c r="D30" s="228"/>
      <c r="E30" s="228"/>
      <c r="F30" s="229"/>
      <c r="G30" s="230">
        <f>SUBTOTAL(9,G7:G29)</f>
        <v>236</v>
      </c>
      <c r="H30" s="230">
        <f>SUBTOTAL(9,H7:H29)</f>
        <v>9</v>
      </c>
      <c r="I30" s="230">
        <f>SUBTOTAL(9,I7:I29)</f>
        <v>16.8</v>
      </c>
      <c r="J30" s="229">
        <f>H30/G30</f>
        <v>3.8135593220338986E-2</v>
      </c>
      <c r="K30" s="229">
        <f>I30/G30</f>
        <v>7.1186440677966104E-2</v>
      </c>
      <c r="L30" s="229">
        <f t="shared" si="0"/>
        <v>3.3050847457627118E-2</v>
      </c>
    </row>
    <row r="31" spans="1:12" outlineLevel="2">
      <c r="A31" s="222" t="s">
        <v>1318</v>
      </c>
      <c r="B31" s="223" t="s">
        <v>1082</v>
      </c>
      <c r="C31" s="222" t="s">
        <v>1450</v>
      </c>
      <c r="D31" s="224">
        <v>44336</v>
      </c>
      <c r="E31" s="224">
        <v>44337</v>
      </c>
      <c r="F31" s="218">
        <v>1</v>
      </c>
      <c r="G31" s="92">
        <v>2</v>
      </c>
      <c r="H31" s="92">
        <v>2</v>
      </c>
      <c r="I31" s="92">
        <v>2</v>
      </c>
      <c r="J31" s="218">
        <v>1</v>
      </c>
      <c r="K31" s="218">
        <v>1</v>
      </c>
      <c r="L31" s="218">
        <f t="shared" si="0"/>
        <v>0</v>
      </c>
    </row>
    <row r="32" spans="1:12" outlineLevel="2">
      <c r="A32" s="222" t="s">
        <v>1318</v>
      </c>
      <c r="B32" s="223" t="s">
        <v>1087</v>
      </c>
      <c r="C32" s="222" t="s">
        <v>1461</v>
      </c>
      <c r="D32" s="224">
        <v>44462</v>
      </c>
      <c r="E32" s="224">
        <v>44466</v>
      </c>
      <c r="F32" s="218">
        <v>1</v>
      </c>
      <c r="G32" s="92">
        <v>3</v>
      </c>
      <c r="H32" s="92">
        <v>0</v>
      </c>
      <c r="I32" s="92">
        <v>0</v>
      </c>
      <c r="J32" s="218">
        <v>0</v>
      </c>
      <c r="K32" s="218">
        <v>0</v>
      </c>
      <c r="L32" s="218">
        <f t="shared" si="0"/>
        <v>0</v>
      </c>
    </row>
    <row r="33" spans="1:12" outlineLevel="1">
      <c r="A33" s="225" t="s">
        <v>1535</v>
      </c>
      <c r="B33" s="226"/>
      <c r="C33" s="227"/>
      <c r="D33" s="228"/>
      <c r="E33" s="228"/>
      <c r="F33" s="229"/>
      <c r="G33" s="230">
        <f>SUBTOTAL(9,G31:G32)</f>
        <v>5</v>
      </c>
      <c r="H33" s="230">
        <f>SUBTOTAL(9,H31:H32)</f>
        <v>2</v>
      </c>
      <c r="I33" s="230">
        <f>SUBTOTAL(9,I31:I32)</f>
        <v>2</v>
      </c>
      <c r="J33" s="229">
        <f>H33/G33</f>
        <v>0.4</v>
      </c>
      <c r="K33" s="229">
        <f>I33/G33</f>
        <v>0.4</v>
      </c>
      <c r="L33" s="229">
        <f t="shared" si="0"/>
        <v>0</v>
      </c>
    </row>
    <row r="34" spans="1:12" outlineLevel="2">
      <c r="A34" s="222" t="s">
        <v>1349</v>
      </c>
      <c r="B34" s="223" t="s">
        <v>1463</v>
      </c>
      <c r="C34" s="222" t="s">
        <v>1464</v>
      </c>
      <c r="D34" s="224">
        <v>44487</v>
      </c>
      <c r="E34" s="224">
        <v>44487</v>
      </c>
      <c r="F34" s="218">
        <v>1</v>
      </c>
      <c r="G34" s="92">
        <v>1</v>
      </c>
      <c r="H34" s="92">
        <v>0</v>
      </c>
      <c r="I34" s="92">
        <v>0</v>
      </c>
      <c r="J34" s="218">
        <v>0</v>
      </c>
      <c r="K34" s="218">
        <v>0</v>
      </c>
      <c r="L34" s="218">
        <f t="shared" si="0"/>
        <v>0</v>
      </c>
    </row>
    <row r="35" spans="1:12" outlineLevel="1">
      <c r="A35" s="225" t="s">
        <v>1536</v>
      </c>
      <c r="B35" s="226"/>
      <c r="C35" s="227"/>
      <c r="D35" s="228"/>
      <c r="E35" s="228"/>
      <c r="F35" s="229"/>
      <c r="G35" s="230">
        <f>SUBTOTAL(9,G34:G34)</f>
        <v>1</v>
      </c>
      <c r="H35" s="230">
        <f>SUBTOTAL(9,H34:H34)</f>
        <v>0</v>
      </c>
      <c r="I35" s="230">
        <f>SUBTOTAL(9,I34:I34)</f>
        <v>0</v>
      </c>
      <c r="J35" s="229">
        <f>H35/G35</f>
        <v>0</v>
      </c>
      <c r="K35" s="229">
        <f>I35/G35</f>
        <v>0</v>
      </c>
      <c r="L35" s="229">
        <f t="shared" si="0"/>
        <v>0</v>
      </c>
    </row>
    <row r="36" spans="1:12" outlineLevel="2">
      <c r="A36" s="222" t="s">
        <v>1319</v>
      </c>
      <c r="B36" s="223" t="s">
        <v>1472</v>
      </c>
      <c r="C36" s="222" t="s">
        <v>1473</v>
      </c>
      <c r="D36" s="224">
        <v>44346</v>
      </c>
      <c r="E36" s="224">
        <v>44357</v>
      </c>
      <c r="F36" s="218">
        <v>1.2</v>
      </c>
      <c r="G36" s="92">
        <v>10.8</v>
      </c>
      <c r="H36" s="92">
        <v>2.4</v>
      </c>
      <c r="I36" s="92">
        <v>1.62</v>
      </c>
      <c r="J36" s="218">
        <v>0.22222222222222221</v>
      </c>
      <c r="K36" s="218">
        <v>0.15</v>
      </c>
      <c r="L36" s="233">
        <f t="shared" si="0"/>
        <v>-7.2222222222222215E-2</v>
      </c>
    </row>
    <row r="37" spans="1:12" outlineLevel="1">
      <c r="A37" s="225" t="s">
        <v>1537</v>
      </c>
      <c r="B37" s="226"/>
      <c r="C37" s="227"/>
      <c r="D37" s="228"/>
      <c r="E37" s="228"/>
      <c r="F37" s="229"/>
      <c r="G37" s="230">
        <f>SUBTOTAL(9,G36:G36)</f>
        <v>10.8</v>
      </c>
      <c r="H37" s="230">
        <f>SUBTOTAL(9,H36:H36)</f>
        <v>2.4</v>
      </c>
      <c r="I37" s="230">
        <f>SUBTOTAL(9,I36:I36)</f>
        <v>1.62</v>
      </c>
      <c r="J37" s="229">
        <f>H37/G37</f>
        <v>0.22222222222222221</v>
      </c>
      <c r="K37" s="229">
        <f>I37/G37</f>
        <v>0.15</v>
      </c>
      <c r="L37" s="234">
        <f t="shared" si="0"/>
        <v>-7.2222222222222215E-2</v>
      </c>
    </row>
    <row r="38" spans="1:12" outlineLevel="2">
      <c r="A38" s="222" t="s">
        <v>1526</v>
      </c>
      <c r="B38" s="223" t="s">
        <v>1085</v>
      </c>
      <c r="C38" s="222" t="s">
        <v>1455</v>
      </c>
      <c r="D38" s="224">
        <v>44361</v>
      </c>
      <c r="E38" s="224">
        <v>44365</v>
      </c>
      <c r="F38" s="218">
        <v>0.2</v>
      </c>
      <c r="G38" s="92">
        <v>1</v>
      </c>
      <c r="H38" s="92">
        <v>0</v>
      </c>
      <c r="I38" s="92">
        <v>0.5</v>
      </c>
      <c r="J38" s="218">
        <v>0</v>
      </c>
      <c r="K38" s="218">
        <v>0.5</v>
      </c>
      <c r="L38" s="218">
        <f t="shared" si="0"/>
        <v>0.5</v>
      </c>
    </row>
    <row r="39" spans="1:12" outlineLevel="2">
      <c r="A39" s="222" t="s">
        <v>1526</v>
      </c>
      <c r="B39" s="223" t="s">
        <v>1106</v>
      </c>
      <c r="C39" s="222" t="s">
        <v>1456</v>
      </c>
      <c r="D39" s="224">
        <v>44393</v>
      </c>
      <c r="E39" s="224">
        <v>44393</v>
      </c>
      <c r="F39" s="218">
        <v>0.2</v>
      </c>
      <c r="G39" s="92">
        <v>0.2</v>
      </c>
      <c r="H39" s="92">
        <v>0</v>
      </c>
      <c r="I39" s="92">
        <v>0</v>
      </c>
      <c r="J39" s="218">
        <v>0</v>
      </c>
      <c r="K39" s="218">
        <v>0</v>
      </c>
      <c r="L39" s="218">
        <f t="shared" si="0"/>
        <v>0</v>
      </c>
    </row>
    <row r="40" spans="1:12" outlineLevel="2">
      <c r="A40" s="222" t="s">
        <v>1526</v>
      </c>
      <c r="B40" s="223" t="s">
        <v>1457</v>
      </c>
      <c r="C40" s="222" t="s">
        <v>1458</v>
      </c>
      <c r="D40" s="224">
        <v>44429</v>
      </c>
      <c r="E40" s="224">
        <v>44454</v>
      </c>
      <c r="F40" s="218">
        <v>0.2</v>
      </c>
      <c r="G40" s="92">
        <v>3.6</v>
      </c>
      <c r="H40" s="92">
        <v>0</v>
      </c>
      <c r="I40" s="92">
        <v>0</v>
      </c>
      <c r="J40" s="218">
        <v>0</v>
      </c>
      <c r="K40" s="218">
        <v>0</v>
      </c>
      <c r="L40" s="218">
        <f t="shared" si="0"/>
        <v>0</v>
      </c>
    </row>
    <row r="41" spans="1:12" outlineLevel="1">
      <c r="A41" s="225" t="s">
        <v>1538</v>
      </c>
      <c r="B41" s="226"/>
      <c r="C41" s="227"/>
      <c r="D41" s="228"/>
      <c r="E41" s="228"/>
      <c r="F41" s="229"/>
      <c r="G41" s="230">
        <f>SUBTOTAL(9,G38:G40)</f>
        <v>4.8</v>
      </c>
      <c r="H41" s="230">
        <f>SUBTOTAL(9,H38:H40)</f>
        <v>0</v>
      </c>
      <c r="I41" s="230">
        <f>SUBTOTAL(9,I38:I40)</f>
        <v>0.5</v>
      </c>
      <c r="J41" s="229">
        <f>H41/G41</f>
        <v>0</v>
      </c>
      <c r="K41" s="229">
        <f>I41/G41</f>
        <v>0.10416666666666667</v>
      </c>
      <c r="L41" s="229">
        <f t="shared" si="0"/>
        <v>0.10416666666666667</v>
      </c>
    </row>
    <row r="42" spans="1:12" outlineLevel="2">
      <c r="A42" s="222" t="s">
        <v>1350</v>
      </c>
      <c r="B42" s="223" t="s">
        <v>1463</v>
      </c>
      <c r="C42" s="222" t="s">
        <v>1464</v>
      </c>
      <c r="D42" s="224">
        <v>44487</v>
      </c>
      <c r="E42" s="224">
        <v>44487</v>
      </c>
      <c r="F42" s="218">
        <v>1</v>
      </c>
      <c r="G42" s="92">
        <v>1</v>
      </c>
      <c r="H42" s="92">
        <v>0</v>
      </c>
      <c r="I42" s="92">
        <v>0</v>
      </c>
      <c r="J42" s="218">
        <v>0</v>
      </c>
      <c r="K42" s="218">
        <v>0</v>
      </c>
      <c r="L42" s="218">
        <f t="shared" si="0"/>
        <v>0</v>
      </c>
    </row>
    <row r="43" spans="1:12" outlineLevel="1">
      <c r="A43" s="225" t="s">
        <v>1539</v>
      </c>
      <c r="B43" s="226"/>
      <c r="C43" s="227"/>
      <c r="D43" s="228"/>
      <c r="E43" s="228"/>
      <c r="F43" s="229"/>
      <c r="G43" s="230">
        <f>SUBTOTAL(9,G42:G42)</f>
        <v>1</v>
      </c>
      <c r="H43" s="230">
        <f>SUBTOTAL(9,H42:H42)</f>
        <v>0</v>
      </c>
      <c r="I43" s="230">
        <f>SUBTOTAL(9,I42:I42)</f>
        <v>0</v>
      </c>
      <c r="J43" s="229">
        <f>H43/G43</f>
        <v>0</v>
      </c>
      <c r="K43" s="229">
        <f>I43/G43</f>
        <v>0</v>
      </c>
      <c r="L43" s="229">
        <f t="shared" si="0"/>
        <v>0</v>
      </c>
    </row>
    <row r="44" spans="1:12" outlineLevel="2">
      <c r="A44" s="222" t="s">
        <v>1317</v>
      </c>
      <c r="B44" s="223" t="s">
        <v>1082</v>
      </c>
      <c r="C44" s="222" t="s">
        <v>1450</v>
      </c>
      <c r="D44" s="224">
        <v>44336</v>
      </c>
      <c r="E44" s="224">
        <v>44337</v>
      </c>
      <c r="F44" s="218">
        <v>1</v>
      </c>
      <c r="G44" s="92">
        <v>2</v>
      </c>
      <c r="H44" s="92">
        <v>2</v>
      </c>
      <c r="I44" s="92">
        <v>2</v>
      </c>
      <c r="J44" s="218">
        <v>1</v>
      </c>
      <c r="K44" s="218">
        <v>1</v>
      </c>
      <c r="L44" s="218">
        <f t="shared" si="0"/>
        <v>0</v>
      </c>
    </row>
    <row r="45" spans="1:12" outlineLevel="2">
      <c r="A45" s="222" t="s">
        <v>1317</v>
      </c>
      <c r="B45" s="223" t="s">
        <v>1451</v>
      </c>
      <c r="C45" s="222" t="s">
        <v>1452</v>
      </c>
      <c r="D45" s="224">
        <v>44340</v>
      </c>
      <c r="E45" s="224">
        <v>44346</v>
      </c>
      <c r="F45" s="218">
        <v>1</v>
      </c>
      <c r="G45" s="92">
        <v>5</v>
      </c>
      <c r="H45" s="92">
        <v>5</v>
      </c>
      <c r="I45" s="92">
        <v>4.5</v>
      </c>
      <c r="J45" s="218">
        <v>1</v>
      </c>
      <c r="K45" s="218">
        <v>0.9</v>
      </c>
      <c r="L45" s="233">
        <f t="shared" si="0"/>
        <v>-9.9999999999999978E-2</v>
      </c>
    </row>
    <row r="46" spans="1:12" outlineLevel="2">
      <c r="A46" s="222" t="s">
        <v>1317</v>
      </c>
      <c r="B46" s="223" t="s">
        <v>1453</v>
      </c>
      <c r="C46" s="222" t="s">
        <v>1454</v>
      </c>
      <c r="D46" s="224">
        <v>44358</v>
      </c>
      <c r="E46" s="224">
        <v>44358</v>
      </c>
      <c r="F46" s="218">
        <v>0</v>
      </c>
      <c r="G46" s="92">
        <v>0</v>
      </c>
      <c r="H46" s="92">
        <v>0</v>
      </c>
      <c r="I46" s="92">
        <v>0</v>
      </c>
      <c r="J46" s="218">
        <v>0</v>
      </c>
      <c r="K46" s="218">
        <v>0</v>
      </c>
      <c r="L46" s="218">
        <f t="shared" si="0"/>
        <v>0</v>
      </c>
    </row>
    <row r="47" spans="1:12" outlineLevel="2">
      <c r="A47" s="222" t="s">
        <v>1317</v>
      </c>
      <c r="B47" s="223" t="s">
        <v>1087</v>
      </c>
      <c r="C47" s="222" t="s">
        <v>1461</v>
      </c>
      <c r="D47" s="224">
        <v>44462</v>
      </c>
      <c r="E47" s="224">
        <v>44466</v>
      </c>
      <c r="F47" s="218">
        <v>1</v>
      </c>
      <c r="G47" s="92">
        <v>3</v>
      </c>
      <c r="H47" s="92">
        <v>0</v>
      </c>
      <c r="I47" s="92">
        <v>0</v>
      </c>
      <c r="J47" s="218">
        <v>0</v>
      </c>
      <c r="K47" s="218">
        <v>0</v>
      </c>
      <c r="L47" s="218">
        <f t="shared" si="0"/>
        <v>0</v>
      </c>
    </row>
    <row r="48" spans="1:12" outlineLevel="2">
      <c r="A48" s="222" t="s">
        <v>1317</v>
      </c>
      <c r="B48" s="223" t="s">
        <v>1472</v>
      </c>
      <c r="C48" s="222" t="s">
        <v>1473</v>
      </c>
      <c r="D48" s="224">
        <v>44346</v>
      </c>
      <c r="E48" s="224">
        <v>44357</v>
      </c>
      <c r="F48" s="218">
        <v>0.5</v>
      </c>
      <c r="G48" s="92">
        <v>4.5</v>
      </c>
      <c r="H48" s="92">
        <v>1</v>
      </c>
      <c r="I48" s="92">
        <v>0.67499999999999993</v>
      </c>
      <c r="J48" s="218">
        <v>0.22222222222222221</v>
      </c>
      <c r="K48" s="218">
        <v>0.15</v>
      </c>
      <c r="L48" s="233">
        <f t="shared" si="0"/>
        <v>-7.2222222222222215E-2</v>
      </c>
    </row>
    <row r="49" spans="1:12" outlineLevel="1">
      <c r="A49" s="225" t="s">
        <v>1540</v>
      </c>
      <c r="B49" s="226"/>
      <c r="C49" s="227"/>
      <c r="D49" s="228"/>
      <c r="E49" s="228"/>
      <c r="F49" s="229"/>
      <c r="G49" s="230">
        <f>SUBTOTAL(9,G44:G48)</f>
        <v>14.5</v>
      </c>
      <c r="H49" s="230">
        <f>SUBTOTAL(9,H44:H48)</f>
        <v>8</v>
      </c>
      <c r="I49" s="230">
        <f>SUBTOTAL(9,I44:I48)</f>
        <v>7.1749999999999998</v>
      </c>
      <c r="J49" s="229">
        <f>H49/G49</f>
        <v>0.55172413793103448</v>
      </c>
      <c r="K49" s="229">
        <f>I49/G49</f>
        <v>0.49482758620689654</v>
      </c>
      <c r="L49" s="234">
        <f t="shared" si="0"/>
        <v>-5.6896551724137934E-2</v>
      </c>
    </row>
    <row r="50" spans="1:12" outlineLevel="2">
      <c r="A50" s="222" t="s">
        <v>729</v>
      </c>
      <c r="B50" s="223" t="s">
        <v>1107</v>
      </c>
      <c r="C50" s="222" t="s">
        <v>1462</v>
      </c>
      <c r="D50" s="224">
        <v>44469</v>
      </c>
      <c r="E50" s="224">
        <v>44487</v>
      </c>
      <c r="F50" s="218">
        <v>1</v>
      </c>
      <c r="G50" s="92">
        <v>13</v>
      </c>
      <c r="H50" s="92">
        <v>0</v>
      </c>
      <c r="I50" s="92">
        <v>0</v>
      </c>
      <c r="J50" s="218">
        <v>0</v>
      </c>
      <c r="K50" s="218">
        <v>0</v>
      </c>
      <c r="L50" s="218">
        <f t="shared" si="0"/>
        <v>0</v>
      </c>
    </row>
    <row r="51" spans="1:12" outlineLevel="1">
      <c r="A51" s="225" t="s">
        <v>1541</v>
      </c>
      <c r="B51" s="226"/>
      <c r="C51" s="227"/>
      <c r="D51" s="228"/>
      <c r="E51" s="228"/>
      <c r="F51" s="229"/>
      <c r="G51" s="230">
        <f>SUBTOTAL(9,G50:G50)</f>
        <v>13</v>
      </c>
      <c r="H51" s="230">
        <f>SUBTOTAL(9,H50:H50)</f>
        <v>0</v>
      </c>
      <c r="I51" s="230">
        <f>SUBTOTAL(9,I50:I50)</f>
        <v>0</v>
      </c>
      <c r="J51" s="229">
        <f>H51/G51</f>
        <v>0</v>
      </c>
      <c r="K51" s="229">
        <f>I51/G51</f>
        <v>0</v>
      </c>
      <c r="L51" s="229">
        <f t="shared" si="0"/>
        <v>0</v>
      </c>
    </row>
    <row r="52" spans="1:12" outlineLevel="1">
      <c r="J52" s="218"/>
      <c r="K52" s="218"/>
      <c r="L52" s="218"/>
    </row>
    <row r="53" spans="1:12" outlineLevel="1">
      <c r="A53" s="231" t="s">
        <v>1542</v>
      </c>
      <c r="B53" s="232"/>
      <c r="C53" s="232"/>
      <c r="D53" s="232"/>
      <c r="E53" s="232"/>
      <c r="F53" s="229"/>
      <c r="G53" s="230">
        <f>SUBTOTAL(9,G7:G52)</f>
        <v>286.10000000000002</v>
      </c>
      <c r="H53" s="230">
        <f>SUBTOTAL(9,H7:H52)</f>
        <v>21.4</v>
      </c>
      <c r="I53" s="230">
        <f>SUBTOTAL(9,I7:I52)</f>
        <v>28.095000000000002</v>
      </c>
      <c r="J53" s="229">
        <f>H53/G53</f>
        <v>7.4799021321216352E-2</v>
      </c>
      <c r="K53" s="229">
        <f>I53/G53</f>
        <v>9.8199930094372598E-2</v>
      </c>
      <c r="L53" s="229">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00000000-0004-0000-0400-000000000000}"/>
    <hyperlink ref="B31" location="Schedule!$D$7" display="1.1.1" xr:uid="{00000000-0004-0000-0400-000001000000}"/>
    <hyperlink ref="B45" location="Schedule!$D$9" display="1.1.2.1" xr:uid="{00000000-0004-0000-0400-000002000000}"/>
    <hyperlink ref="B46" location="Schedule!$D$10" display="1.1.2.2" xr:uid="{00000000-0004-0000-0400-000003000000}"/>
    <hyperlink ref="B38" location="Schedule!$D$12" display="1.2.1" xr:uid="{00000000-0004-0000-0400-000004000000}"/>
    <hyperlink ref="B39" location="Schedule!$D$13" display="1.2.2" xr:uid="{00000000-0004-0000-0400-000005000000}"/>
    <hyperlink ref="B40" location="Schedule!$D$14" display="1.2.3" xr:uid="{00000000-0004-0000-0400-000006000000}"/>
    <hyperlink ref="B7" location="Schedule!$D$15" display="1.2.4" xr:uid="{00000000-0004-0000-0400-000007000000}"/>
    <hyperlink ref="B32" location="Schedule!$D$17" display="1.3.1" xr:uid="{00000000-0004-0000-0400-000008000000}"/>
    <hyperlink ref="B47" location="Schedule!$D$17" display="1.3.1" xr:uid="{00000000-0004-0000-0400-000009000000}"/>
    <hyperlink ref="B50" location="Schedule!$D$18" display="1.3.2" xr:uid="{00000000-0004-0000-0400-00000A000000}"/>
    <hyperlink ref="B34" location="Schedule!$D$19" display="1.3.3" xr:uid="{00000000-0004-0000-0400-00000B000000}"/>
    <hyperlink ref="B42" location="Schedule!$D$19" display="1.3.3" xr:uid="{00000000-0004-0000-0400-00000C000000}"/>
    <hyperlink ref="B8" location="Schedule!$D$20" display="1.3.4" xr:uid="{00000000-0004-0000-0400-00000D000000}"/>
    <hyperlink ref="B9" location="Schedule!$D$24" display="2.1.1" xr:uid="{00000000-0004-0000-0400-00000E000000}"/>
    <hyperlink ref="B10" location="Schedule!$D$26" display="2.1.2.1" xr:uid="{00000000-0004-0000-0400-00000F000000}"/>
    <hyperlink ref="B36" location="Schedule!$D$27" display="2.1.2.2" xr:uid="{00000000-0004-0000-0400-000010000000}"/>
    <hyperlink ref="B48" location="Schedule!$D$27" display="2.1.2.2" xr:uid="{00000000-0004-0000-0400-000011000000}"/>
    <hyperlink ref="B11" location="Schedule!$D$29" display="2.2.1" xr:uid="{00000000-0004-0000-0400-000012000000}"/>
    <hyperlink ref="B12" location="Schedule!$D$31" display="2.2.2.1" xr:uid="{00000000-0004-0000-0400-000013000000}"/>
    <hyperlink ref="B13" location="Schedule!$D$32" display="2.2.2.2" xr:uid="{00000000-0004-0000-0400-000014000000}"/>
    <hyperlink ref="B14" location="Schedule!$D$33" display="2.2.2.3" xr:uid="{00000000-0004-0000-0400-000015000000}"/>
    <hyperlink ref="B15" location="Schedule!$D$34" display="2.2.3" xr:uid="{00000000-0004-0000-0400-000016000000}"/>
    <hyperlink ref="B16" location="Schedule!$D$37" display="2.3.1.1" xr:uid="{00000000-0004-0000-0400-000017000000}"/>
    <hyperlink ref="B17" location="Schedule!$D$40" display="2.3.1.2.1.1" xr:uid="{00000000-0004-0000-0400-000018000000}"/>
    <hyperlink ref="B18" location="Schedule!$D$41" display="2.3.1.2.1.2" xr:uid="{00000000-0004-0000-0400-000019000000}"/>
    <hyperlink ref="B19" location="Schedule!$D$42" display="2.3.1.2.1.3" xr:uid="{00000000-0004-0000-0400-00001A000000}"/>
    <hyperlink ref="B20" location="Schedule!$D$43" display="2.3.1.2.2" xr:uid="{00000000-0004-0000-0400-00001B000000}"/>
    <hyperlink ref="B21" location="Schedule!$D$44" display="2.3.1.2.3" xr:uid="{00000000-0004-0000-0400-00001C000000}"/>
    <hyperlink ref="B22" location="Schedule!$D$45" display="2.3.1.2.4" xr:uid="{00000000-0004-0000-0400-00001D000000}"/>
    <hyperlink ref="B23" location="Schedule!$D$47" display="2.3.2.1" xr:uid="{00000000-0004-0000-0400-00001E000000}"/>
    <hyperlink ref="B24" location="Schedule!$D$48" display="2.3.2.2" xr:uid="{00000000-0004-0000-0400-00001F000000}"/>
    <hyperlink ref="B25" location="Schedule!$D$51" display="2.4.1.1" xr:uid="{00000000-0004-0000-0400-000020000000}"/>
    <hyperlink ref="B26" location="Schedule!$D$53" display="2.4.2.1" xr:uid="{00000000-0004-0000-0400-000021000000}"/>
    <hyperlink ref="B27" location="Schedule!$D$54" display="2.4.2.2" xr:uid="{00000000-0004-0000-0400-000022000000}"/>
    <hyperlink ref="B28" location="Schedule!$D$55" display="2.4.2.3" xr:uid="{00000000-0004-0000-0400-000023000000}"/>
    <hyperlink ref="B29" location="Schedule!$D$56" display="2.4.2.4" xr:uid="{00000000-0004-0000-0400-000024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1442</v>
      </c>
      <c r="B1" s="1"/>
      <c r="C1" s="1"/>
      <c r="D1" s="1"/>
      <c r="E1" s="1"/>
      <c r="F1" s="1"/>
      <c r="G1" s="1"/>
      <c r="H1" s="1"/>
    </row>
    <row r="2" spans="1:9" s="65" customFormat="1" ht="78.75" customHeight="1">
      <c r="A2" s="310" t="s">
        <v>1443</v>
      </c>
      <c r="B2" s="310"/>
      <c r="C2" s="310"/>
      <c r="D2" s="310"/>
      <c r="E2" s="310"/>
      <c r="F2" s="310"/>
      <c r="G2" s="310"/>
      <c r="H2" s="310"/>
    </row>
    <row r="3" spans="1:9" s="65" customFormat="1" ht="24.75" customHeight="1">
      <c r="A3" s="311" t="s">
        <v>1444</v>
      </c>
      <c r="B3" s="311"/>
      <c r="D3" s="311" t="s">
        <v>1445</v>
      </c>
      <c r="E3" s="311"/>
      <c r="G3" s="311" t="s">
        <v>1446</v>
      </c>
      <c r="H3" s="311"/>
    </row>
    <row r="4" spans="1:9" s="67" customFormat="1" ht="19.5" customHeight="1">
      <c r="A4" s="66" t="s">
        <v>1447</v>
      </c>
      <c r="B4" s="66" t="s">
        <v>1448</v>
      </c>
      <c r="D4" s="66" t="s">
        <v>1447</v>
      </c>
      <c r="E4" s="66" t="s">
        <v>1448</v>
      </c>
      <c r="G4" s="66" t="s">
        <v>1447</v>
      </c>
      <c r="H4" s="66" t="s">
        <v>1448</v>
      </c>
    </row>
    <row r="5" spans="1:9" s="97" customFormat="1" ht="16.5">
      <c r="A5" s="95" t="s">
        <v>1112</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1113</v>
      </c>
      <c r="B6" s="96">
        <v>43854</v>
      </c>
      <c r="C6" s="97" t="str">
        <f t="shared" si="0"/>
        <v>(금)</v>
      </c>
      <c r="D6" s="98"/>
      <c r="E6" s="99"/>
      <c r="F6" s="97" t="str">
        <f t="shared" si="1"/>
        <v/>
      </c>
      <c r="G6" s="98"/>
      <c r="H6" s="99"/>
      <c r="I6" s="97" t="str">
        <f t="shared" si="2"/>
        <v/>
      </c>
    </row>
    <row r="7" spans="1:9" s="97" customFormat="1" ht="16.5">
      <c r="A7" s="95" t="s">
        <v>1300</v>
      </c>
      <c r="B7" s="96">
        <v>43857</v>
      </c>
      <c r="C7" s="97" t="str">
        <f t="shared" si="0"/>
        <v>(월)</v>
      </c>
      <c r="D7" s="98"/>
      <c r="E7" s="99"/>
      <c r="F7" s="97" t="str">
        <f t="shared" si="1"/>
        <v/>
      </c>
      <c r="G7" s="98"/>
      <c r="H7" s="99"/>
      <c r="I7" s="97" t="str">
        <f t="shared" si="2"/>
        <v/>
      </c>
    </row>
    <row r="8" spans="1:9" s="97" customFormat="1" ht="16.5">
      <c r="A8" s="95" t="s">
        <v>1301</v>
      </c>
      <c r="B8" s="96">
        <v>43936</v>
      </c>
      <c r="C8" s="97" t="str">
        <f t="shared" si="0"/>
        <v>(수)</v>
      </c>
      <c r="D8" s="98"/>
      <c r="E8" s="99"/>
      <c r="F8" s="97" t="str">
        <f t="shared" si="1"/>
        <v/>
      </c>
      <c r="G8" s="98"/>
      <c r="H8" s="99"/>
      <c r="I8" s="97" t="str">
        <f t="shared" si="2"/>
        <v/>
      </c>
    </row>
    <row r="9" spans="1:9" s="97" customFormat="1" ht="16.5">
      <c r="A9" s="95" t="s">
        <v>1302</v>
      </c>
      <c r="B9" s="96">
        <v>43951</v>
      </c>
      <c r="C9" s="97" t="str">
        <f t="shared" si="0"/>
        <v>(목)</v>
      </c>
      <c r="D9" s="98"/>
      <c r="E9" s="99"/>
      <c r="F9" s="97" t="str">
        <f t="shared" si="1"/>
        <v/>
      </c>
      <c r="G9" s="98"/>
      <c r="H9" s="99"/>
      <c r="I9" s="97" t="str">
        <f t="shared" si="2"/>
        <v/>
      </c>
    </row>
    <row r="10" spans="1:9" s="97" customFormat="1" ht="16.5">
      <c r="A10" s="95" t="s">
        <v>1303</v>
      </c>
      <c r="B10" s="96">
        <v>43956</v>
      </c>
      <c r="C10" s="97" t="str">
        <f t="shared" si="0"/>
        <v>(화)</v>
      </c>
      <c r="D10" s="98"/>
      <c r="E10" s="99"/>
      <c r="F10" s="97" t="str">
        <f t="shared" si="1"/>
        <v/>
      </c>
      <c r="G10" s="98"/>
      <c r="H10" s="99"/>
      <c r="I10" s="97" t="str">
        <f t="shared" si="2"/>
        <v/>
      </c>
    </row>
    <row r="11" spans="1:9" s="97" customFormat="1" ht="16.5">
      <c r="A11" s="95" t="s">
        <v>1308</v>
      </c>
      <c r="B11" s="96">
        <v>44060</v>
      </c>
      <c r="C11" s="97" t="str">
        <f t="shared" si="0"/>
        <v>(월)</v>
      </c>
      <c r="D11" s="98"/>
      <c r="E11" s="99"/>
      <c r="F11" s="97" t="str">
        <f t="shared" si="1"/>
        <v/>
      </c>
      <c r="G11" s="98"/>
      <c r="H11" s="99"/>
      <c r="I11" s="97" t="str">
        <f t="shared" si="2"/>
        <v/>
      </c>
    </row>
    <row r="12" spans="1:9" s="97" customFormat="1" ht="16.5">
      <c r="A12" s="95" t="s">
        <v>1304</v>
      </c>
      <c r="B12" s="96">
        <v>44104</v>
      </c>
      <c r="C12" s="97" t="str">
        <f t="shared" si="0"/>
        <v>(수)</v>
      </c>
      <c r="D12" s="98"/>
      <c r="E12" s="99"/>
      <c r="F12" s="97" t="str">
        <f t="shared" si="1"/>
        <v/>
      </c>
      <c r="G12" s="98"/>
      <c r="H12" s="99"/>
      <c r="I12" s="97" t="str">
        <f t="shared" si="2"/>
        <v/>
      </c>
    </row>
    <row r="13" spans="1:9" s="97" customFormat="1" ht="16.5">
      <c r="A13" s="95" t="s">
        <v>1305</v>
      </c>
      <c r="B13" s="96">
        <v>44105</v>
      </c>
      <c r="C13" s="97" t="str">
        <f t="shared" si="0"/>
        <v>(목)</v>
      </c>
      <c r="D13" s="98"/>
      <c r="E13" s="99"/>
      <c r="F13" s="97" t="str">
        <f t="shared" si="1"/>
        <v/>
      </c>
      <c r="G13" s="98"/>
      <c r="H13" s="99"/>
      <c r="I13" s="97" t="str">
        <f t="shared" si="2"/>
        <v/>
      </c>
    </row>
    <row r="14" spans="1:9" s="97" customFormat="1" ht="16.5">
      <c r="A14" s="95" t="s">
        <v>1304</v>
      </c>
      <c r="B14" s="96">
        <v>44106</v>
      </c>
      <c r="C14" s="97" t="str">
        <f t="shared" si="0"/>
        <v>(금)</v>
      </c>
      <c r="D14" s="98"/>
      <c r="E14" s="99"/>
      <c r="F14" s="97" t="str">
        <f t="shared" si="1"/>
        <v/>
      </c>
      <c r="G14" s="98"/>
      <c r="H14" s="99"/>
      <c r="I14" s="97" t="str">
        <f t="shared" si="2"/>
        <v/>
      </c>
    </row>
    <row r="15" spans="1:9" s="97" customFormat="1" ht="16.5">
      <c r="A15" s="95" t="s">
        <v>1306</v>
      </c>
      <c r="B15" s="96">
        <v>44113</v>
      </c>
      <c r="C15" s="97" t="str">
        <f t="shared" si="0"/>
        <v>(금)</v>
      </c>
      <c r="D15" s="98"/>
      <c r="E15" s="99"/>
      <c r="F15" s="97" t="str">
        <f t="shared" si="1"/>
        <v/>
      </c>
      <c r="G15" s="98"/>
      <c r="H15" s="99"/>
      <c r="I15" s="97" t="str">
        <f t="shared" si="2"/>
        <v/>
      </c>
    </row>
    <row r="16" spans="1:9" s="97" customFormat="1" ht="16.5">
      <c r="A16" s="95" t="s">
        <v>1307</v>
      </c>
      <c r="B16" s="96">
        <v>44190</v>
      </c>
      <c r="C16" s="97" t="str">
        <f t="shared" si="0"/>
        <v>(금)</v>
      </c>
      <c r="D16" s="98"/>
      <c r="E16" s="99"/>
      <c r="F16" s="97" t="str">
        <f t="shared" si="1"/>
        <v/>
      </c>
      <c r="G16" s="98"/>
      <c r="H16" s="99"/>
      <c r="I16" s="97" t="str">
        <f t="shared" si="2"/>
        <v/>
      </c>
    </row>
    <row r="17" spans="1:10" s="97" customFormat="1" ht="16.5">
      <c r="A17" s="95" t="s">
        <v>1309</v>
      </c>
      <c r="B17" s="96">
        <v>44197</v>
      </c>
      <c r="C17" s="97" t="str">
        <f t="shared" si="0"/>
        <v>(금)</v>
      </c>
      <c r="D17" s="98"/>
      <c r="E17" s="99"/>
      <c r="F17" s="97" t="str">
        <f t="shared" si="1"/>
        <v/>
      </c>
      <c r="G17" s="98"/>
      <c r="H17" s="99"/>
      <c r="I17" s="97" t="str">
        <f t="shared" si="2"/>
        <v/>
      </c>
    </row>
    <row r="18" spans="1:10" s="97" customFormat="1" ht="16.5">
      <c r="A18" s="95" t="s">
        <v>1310</v>
      </c>
      <c r="B18" s="96">
        <v>44238</v>
      </c>
      <c r="C18" s="97" t="str">
        <f t="shared" si="0"/>
        <v>(목)</v>
      </c>
      <c r="D18" s="98"/>
      <c r="E18" s="99"/>
      <c r="F18" s="97" t="str">
        <f t="shared" si="1"/>
        <v/>
      </c>
      <c r="G18" s="98"/>
      <c r="H18" s="99"/>
      <c r="I18" s="97" t="str">
        <f t="shared" si="2"/>
        <v/>
      </c>
    </row>
    <row r="19" spans="1:10" s="97" customFormat="1" ht="17.25">
      <c r="A19" s="95" t="s">
        <v>1311</v>
      </c>
      <c r="B19" s="96">
        <v>44239</v>
      </c>
      <c r="C19" s="97" t="str">
        <f t="shared" si="0"/>
        <v>(금)</v>
      </c>
      <c r="D19" s="98"/>
      <c r="E19" s="99"/>
      <c r="F19" s="97" t="str">
        <f t="shared" si="1"/>
        <v/>
      </c>
      <c r="G19" s="98"/>
      <c r="H19" s="99"/>
      <c r="I19" s="97" t="str">
        <f t="shared" si="2"/>
        <v/>
      </c>
      <c r="J19" s="100"/>
    </row>
    <row r="20" spans="1:10" s="97" customFormat="1" ht="17.25">
      <c r="A20" s="95" t="s">
        <v>1312</v>
      </c>
      <c r="B20" s="96">
        <v>44256</v>
      </c>
      <c r="C20" s="97" t="str">
        <f t="shared" si="0"/>
        <v>(월)</v>
      </c>
      <c r="D20" s="98"/>
      <c r="E20" s="99"/>
      <c r="F20" s="97" t="str">
        <f t="shared" si="1"/>
        <v/>
      </c>
      <c r="G20" s="98"/>
      <c r="H20" s="99"/>
      <c r="I20" s="97" t="str">
        <f t="shared" si="2"/>
        <v/>
      </c>
      <c r="J20" s="100"/>
    </row>
    <row r="21" spans="1:10" s="97" customFormat="1" ht="16.5">
      <c r="A21" s="95" t="s">
        <v>1313</v>
      </c>
      <c r="B21" s="96">
        <v>44321</v>
      </c>
      <c r="C21" s="97" t="str">
        <f t="shared" si="0"/>
        <v>(수)</v>
      </c>
      <c r="D21" s="98"/>
      <c r="E21" s="99"/>
      <c r="F21" s="97" t="str">
        <f t="shared" si="1"/>
        <v/>
      </c>
      <c r="G21" s="98"/>
      <c r="H21" s="99"/>
      <c r="I21" s="97" t="str">
        <f t="shared" si="2"/>
        <v/>
      </c>
    </row>
    <row r="22" spans="1:10" s="97" customFormat="1" ht="16.5">
      <c r="A22" s="95" t="s">
        <v>1314</v>
      </c>
      <c r="B22" s="96">
        <v>44335</v>
      </c>
      <c r="C22" s="97" t="str">
        <f t="shared" si="0"/>
        <v>(수)</v>
      </c>
      <c r="D22" s="98"/>
      <c r="E22" s="99"/>
      <c r="F22" s="97" t="str">
        <f t="shared" si="1"/>
        <v/>
      </c>
      <c r="G22" s="98"/>
      <c r="H22" s="99"/>
      <c r="I22" s="97" t="str">
        <f t="shared" si="2"/>
        <v/>
      </c>
    </row>
    <row r="23" spans="1:10" s="97" customFormat="1" ht="16.5">
      <c r="A23" s="95" t="s">
        <v>1315</v>
      </c>
      <c r="B23" s="96">
        <v>44459</v>
      </c>
      <c r="C23" s="97" t="str">
        <f t="shared" si="0"/>
        <v>(월)</v>
      </c>
      <c r="D23" s="98"/>
      <c r="E23" s="99"/>
      <c r="F23" s="97" t="str">
        <f t="shared" si="1"/>
        <v/>
      </c>
      <c r="G23" s="98"/>
      <c r="H23" s="99"/>
      <c r="I23" s="97" t="str">
        <f t="shared" si="2"/>
        <v/>
      </c>
    </row>
    <row r="24" spans="1:10" s="97" customFormat="1" ht="16.5">
      <c r="A24" s="95" t="s">
        <v>1316</v>
      </c>
      <c r="B24" s="96">
        <v>44460</v>
      </c>
      <c r="C24" s="97" t="str">
        <f t="shared" si="0"/>
        <v>(화)</v>
      </c>
      <c r="D24" s="98"/>
      <c r="E24" s="99"/>
      <c r="F24" s="97" t="str">
        <f t="shared" si="1"/>
        <v/>
      </c>
      <c r="G24" s="98"/>
      <c r="H24" s="99"/>
      <c r="I24" s="97" t="str">
        <f t="shared" si="2"/>
        <v/>
      </c>
    </row>
    <row r="25" spans="1:10" s="97" customFormat="1" ht="16.5">
      <c r="A25" s="95" t="s">
        <v>1315</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1449</v>
      </c>
      <c r="D305" s="97" t="s">
        <v>1449</v>
      </c>
      <c r="G305" s="97" t="s">
        <v>1449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1330</v>
      </c>
    </row>
    <row r="2" spans="1:6" ht="84">
      <c r="A2" s="87" t="s">
        <v>1563</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1213</v>
      </c>
      <c r="D9" s="90" t="s">
        <v>1210</v>
      </c>
      <c r="E9" s="90" t="s">
        <v>1129</v>
      </c>
      <c r="F9" s="90" t="s">
        <v>1129</v>
      </c>
    </row>
    <row r="10" spans="1:6" ht="48">
      <c r="B10" s="88">
        <v>9</v>
      </c>
      <c r="C10" s="89" t="s">
        <v>1213</v>
      </c>
      <c r="D10" s="90" t="s">
        <v>1191</v>
      </c>
      <c r="E10" s="90" t="s">
        <v>1153</v>
      </c>
      <c r="F10" s="90" t="s">
        <v>1153</v>
      </c>
    </row>
    <row r="11" spans="1:6" ht="60">
      <c r="B11" s="88">
        <v>10</v>
      </c>
      <c r="C11" s="89" t="s">
        <v>1213</v>
      </c>
      <c r="D11" s="90" t="s">
        <v>1211</v>
      </c>
      <c r="E11" s="90" t="s">
        <v>1193</v>
      </c>
      <c r="F11" s="90" t="s">
        <v>1193</v>
      </c>
    </row>
    <row r="12" spans="1:6" ht="48">
      <c r="B12" s="88">
        <v>11</v>
      </c>
      <c r="C12" s="89" t="s">
        <v>1213</v>
      </c>
      <c r="D12" s="90" t="s">
        <v>1196</v>
      </c>
      <c r="E12" s="90" t="s">
        <v>1195</v>
      </c>
      <c r="F12" s="90" t="s">
        <v>1195</v>
      </c>
    </row>
    <row r="13" spans="1:6" ht="72">
      <c r="B13" s="88">
        <v>12</v>
      </c>
      <c r="C13" s="89" t="s">
        <v>1213</v>
      </c>
      <c r="D13" s="90" t="s">
        <v>1197</v>
      </c>
      <c r="E13" s="90" t="s">
        <v>1157</v>
      </c>
      <c r="F13" s="90" t="s">
        <v>1157</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1127</v>
      </c>
      <c r="D27" s="90" t="s">
        <v>1163</v>
      </c>
      <c r="E27" s="90" t="s">
        <v>1136</v>
      </c>
      <c r="F27" s="90" t="s">
        <v>1136</v>
      </c>
    </row>
    <row r="28" spans="1:6">
      <c r="B28" s="88">
        <v>115</v>
      </c>
      <c r="D28" s="90" t="s">
        <v>1249</v>
      </c>
      <c r="E28" s="90" t="s">
        <v>1250</v>
      </c>
      <c r="F28" s="90" t="s">
        <v>1250</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1347</v>
      </c>
      <c r="E46" s="90" t="s">
        <v>603</v>
      </c>
      <c r="F46" s="90" t="s">
        <v>603</v>
      </c>
    </row>
    <row r="47" spans="2:6">
      <c r="B47" s="88">
        <v>134</v>
      </c>
      <c r="D47" s="90" t="s">
        <v>1346</v>
      </c>
      <c r="E47" s="90" t="s">
        <v>604</v>
      </c>
      <c r="F47" s="90" t="s">
        <v>604</v>
      </c>
    </row>
    <row r="48" spans="2:6">
      <c r="B48" s="88">
        <v>135</v>
      </c>
      <c r="D48" s="175" t="s">
        <v>1345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1116</v>
      </c>
      <c r="F87" s="90" t="s">
        <v>1116</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1127</v>
      </c>
      <c r="D94" s="90" t="s">
        <v>1179</v>
      </c>
      <c r="E94" s="90" t="s">
        <v>1143</v>
      </c>
      <c r="F94" s="90" t="s">
        <v>1143</v>
      </c>
    </row>
    <row r="95" spans="1:6" ht="36">
      <c r="B95" s="88">
        <v>182</v>
      </c>
      <c r="C95" s="89" t="s">
        <v>1127</v>
      </c>
      <c r="D95" s="90" t="s">
        <v>1212</v>
      </c>
      <c r="E95" s="90" t="s">
        <v>1152</v>
      </c>
      <c r="F95" s="90" t="s">
        <v>1152</v>
      </c>
    </row>
    <row r="96" spans="1:6">
      <c r="B96" s="88">
        <v>183</v>
      </c>
      <c r="D96" s="90" t="s">
        <v>109</v>
      </c>
      <c r="E96" s="90" t="s">
        <v>635</v>
      </c>
      <c r="F96" s="90" t="s">
        <v>635</v>
      </c>
    </row>
    <row r="97" spans="2:6">
      <c r="B97" s="88">
        <v>184</v>
      </c>
      <c r="D97" s="90" t="s">
        <v>1325</v>
      </c>
      <c r="E97" s="90" t="s">
        <v>1336</v>
      </c>
      <c r="F97" s="90" t="s">
        <v>1336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1127</v>
      </c>
      <c r="D103" s="90" t="s">
        <v>1177</v>
      </c>
      <c r="E103" s="90" t="s">
        <v>1142</v>
      </c>
      <c r="F103" s="90" t="s">
        <v>1142</v>
      </c>
    </row>
    <row r="104" spans="2:6">
      <c r="B104" s="88">
        <v>191</v>
      </c>
      <c r="D104" s="90" t="s">
        <v>1219</v>
      </c>
      <c r="E104" s="90" t="s">
        <v>1220</v>
      </c>
      <c r="F104" s="90" t="s">
        <v>1220</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1327</v>
      </c>
      <c r="E112" s="90" t="s">
        <v>1337</v>
      </c>
      <c r="F112" s="90" t="s">
        <v>1337</v>
      </c>
    </row>
    <row r="113" spans="2:6">
      <c r="B113" s="88">
        <v>200</v>
      </c>
      <c r="D113" s="90" t="s">
        <v>118</v>
      </c>
      <c r="E113" s="90" t="s">
        <v>119</v>
      </c>
      <c r="F113" s="90" t="s">
        <v>119</v>
      </c>
    </row>
    <row r="114" spans="2:6">
      <c r="B114" s="88">
        <v>201</v>
      </c>
      <c r="D114" s="90" t="s">
        <v>1298</v>
      </c>
      <c r="E114" s="90" t="s">
        <v>1299</v>
      </c>
      <c r="F114" s="90" t="s">
        <v>1299</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1253</v>
      </c>
      <c r="E118" s="90" t="s">
        <v>1252</v>
      </c>
      <c r="F118" s="90" t="s">
        <v>1252</v>
      </c>
    </row>
    <row r="119" spans="2:6">
      <c r="B119" s="88">
        <v>206</v>
      </c>
      <c r="D119" s="90" t="s">
        <v>1233</v>
      </c>
      <c r="E119" s="90" t="s">
        <v>1234</v>
      </c>
      <c r="F119" s="90" t="s">
        <v>1234</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1214</v>
      </c>
      <c r="E139" s="90" t="s">
        <v>1215</v>
      </c>
      <c r="F139" s="90" t="s">
        <v>1215</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1243</v>
      </c>
      <c r="E145" s="90" t="s">
        <v>1244</v>
      </c>
      <c r="F145" s="90" t="s">
        <v>1244</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1240</v>
      </c>
      <c r="E150" s="90" t="s">
        <v>1247</v>
      </c>
      <c r="F150" s="90" t="s">
        <v>1247</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1216</v>
      </c>
      <c r="E156" s="90" t="s">
        <v>540</v>
      </c>
      <c r="F156" s="90" t="s">
        <v>540</v>
      </c>
    </row>
    <row r="157" spans="2:6">
      <c r="B157" s="88">
        <v>244</v>
      </c>
      <c r="D157" s="90" t="s">
        <v>1375</v>
      </c>
      <c r="E157" s="90" t="s">
        <v>672</v>
      </c>
      <c r="F157" s="90" t="s">
        <v>672</v>
      </c>
    </row>
    <row r="158" spans="2:6">
      <c r="B158" s="88">
        <v>245</v>
      </c>
      <c r="D158" s="90" t="s">
        <v>1376</v>
      </c>
      <c r="E158" s="90" t="s">
        <v>673</v>
      </c>
      <c r="F158" s="90" t="s">
        <v>673</v>
      </c>
    </row>
    <row r="159" spans="2:6">
      <c r="B159" s="88">
        <v>246</v>
      </c>
      <c r="D159" s="90" t="s">
        <v>444</v>
      </c>
      <c r="E159" s="90" t="s">
        <v>674</v>
      </c>
      <c r="F159" s="90" t="s">
        <v>674</v>
      </c>
    </row>
    <row r="160" spans="2:6">
      <c r="B160" s="88">
        <v>247</v>
      </c>
      <c r="D160" s="90" t="s">
        <v>1218</v>
      </c>
      <c r="E160" s="90" t="s">
        <v>1264</v>
      </c>
      <c r="F160" s="90" t="s">
        <v>1264</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1217</v>
      </c>
      <c r="E165" s="90" t="s">
        <v>1263</v>
      </c>
      <c r="F165" s="90" t="s">
        <v>1263</v>
      </c>
    </row>
    <row r="166" spans="2:6">
      <c r="B166" s="88">
        <v>253</v>
      </c>
      <c r="D166" s="90" t="s">
        <v>1395</v>
      </c>
      <c r="E166" s="90" t="s">
        <v>1342</v>
      </c>
      <c r="F166" s="90" t="s">
        <v>1342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1114</v>
      </c>
      <c r="E176" s="90" t="s">
        <v>1115</v>
      </c>
      <c r="F176" s="90" t="s">
        <v>1115</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1259</v>
      </c>
      <c r="E181" s="90" t="s">
        <v>1260</v>
      </c>
      <c r="F181" s="90" t="s">
        <v>1260</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1222</v>
      </c>
      <c r="E204" s="90" t="s">
        <v>1230</v>
      </c>
      <c r="F204" s="90" t="s">
        <v>1230</v>
      </c>
    </row>
    <row r="205" spans="2:6">
      <c r="B205" s="88">
        <v>292</v>
      </c>
      <c r="D205" s="90" t="s">
        <v>1331</v>
      </c>
      <c r="E205" s="90" t="s">
        <v>1332</v>
      </c>
      <c r="F205" s="90" t="s">
        <v>1332</v>
      </c>
    </row>
    <row r="206" spans="2:6">
      <c r="B206" s="88">
        <v>293</v>
      </c>
      <c r="D206" s="90" t="s">
        <v>1223</v>
      </c>
      <c r="E206" s="90" t="s">
        <v>1229</v>
      </c>
      <c r="F206" s="90" t="s">
        <v>1229</v>
      </c>
    </row>
    <row r="207" spans="2:6">
      <c r="B207" s="88">
        <v>294</v>
      </c>
      <c r="D207" s="90" t="s">
        <v>1221</v>
      </c>
      <c r="E207" s="90" t="s">
        <v>1228</v>
      </c>
      <c r="F207" s="90" t="s">
        <v>1228</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1127</v>
      </c>
      <c r="D211" s="90" t="s">
        <v>1198</v>
      </c>
      <c r="E211" s="90" t="s">
        <v>1138</v>
      </c>
      <c r="F211" s="90" t="s">
        <v>1138</v>
      </c>
    </row>
    <row r="212" spans="2:6">
      <c r="B212" s="88">
        <v>299</v>
      </c>
      <c r="D212" s="90" t="s">
        <v>1242</v>
      </c>
      <c r="E212" s="90" t="s">
        <v>1245</v>
      </c>
      <c r="F212" s="90" t="s">
        <v>1245</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1127</v>
      </c>
      <c r="D215" s="179" t="s">
        <v>1361</v>
      </c>
      <c r="E215" s="179" t="s">
        <v>1158</v>
      </c>
      <c r="F215" s="179" t="s">
        <v>1158</v>
      </c>
    </row>
    <row r="216" spans="2:6">
      <c r="B216" s="88">
        <v>303</v>
      </c>
      <c r="C216" s="89" t="s">
        <v>1127</v>
      </c>
      <c r="D216" s="179" t="s">
        <v>1166</v>
      </c>
      <c r="E216" s="179" t="s">
        <v>1128</v>
      </c>
      <c r="F216" s="179" t="s">
        <v>1128</v>
      </c>
    </row>
    <row r="217" spans="2:6">
      <c r="B217" s="88">
        <v>304</v>
      </c>
      <c r="C217" s="89" t="s">
        <v>1127</v>
      </c>
      <c r="D217" s="179" t="s">
        <v>1364</v>
      </c>
      <c r="E217" s="179" t="s">
        <v>1137</v>
      </c>
      <c r="F217" s="179" t="s">
        <v>1137</v>
      </c>
    </row>
    <row r="218" spans="2:6">
      <c r="B218" s="88">
        <v>305</v>
      </c>
      <c r="C218" s="89" t="s">
        <v>1127</v>
      </c>
      <c r="D218" s="179" t="s">
        <v>1208</v>
      </c>
      <c r="E218" s="179" t="s">
        <v>1209</v>
      </c>
      <c r="F218" s="179" t="s">
        <v>1209</v>
      </c>
    </row>
    <row r="219" spans="2:6">
      <c r="B219" s="88">
        <v>305</v>
      </c>
      <c r="C219" s="89" t="s">
        <v>1127</v>
      </c>
      <c r="D219" s="179" t="s">
        <v>1362</v>
      </c>
      <c r="E219" s="179" t="s">
        <v>1363</v>
      </c>
      <c r="F219" s="179" t="s">
        <v>1363</v>
      </c>
    </row>
    <row r="220" spans="2:6">
      <c r="B220" s="88">
        <v>306</v>
      </c>
      <c r="C220" s="89" t="s">
        <v>1127</v>
      </c>
      <c r="D220" s="179" t="s">
        <v>1351</v>
      </c>
      <c r="E220" s="179" t="s">
        <v>1352</v>
      </c>
      <c r="F220" s="179" t="s">
        <v>1352</v>
      </c>
    </row>
    <row r="221" spans="2:6">
      <c r="B221" s="88">
        <v>307</v>
      </c>
      <c r="C221" s="89" t="s">
        <v>1127</v>
      </c>
      <c r="D221" s="179" t="s">
        <v>1353</v>
      </c>
      <c r="E221" s="179" t="s">
        <v>1354</v>
      </c>
      <c r="F221" s="179" t="s">
        <v>1354</v>
      </c>
    </row>
    <row r="222" spans="2:6">
      <c r="B222" s="88">
        <v>308</v>
      </c>
      <c r="C222" s="89" t="s">
        <v>1127</v>
      </c>
      <c r="D222" s="179" t="s">
        <v>1355</v>
      </c>
      <c r="E222" s="179" t="s">
        <v>1356</v>
      </c>
      <c r="F222" s="179" t="s">
        <v>1356</v>
      </c>
    </row>
    <row r="223" spans="2:6">
      <c r="B223" s="88">
        <v>309</v>
      </c>
      <c r="C223" s="89" t="s">
        <v>1127</v>
      </c>
      <c r="D223" s="179" t="s">
        <v>1357</v>
      </c>
      <c r="E223" s="179" t="s">
        <v>1358</v>
      </c>
      <c r="F223" s="179" t="s">
        <v>1358</v>
      </c>
    </row>
    <row r="224" spans="2:6">
      <c r="B224" s="88">
        <v>310</v>
      </c>
      <c r="C224" s="89" t="s">
        <v>1127</v>
      </c>
      <c r="D224" s="179" t="s">
        <v>1359</v>
      </c>
      <c r="E224" s="179" t="s">
        <v>1365</v>
      </c>
      <c r="F224" s="179" t="s">
        <v>1365</v>
      </c>
    </row>
    <row r="225" spans="2:6">
      <c r="B225" s="88">
        <v>311</v>
      </c>
      <c r="C225" s="89" t="s">
        <v>1127</v>
      </c>
      <c r="D225" s="179" t="s">
        <v>1360</v>
      </c>
      <c r="E225" s="179" t="s">
        <v>1366</v>
      </c>
      <c r="F225" s="179" t="s">
        <v>1366</v>
      </c>
    </row>
    <row r="226" spans="2:6">
      <c r="B226" s="88">
        <v>312</v>
      </c>
      <c r="C226" s="89" t="s">
        <v>1127</v>
      </c>
      <c r="D226" s="179" t="s">
        <v>1200</v>
      </c>
      <c r="E226" s="179" t="s">
        <v>1367</v>
      </c>
      <c r="F226" s="179" t="s">
        <v>1367</v>
      </c>
    </row>
    <row r="227" spans="2:6">
      <c r="B227" s="88">
        <v>313</v>
      </c>
      <c r="C227" s="89" t="s">
        <v>1127</v>
      </c>
      <c r="D227" s="179" t="s">
        <v>1201</v>
      </c>
      <c r="E227" s="179" t="s">
        <v>1368</v>
      </c>
      <c r="F227" s="179" t="s">
        <v>1368</v>
      </c>
    </row>
    <row r="228" spans="2:6">
      <c r="B228" s="88">
        <v>314</v>
      </c>
      <c r="C228" s="89" t="s">
        <v>1127</v>
      </c>
      <c r="D228" s="179" t="s">
        <v>1202</v>
      </c>
      <c r="E228" s="90" t="s">
        <v>1159</v>
      </c>
      <c r="F228" s="90" t="s">
        <v>1159</v>
      </c>
    </row>
    <row r="229" spans="2:6">
      <c r="B229" s="88">
        <v>315</v>
      </c>
      <c r="C229" s="89" t="s">
        <v>1127</v>
      </c>
      <c r="D229" s="179" t="s">
        <v>1203</v>
      </c>
      <c r="E229" s="90" t="s">
        <v>1160</v>
      </c>
      <c r="F229" s="90" t="s">
        <v>1160</v>
      </c>
    </row>
    <row r="230" spans="2:6">
      <c r="B230" s="88">
        <v>316</v>
      </c>
      <c r="C230" s="89" t="s">
        <v>1127</v>
      </c>
      <c r="D230" s="179" t="s">
        <v>1204</v>
      </c>
      <c r="E230" s="90" t="s">
        <v>1161</v>
      </c>
      <c r="F230" s="90" t="s">
        <v>1161</v>
      </c>
    </row>
    <row r="231" spans="2:6">
      <c r="B231" s="88">
        <v>317</v>
      </c>
      <c r="C231" s="89" t="s">
        <v>1127</v>
      </c>
      <c r="D231" s="179" t="s">
        <v>1205</v>
      </c>
      <c r="E231" s="90" t="s">
        <v>1162</v>
      </c>
      <c r="F231" s="90" t="s">
        <v>1162</v>
      </c>
    </row>
    <row r="232" spans="2:6">
      <c r="B232" s="88">
        <v>318</v>
      </c>
      <c r="C232" s="89" t="s">
        <v>1127</v>
      </c>
      <c r="D232" s="179" t="s">
        <v>1206</v>
      </c>
      <c r="E232" s="179" t="s">
        <v>1207</v>
      </c>
      <c r="F232" s="179" t="s">
        <v>1207</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1127</v>
      </c>
      <c r="D236" s="90" t="s">
        <v>1199</v>
      </c>
      <c r="E236" s="90" t="s">
        <v>1147</v>
      </c>
      <c r="F236" s="90" t="s">
        <v>1147</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1127</v>
      </c>
      <c r="D253" s="90" t="s">
        <v>1180</v>
      </c>
      <c r="E253" s="90" t="s">
        <v>1145</v>
      </c>
      <c r="F253" s="90" t="s">
        <v>1145</v>
      </c>
    </row>
    <row r="254" spans="2:6">
      <c r="B254" s="88">
        <v>340</v>
      </c>
      <c r="C254" s="89" t="s">
        <v>1127</v>
      </c>
      <c r="D254" s="90" t="s">
        <v>1182</v>
      </c>
      <c r="E254" s="90" t="s">
        <v>1146</v>
      </c>
      <c r="F254" s="90" t="s">
        <v>1146</v>
      </c>
    </row>
    <row r="255" spans="2:6">
      <c r="B255" s="88">
        <v>341</v>
      </c>
      <c r="D255" s="90" t="s">
        <v>176</v>
      </c>
      <c r="E255" s="90" t="s">
        <v>723</v>
      </c>
      <c r="F255" s="90" t="s">
        <v>723</v>
      </c>
    </row>
    <row r="256" spans="2:6" ht="24">
      <c r="B256" s="88">
        <v>342</v>
      </c>
      <c r="C256" s="89" t="s">
        <v>1127</v>
      </c>
      <c r="D256" s="90" t="s">
        <v>1192</v>
      </c>
      <c r="E256" s="90" t="s">
        <v>1154</v>
      </c>
      <c r="F256" s="90" t="s">
        <v>1154</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1127</v>
      </c>
      <c r="D260" s="90" t="s">
        <v>1181</v>
      </c>
      <c r="E260" s="90" t="s">
        <v>1156</v>
      </c>
      <c r="F260" s="90" t="s">
        <v>1156</v>
      </c>
    </row>
    <row r="261" spans="2:6">
      <c r="B261" s="88">
        <v>347</v>
      </c>
      <c r="C261" s="89" t="s">
        <v>573</v>
      </c>
      <c r="D261" s="87" t="s">
        <v>946</v>
      </c>
      <c r="E261" s="179" t="s">
        <v>947</v>
      </c>
      <c r="F261" s="179" t="s">
        <v>947</v>
      </c>
    </row>
    <row r="262" spans="2:6" ht="24">
      <c r="B262" s="88">
        <v>348</v>
      </c>
      <c r="C262" s="89" t="s">
        <v>1127</v>
      </c>
      <c r="D262" s="90" t="s">
        <v>1174</v>
      </c>
      <c r="E262" s="90" t="s">
        <v>1135</v>
      </c>
      <c r="F262" s="90" t="s">
        <v>1135</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1127</v>
      </c>
      <c r="D267" s="90" t="s">
        <v>1176</v>
      </c>
      <c r="E267" s="90" t="s">
        <v>1141</v>
      </c>
      <c r="F267" s="90" t="s">
        <v>1141</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1127</v>
      </c>
      <c r="D271" s="90" t="s">
        <v>1173</v>
      </c>
      <c r="E271" s="90" t="s">
        <v>1172</v>
      </c>
      <c r="F271" s="90" t="s">
        <v>1172</v>
      </c>
    </row>
    <row r="272" spans="2:6" ht="36">
      <c r="B272" s="88">
        <v>358</v>
      </c>
      <c r="C272" s="89" t="s">
        <v>1127</v>
      </c>
      <c r="D272" s="90" t="s">
        <v>1189</v>
      </c>
      <c r="E272" s="90" t="s">
        <v>1150</v>
      </c>
      <c r="F272" s="90" t="s">
        <v>1150</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1261</v>
      </c>
      <c r="E278" s="90" t="s">
        <v>1262</v>
      </c>
      <c r="F278" s="90" t="s">
        <v>1262</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1127</v>
      </c>
      <c r="D285" s="90" t="s">
        <v>1164</v>
      </c>
      <c r="E285" s="90" t="s">
        <v>1144</v>
      </c>
      <c r="F285" s="90" t="s">
        <v>1144</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1326</v>
      </c>
      <c r="E300" s="90" t="s">
        <v>1338</v>
      </c>
      <c r="F300" s="90" t="s">
        <v>1338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1127</v>
      </c>
      <c r="D355" s="90" t="s">
        <v>1188</v>
      </c>
      <c r="E355" s="90" t="s">
        <v>1187</v>
      </c>
      <c r="F355" s="90" t="s">
        <v>1187</v>
      </c>
    </row>
    <row r="356" spans="2:6">
      <c r="B356" s="88">
        <v>442</v>
      </c>
      <c r="D356" s="90" t="s">
        <v>1241</v>
      </c>
      <c r="E356" s="90" t="s">
        <v>1246</v>
      </c>
      <c r="F356" s="90" t="s">
        <v>1246</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1254</v>
      </c>
      <c r="E361" s="90" t="s">
        <v>1251</v>
      </c>
      <c r="F361" s="90" t="s">
        <v>1251</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1127</v>
      </c>
      <c r="D369" s="90" t="s">
        <v>1178</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1335</v>
      </c>
      <c r="E372" s="90" t="s">
        <v>1334</v>
      </c>
      <c r="F372" s="90" t="s">
        <v>1334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1320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1127</v>
      </c>
      <c r="D380" s="90" t="s">
        <v>1171</v>
      </c>
      <c r="E380" s="90" t="s">
        <v>1134</v>
      </c>
      <c r="F380" s="90" t="s">
        <v>1134</v>
      </c>
    </row>
    <row r="381" spans="2:6">
      <c r="B381" s="88">
        <v>467</v>
      </c>
      <c r="C381" s="89" t="s">
        <v>1127</v>
      </c>
      <c r="D381" s="90" t="s">
        <v>1175</v>
      </c>
      <c r="E381" s="90" t="s">
        <v>1140</v>
      </c>
      <c r="F381" s="90" t="s">
        <v>1140</v>
      </c>
    </row>
    <row r="382" spans="2:6">
      <c r="B382" s="88">
        <v>468</v>
      </c>
      <c r="D382" s="90" t="s">
        <v>244</v>
      </c>
      <c r="E382" s="90" t="s">
        <v>799</v>
      </c>
      <c r="F382" s="90" t="s">
        <v>799</v>
      </c>
    </row>
    <row r="383" spans="2:6">
      <c r="B383" s="88">
        <v>469</v>
      </c>
      <c r="C383" s="89" t="s">
        <v>1127</v>
      </c>
      <c r="D383" s="90" t="s">
        <v>1167</v>
      </c>
      <c r="E383" s="90" t="s">
        <v>1130</v>
      </c>
      <c r="F383" s="90" t="s">
        <v>1130</v>
      </c>
    </row>
    <row r="384" spans="2:6" ht="24">
      <c r="B384" s="88">
        <v>470</v>
      </c>
      <c r="C384" s="89" t="s">
        <v>1127</v>
      </c>
      <c r="D384" s="90" t="s">
        <v>1169</v>
      </c>
      <c r="E384" s="90" t="s">
        <v>1133</v>
      </c>
      <c r="F384" s="90" t="s">
        <v>1133</v>
      </c>
    </row>
    <row r="385" spans="2:6">
      <c r="B385" s="88">
        <v>471</v>
      </c>
      <c r="C385" s="89" t="s">
        <v>1127</v>
      </c>
      <c r="D385" s="90" t="s">
        <v>1170</v>
      </c>
      <c r="E385" s="90" t="s">
        <v>1132</v>
      </c>
      <c r="F385" s="90" t="s">
        <v>1132</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1127</v>
      </c>
      <c r="D388" s="90" t="s">
        <v>1190</v>
      </c>
      <c r="E388" s="90" t="s">
        <v>1151</v>
      </c>
      <c r="F388" s="90" t="s">
        <v>1151</v>
      </c>
    </row>
    <row r="389" spans="2:6">
      <c r="B389" s="88">
        <v>475</v>
      </c>
      <c r="D389" s="90" t="s">
        <v>247</v>
      </c>
      <c r="E389" s="90" t="s">
        <v>802</v>
      </c>
      <c r="F389" s="90" t="s">
        <v>802</v>
      </c>
    </row>
    <row r="390" spans="2:6">
      <c r="B390" s="88">
        <v>476</v>
      </c>
      <c r="D390" s="90" t="s">
        <v>1343</v>
      </c>
      <c r="E390" s="90" t="s">
        <v>1344</v>
      </c>
      <c r="F390" s="90" t="s">
        <v>1344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1341</v>
      </c>
      <c r="E396" s="90" t="s">
        <v>1333</v>
      </c>
      <c r="F396" s="90" t="s">
        <v>1333</v>
      </c>
    </row>
    <row r="397" spans="2:6">
      <c r="B397" s="88">
        <v>483</v>
      </c>
      <c r="D397" s="90" t="s">
        <v>1339</v>
      </c>
      <c r="E397" s="90" t="s">
        <v>1328</v>
      </c>
      <c r="F397" s="90" t="s">
        <v>1328</v>
      </c>
    </row>
    <row r="398" spans="2:6">
      <c r="B398" s="88">
        <v>484</v>
      </c>
      <c r="D398" s="90" t="s">
        <v>1340</v>
      </c>
      <c r="E398" s="90" t="s">
        <v>1329</v>
      </c>
      <c r="F398" s="90" t="s">
        <v>1329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1127</v>
      </c>
      <c r="D406" s="90" t="s">
        <v>1393</v>
      </c>
      <c r="E406" s="90" t="s">
        <v>1139</v>
      </c>
      <c r="F406" s="90" t="s">
        <v>1139</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1255</v>
      </c>
      <c r="E463" s="90" t="s">
        <v>1256</v>
      </c>
      <c r="F463" s="90" t="s">
        <v>1256</v>
      </c>
    </row>
    <row r="464" spans="1:27">
      <c r="B464" s="88">
        <v>550</v>
      </c>
      <c r="D464" s="90" t="s">
        <v>1257</v>
      </c>
      <c r="E464" s="90" t="s">
        <v>1258</v>
      </c>
      <c r="F464" s="90" t="s">
        <v>1258</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1296</v>
      </c>
      <c r="E488" s="90" t="s">
        <v>1297</v>
      </c>
      <c r="F488" s="90" t="s">
        <v>1297</v>
      </c>
    </row>
    <row r="489" spans="2:6">
      <c r="B489" s="88">
        <v>575</v>
      </c>
      <c r="D489" s="90" t="s">
        <v>1265</v>
      </c>
      <c r="E489" s="90" t="s">
        <v>1266</v>
      </c>
      <c r="F489" s="90" t="s">
        <v>1266</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1225</v>
      </c>
      <c r="E518" s="90" t="s">
        <v>1227</v>
      </c>
      <c r="F518" s="90" t="s">
        <v>1227</v>
      </c>
    </row>
    <row r="519" spans="2:6">
      <c r="B519" s="88">
        <v>605</v>
      </c>
      <c r="D519" s="90" t="s">
        <v>1224</v>
      </c>
      <c r="E519" s="90" t="s">
        <v>1226</v>
      </c>
      <c r="F519" s="90" t="s">
        <v>1226</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1322</v>
      </c>
      <c r="E529" s="90" t="s">
        <v>1324</v>
      </c>
      <c r="F529" s="90" t="s">
        <v>1324</v>
      </c>
    </row>
    <row r="530" spans="1:6">
      <c r="B530" s="88">
        <v>616</v>
      </c>
      <c r="D530" s="90" t="s">
        <v>1321</v>
      </c>
      <c r="E530" s="90" t="s">
        <v>1323</v>
      </c>
      <c r="F530" s="90" t="s">
        <v>1323</v>
      </c>
    </row>
    <row r="531" spans="1:6" ht="24">
      <c r="B531" s="88">
        <v>617</v>
      </c>
      <c r="C531" s="89" t="s">
        <v>1127</v>
      </c>
      <c r="D531" s="90" t="s">
        <v>1168</v>
      </c>
      <c r="E531" s="90" t="s">
        <v>1131</v>
      </c>
      <c r="F531" s="90" t="s">
        <v>1131</v>
      </c>
    </row>
    <row r="532" spans="1:6" ht="36">
      <c r="B532" s="88">
        <v>618</v>
      </c>
      <c r="C532" s="89" t="s">
        <v>1127</v>
      </c>
      <c r="D532" s="90" t="s">
        <v>1183</v>
      </c>
      <c r="E532" s="90" t="s">
        <v>1148</v>
      </c>
      <c r="F532" s="90" t="s">
        <v>1148</v>
      </c>
    </row>
    <row r="533" spans="1:6">
      <c r="B533" s="88">
        <v>619</v>
      </c>
      <c r="D533" s="90" t="s">
        <v>348</v>
      </c>
      <c r="E533" s="90" t="s">
        <v>913</v>
      </c>
      <c r="F533" s="90" t="s">
        <v>913</v>
      </c>
    </row>
    <row r="534" spans="1:6">
      <c r="B534" s="88">
        <v>620</v>
      </c>
      <c r="D534" s="90" t="s">
        <v>1231</v>
      </c>
      <c r="E534" s="90" t="s">
        <v>1232</v>
      </c>
      <c r="F534" s="90" t="s">
        <v>1232</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1127</v>
      </c>
      <c r="D545" s="90" t="s">
        <v>1165</v>
      </c>
      <c r="E545" s="90" t="s">
        <v>1126</v>
      </c>
      <c r="F545" s="90" t="s">
        <v>1126</v>
      </c>
    </row>
    <row r="546" spans="2:6">
      <c r="B546" s="88">
        <v>632</v>
      </c>
      <c r="C546" s="89" t="s">
        <v>1127</v>
      </c>
      <c r="D546" s="90" t="s">
        <v>1369</v>
      </c>
      <c r="E546" s="90" t="s">
        <v>1370</v>
      </c>
      <c r="F546" s="90" t="s">
        <v>1370</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1127</v>
      </c>
      <c r="D551" s="90" t="s">
        <v>1185</v>
      </c>
      <c r="E551" s="90" t="s">
        <v>1184</v>
      </c>
      <c r="F551" s="90" t="s">
        <v>1184</v>
      </c>
    </row>
    <row r="552" spans="2:6">
      <c r="B552" s="88">
        <v>638</v>
      </c>
      <c r="D552" s="90" t="s">
        <v>357</v>
      </c>
      <c r="E552" s="90" t="s">
        <v>922</v>
      </c>
      <c r="F552" s="90" t="s">
        <v>922</v>
      </c>
    </row>
    <row r="553" spans="2:6" ht="36">
      <c r="B553" s="88">
        <v>639</v>
      </c>
      <c r="C553" s="89" t="s">
        <v>1127</v>
      </c>
      <c r="D553" s="90" t="s">
        <v>1194</v>
      </c>
      <c r="E553" s="90" t="s">
        <v>1155</v>
      </c>
      <c r="F553" s="90" t="s">
        <v>1155</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1127</v>
      </c>
      <c r="D565" s="90" t="s">
        <v>1186</v>
      </c>
      <c r="E565" s="90" t="s">
        <v>1149</v>
      </c>
      <c r="F565" s="90" t="s">
        <v>1149</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1386</v>
      </c>
      <c r="E576" s="90" t="s">
        <v>1371</v>
      </c>
      <c r="F576" s="90" t="s">
        <v>1371</v>
      </c>
    </row>
    <row r="577" spans="2:6">
      <c r="B577" s="88">
        <v>663</v>
      </c>
      <c r="D577" s="90" t="s">
        <v>1387</v>
      </c>
      <c r="E577" s="90" t="s">
        <v>1372</v>
      </c>
      <c r="F577" s="90" t="s">
        <v>1372</v>
      </c>
    </row>
    <row r="578" spans="2:6">
      <c r="B578" s="88">
        <v>664</v>
      </c>
      <c r="D578" s="90" t="s">
        <v>1373</v>
      </c>
      <c r="E578" s="90" t="s">
        <v>1374</v>
      </c>
      <c r="F578" s="90" t="s">
        <v>1374</v>
      </c>
    </row>
    <row r="579" spans="2:6">
      <c r="B579" s="88">
        <v>665</v>
      </c>
      <c r="D579" s="90" t="s">
        <v>1383</v>
      </c>
      <c r="E579" s="90" t="s">
        <v>1384</v>
      </c>
      <c r="F579" s="90" t="s">
        <v>1384</v>
      </c>
    </row>
    <row r="580" spans="2:6">
      <c r="B580" s="88">
        <v>666</v>
      </c>
      <c r="D580" s="90" t="s">
        <v>1377</v>
      </c>
      <c r="E580" s="90" t="s">
        <v>1380</v>
      </c>
      <c r="F580" s="90" t="s">
        <v>1380</v>
      </c>
    </row>
    <row r="581" spans="2:6">
      <c r="B581" s="88">
        <v>667</v>
      </c>
      <c r="D581" s="90" t="s">
        <v>1378</v>
      </c>
      <c r="E581" s="90" t="s">
        <v>1381</v>
      </c>
      <c r="F581" s="90" t="s">
        <v>1381</v>
      </c>
    </row>
    <row r="582" spans="2:6">
      <c r="B582" s="88">
        <v>667</v>
      </c>
      <c r="D582" s="90" t="s">
        <v>1379</v>
      </c>
      <c r="E582" s="90" t="s">
        <v>1382</v>
      </c>
      <c r="F582" s="90" t="s">
        <v>1382</v>
      </c>
    </row>
    <row r="583" spans="2:6">
      <c r="B583" s="88">
        <v>667</v>
      </c>
      <c r="D583" s="90" t="s">
        <v>1391</v>
      </c>
      <c r="E583" s="90" t="s">
        <v>1390</v>
      </c>
      <c r="F583" s="90" t="s">
        <v>1390</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1269</v>
      </c>
      <c r="U1" s="132" t="s">
        <v>1000</v>
      </c>
      <c r="V1" s="133" t="s">
        <v>1001</v>
      </c>
      <c r="W1" s="132" t="s">
        <v>1003</v>
      </c>
      <c r="X1" s="134" t="s">
        <v>1248</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1450</v>
      </c>
      <c r="N2" s="131" t="s">
        <v>1317</v>
      </c>
      <c r="O2" s="127">
        <v>44336</v>
      </c>
      <c r="P2" s="127">
        <v>44337</v>
      </c>
      <c r="Q2" s="127">
        <v>44336</v>
      </c>
      <c r="R2" s="127">
        <v>44338</v>
      </c>
      <c r="S2" s="128">
        <v>21</v>
      </c>
      <c r="T2" s="128">
        <v>1</v>
      </c>
      <c r="U2" s="128">
        <v>2</v>
      </c>
      <c r="V2" s="129">
        <v>2</v>
      </c>
      <c r="W2" s="128">
        <v>0</v>
      </c>
      <c r="X2" s="130">
        <v>1</v>
      </c>
      <c r="Y2" s="130">
        <v>1</v>
      </c>
      <c r="Z2" s="130">
        <v>1</v>
      </c>
      <c r="AC2" s="129">
        <v>0</v>
      </c>
    </row>
    <row r="3" spans="1:30">
      <c r="A3" s="131" t="s">
        <v>1088</v>
      </c>
      <c r="B3" s="131" t="s">
        <v>1082</v>
      </c>
      <c r="C3" s="131" t="s">
        <v>1007</v>
      </c>
      <c r="D3" s="131" t="s">
        <v>1081</v>
      </c>
      <c r="E3" s="131" t="s">
        <v>1082</v>
      </c>
      <c r="M3" s="131" t="s">
        <v>1450</v>
      </c>
      <c r="N3" s="131" t="s">
        <v>1318</v>
      </c>
      <c r="O3" s="127">
        <v>44336</v>
      </c>
      <c r="P3" s="127">
        <v>44337</v>
      </c>
      <c r="Q3" s="127">
        <v>44336</v>
      </c>
      <c r="R3" s="127">
        <v>44338</v>
      </c>
      <c r="S3" s="128">
        <v>21</v>
      </c>
      <c r="T3" s="128">
        <v>1</v>
      </c>
      <c r="U3" s="128">
        <v>2</v>
      </c>
      <c r="V3" s="129">
        <v>2</v>
      </c>
      <c r="W3" s="128">
        <v>0</v>
      </c>
      <c r="X3" s="130">
        <v>1</v>
      </c>
      <c r="Y3" s="130">
        <v>1</v>
      </c>
      <c r="Z3" s="130">
        <v>1</v>
      </c>
      <c r="AC3" s="129">
        <v>0</v>
      </c>
    </row>
    <row r="4" spans="1:30">
      <c r="A4" s="131" t="s">
        <v>1089</v>
      </c>
      <c r="B4" s="131" t="s">
        <v>1451</v>
      </c>
      <c r="C4" s="131" t="s">
        <v>1007</v>
      </c>
      <c r="D4" s="131" t="s">
        <v>1081</v>
      </c>
      <c r="E4" s="131" t="s">
        <v>1083</v>
      </c>
      <c r="F4" s="131" t="s">
        <v>1451</v>
      </c>
      <c r="M4" s="131" t="s">
        <v>1452</v>
      </c>
      <c r="N4" s="131" t="s">
        <v>1317</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1089</v>
      </c>
      <c r="B5" s="131" t="s">
        <v>1451</v>
      </c>
      <c r="C5" s="131" t="s">
        <v>1007</v>
      </c>
      <c r="D5" s="131" t="s">
        <v>1081</v>
      </c>
      <c r="E5" s="131" t="s">
        <v>1083</v>
      </c>
      <c r="F5" s="131" t="s">
        <v>1451</v>
      </c>
      <c r="M5" s="131" t="s">
        <v>1452</v>
      </c>
      <c r="N5" s="131" t="s">
        <v>1317</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1089</v>
      </c>
      <c r="B6" s="131" t="s">
        <v>1451</v>
      </c>
      <c r="C6" s="131" t="s">
        <v>1007</v>
      </c>
      <c r="D6" s="131" t="s">
        <v>1081</v>
      </c>
      <c r="E6" s="131" t="s">
        <v>1083</v>
      </c>
      <c r="F6" s="131" t="s">
        <v>1451</v>
      </c>
      <c r="M6" s="131" t="s">
        <v>1452</v>
      </c>
      <c r="N6" s="131" t="s">
        <v>1317</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1089</v>
      </c>
      <c r="B7" s="131" t="s">
        <v>1453</v>
      </c>
      <c r="C7" s="131" t="s">
        <v>1007</v>
      </c>
      <c r="D7" s="131" t="s">
        <v>1081</v>
      </c>
      <c r="E7" s="131" t="s">
        <v>1083</v>
      </c>
      <c r="F7" s="131" t="s">
        <v>1453</v>
      </c>
      <c r="M7" s="131" t="s">
        <v>1454</v>
      </c>
      <c r="N7" s="131" t="s">
        <v>1317</v>
      </c>
      <c r="O7" s="127">
        <v>44358</v>
      </c>
      <c r="P7" s="127">
        <v>44358</v>
      </c>
      <c r="Q7" s="127">
        <v>44353</v>
      </c>
      <c r="R7" s="127">
        <v>44359</v>
      </c>
      <c r="S7" s="128">
        <v>24</v>
      </c>
      <c r="T7" s="128">
        <v>4</v>
      </c>
      <c r="U7" s="128">
        <v>0</v>
      </c>
      <c r="V7" s="129">
        <v>0</v>
      </c>
      <c r="W7" s="128">
        <v>0</v>
      </c>
      <c r="X7" s="130">
        <v>0</v>
      </c>
      <c r="Y7" s="130">
        <v>0</v>
      </c>
      <c r="Z7" s="130">
        <v>0</v>
      </c>
      <c r="AC7" s="129">
        <v>0</v>
      </c>
    </row>
    <row r="8" spans="1:30">
      <c r="A8" s="131" t="s">
        <v>1088</v>
      </c>
      <c r="B8" s="131" t="s">
        <v>1085</v>
      </c>
      <c r="C8" s="131" t="s">
        <v>1007</v>
      </c>
      <c r="D8" s="131" t="s">
        <v>1084</v>
      </c>
      <c r="E8" s="131" t="s">
        <v>1085</v>
      </c>
      <c r="M8" s="131" t="s">
        <v>1455</v>
      </c>
      <c r="N8" s="131" t="s">
        <v>1526</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1088</v>
      </c>
      <c r="B9" s="131" t="s">
        <v>1085</v>
      </c>
      <c r="C9" s="131" t="s">
        <v>1007</v>
      </c>
      <c r="D9" s="131" t="s">
        <v>1084</v>
      </c>
      <c r="E9" s="131" t="s">
        <v>1085</v>
      </c>
      <c r="M9" s="131" t="s">
        <v>1455</v>
      </c>
      <c r="N9" s="131" t="s">
        <v>1526</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1088</v>
      </c>
      <c r="B10" s="131" t="s">
        <v>1085</v>
      </c>
      <c r="C10" s="131" t="s">
        <v>1007</v>
      </c>
      <c r="D10" s="131" t="s">
        <v>1084</v>
      </c>
      <c r="E10" s="131" t="s">
        <v>1085</v>
      </c>
      <c r="M10" s="131" t="s">
        <v>1455</v>
      </c>
      <c r="N10" s="131" t="s">
        <v>1526</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1088</v>
      </c>
      <c r="B11" s="131" t="s">
        <v>1085</v>
      </c>
      <c r="C11" s="131" t="s">
        <v>1007</v>
      </c>
      <c r="D11" s="131" t="s">
        <v>1084</v>
      </c>
      <c r="E11" s="131" t="s">
        <v>1085</v>
      </c>
      <c r="M11" s="131" t="s">
        <v>1455</v>
      </c>
      <c r="N11" s="131" t="s">
        <v>1526</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1088</v>
      </c>
      <c r="B12" s="131" t="s">
        <v>1085</v>
      </c>
      <c r="C12" s="131" t="s">
        <v>1007</v>
      </c>
      <c r="D12" s="131" t="s">
        <v>1084</v>
      </c>
      <c r="E12" s="131" t="s">
        <v>1085</v>
      </c>
      <c r="M12" s="131" t="s">
        <v>1455</v>
      </c>
      <c r="N12" s="131" t="s">
        <v>1526</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1088</v>
      </c>
      <c r="B13" s="131" t="s">
        <v>1106</v>
      </c>
      <c r="C13" s="131" t="s">
        <v>1007</v>
      </c>
      <c r="D13" s="131" t="s">
        <v>1084</v>
      </c>
      <c r="E13" s="131" t="s">
        <v>1106</v>
      </c>
      <c r="M13" s="131" t="s">
        <v>1456</v>
      </c>
      <c r="N13" s="131" t="s">
        <v>1526</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1088</v>
      </c>
      <c r="B14" s="131" t="s">
        <v>1457</v>
      </c>
      <c r="C14" s="131" t="s">
        <v>1007</v>
      </c>
      <c r="D14" s="131" t="s">
        <v>1084</v>
      </c>
      <c r="E14" s="131" t="s">
        <v>1457</v>
      </c>
      <c r="M14" s="131" t="s">
        <v>1458</v>
      </c>
      <c r="N14" s="131" t="s">
        <v>1526</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1088</v>
      </c>
      <c r="B15" s="131" t="s">
        <v>1457</v>
      </c>
      <c r="C15" s="131" t="s">
        <v>1007</v>
      </c>
      <c r="D15" s="131" t="s">
        <v>1084</v>
      </c>
      <c r="E15" s="131" t="s">
        <v>1457</v>
      </c>
      <c r="M15" s="131" t="s">
        <v>1458</v>
      </c>
      <c r="N15" s="131" t="s">
        <v>1526</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1088</v>
      </c>
      <c r="B16" s="131" t="s">
        <v>1457</v>
      </c>
      <c r="C16" s="131" t="s">
        <v>1007</v>
      </c>
      <c r="D16" s="131" t="s">
        <v>1084</v>
      </c>
      <c r="E16" s="131" t="s">
        <v>1457</v>
      </c>
      <c r="M16" s="131" t="s">
        <v>1458</v>
      </c>
      <c r="N16" s="131" t="s">
        <v>1526</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1088</v>
      </c>
      <c r="B17" s="131" t="s">
        <v>1457</v>
      </c>
      <c r="C17" s="131" t="s">
        <v>1007</v>
      </c>
      <c r="D17" s="131" t="s">
        <v>1084</v>
      </c>
      <c r="E17" s="131" t="s">
        <v>1457</v>
      </c>
      <c r="M17" s="131" t="s">
        <v>1458</v>
      </c>
      <c r="N17" s="131" t="s">
        <v>1526</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1088</v>
      </c>
      <c r="B18" s="131" t="s">
        <v>1457</v>
      </c>
      <c r="C18" s="131" t="s">
        <v>1007</v>
      </c>
      <c r="D18" s="131" t="s">
        <v>1084</v>
      </c>
      <c r="E18" s="131" t="s">
        <v>1457</v>
      </c>
      <c r="M18" s="131" t="s">
        <v>1458</v>
      </c>
      <c r="N18" s="131" t="s">
        <v>1526</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1088</v>
      </c>
      <c r="B19" s="131" t="s">
        <v>1459</v>
      </c>
      <c r="C19" s="131" t="s">
        <v>1007</v>
      </c>
      <c r="D19" s="131" t="s">
        <v>1084</v>
      </c>
      <c r="E19" s="131" t="s">
        <v>1459</v>
      </c>
      <c r="M19" s="131" t="s">
        <v>1460</v>
      </c>
      <c r="N19" s="131" t="s">
        <v>1441</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1088</v>
      </c>
      <c r="B20" s="131" t="s">
        <v>1087</v>
      </c>
      <c r="C20" s="131" t="s">
        <v>1007</v>
      </c>
      <c r="D20" s="131" t="s">
        <v>1086</v>
      </c>
      <c r="E20" s="131" t="s">
        <v>1087</v>
      </c>
      <c r="M20" s="131" t="s">
        <v>1461</v>
      </c>
      <c r="N20" s="131" t="s">
        <v>1318</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1088</v>
      </c>
      <c r="B21" s="131" t="s">
        <v>1087</v>
      </c>
      <c r="C21" s="131" t="s">
        <v>1007</v>
      </c>
      <c r="D21" s="131" t="s">
        <v>1086</v>
      </c>
      <c r="E21" s="131" t="s">
        <v>1087</v>
      </c>
      <c r="M21" s="131" t="s">
        <v>1461</v>
      </c>
      <c r="N21" s="131" t="s">
        <v>1317</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1088</v>
      </c>
      <c r="B22" s="131" t="s">
        <v>1087</v>
      </c>
      <c r="C22" s="131" t="s">
        <v>1007</v>
      </c>
      <c r="D22" s="131" t="s">
        <v>1086</v>
      </c>
      <c r="E22" s="131" t="s">
        <v>1087</v>
      </c>
      <c r="M22" s="131" t="s">
        <v>1461</v>
      </c>
      <c r="N22" s="131" t="s">
        <v>1318</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1088</v>
      </c>
      <c r="B23" s="131" t="s">
        <v>1087</v>
      </c>
      <c r="C23" s="131" t="s">
        <v>1007</v>
      </c>
      <c r="D23" s="131" t="s">
        <v>1086</v>
      </c>
      <c r="E23" s="131" t="s">
        <v>1087</v>
      </c>
      <c r="M23" s="131" t="s">
        <v>1461</v>
      </c>
      <c r="N23" s="131" t="s">
        <v>1317</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1088</v>
      </c>
      <c r="B24" s="131" t="s">
        <v>1107</v>
      </c>
      <c r="C24" s="131" t="s">
        <v>1007</v>
      </c>
      <c r="D24" s="131" t="s">
        <v>1086</v>
      </c>
      <c r="E24" s="131" t="s">
        <v>1107</v>
      </c>
      <c r="M24" s="131" t="s">
        <v>1462</v>
      </c>
      <c r="N24" s="131" t="s">
        <v>729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1088</v>
      </c>
      <c r="B25" s="131" t="s">
        <v>1107</v>
      </c>
      <c r="C25" s="131" t="s">
        <v>1007</v>
      </c>
      <c r="D25" s="131" t="s">
        <v>1086</v>
      </c>
      <c r="E25" s="131" t="s">
        <v>1107</v>
      </c>
      <c r="M25" s="131" t="s">
        <v>1462</v>
      </c>
      <c r="N25" s="131" t="s">
        <v>729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1088</v>
      </c>
      <c r="B26" s="131" t="s">
        <v>1107</v>
      </c>
      <c r="C26" s="131" t="s">
        <v>1007</v>
      </c>
      <c r="D26" s="131" t="s">
        <v>1086</v>
      </c>
      <c r="E26" s="131" t="s">
        <v>1107</v>
      </c>
      <c r="M26" s="131" t="s">
        <v>1462</v>
      </c>
      <c r="N26" s="131" t="s">
        <v>729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1088</v>
      </c>
      <c r="B27" s="131" t="s">
        <v>1107</v>
      </c>
      <c r="C27" s="131" t="s">
        <v>1007</v>
      </c>
      <c r="D27" s="131" t="s">
        <v>1086</v>
      </c>
      <c r="E27" s="131" t="s">
        <v>1107</v>
      </c>
      <c r="M27" s="131" t="s">
        <v>1462</v>
      </c>
      <c r="N27" s="131" t="s">
        <v>729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1088</v>
      </c>
      <c r="B28" s="131" t="s">
        <v>1463</v>
      </c>
      <c r="C28" s="131" t="s">
        <v>1007</v>
      </c>
      <c r="D28" s="131" t="s">
        <v>1086</v>
      </c>
      <c r="E28" s="131" t="s">
        <v>1463</v>
      </c>
      <c r="M28" s="131" t="s">
        <v>1464</v>
      </c>
      <c r="N28" s="131" t="s">
        <v>1349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1088</v>
      </c>
      <c r="B29" s="131" t="s">
        <v>1463</v>
      </c>
      <c r="C29" s="131" t="s">
        <v>1007</v>
      </c>
      <c r="D29" s="131" t="s">
        <v>1086</v>
      </c>
      <c r="E29" s="131" t="s">
        <v>1463</v>
      </c>
      <c r="M29" s="131" t="s">
        <v>1464</v>
      </c>
      <c r="N29" s="131" t="s">
        <v>1350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1088</v>
      </c>
      <c r="B30" s="131" t="s">
        <v>1465</v>
      </c>
      <c r="C30" s="131" t="s">
        <v>1007</v>
      </c>
      <c r="D30" s="131" t="s">
        <v>1086</v>
      </c>
      <c r="E30" s="131" t="s">
        <v>1465</v>
      </c>
      <c r="M30" s="131" t="s">
        <v>1466</v>
      </c>
      <c r="N30" s="131" t="s">
        <v>1441</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1088</v>
      </c>
      <c r="B31" s="131" t="s">
        <v>1467</v>
      </c>
      <c r="C31" s="131" t="s">
        <v>1071</v>
      </c>
      <c r="D31" s="131" t="s">
        <v>1519</v>
      </c>
      <c r="E31" s="131" t="s">
        <v>1467</v>
      </c>
      <c r="M31" s="131" t="s">
        <v>1468</v>
      </c>
      <c r="N31" s="131" t="s">
        <v>1441</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1088</v>
      </c>
      <c r="B32" s="131" t="s">
        <v>1467</v>
      </c>
      <c r="C32" s="131" t="s">
        <v>1071</v>
      </c>
      <c r="D32" s="131" t="s">
        <v>1519</v>
      </c>
      <c r="E32" s="131" t="s">
        <v>1467</v>
      </c>
      <c r="M32" s="131" t="s">
        <v>1468</v>
      </c>
      <c r="N32" s="131" t="s">
        <v>1441</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1088</v>
      </c>
      <c r="B33" s="131" t="s">
        <v>1467</v>
      </c>
      <c r="C33" s="131" t="s">
        <v>1071</v>
      </c>
      <c r="D33" s="131" t="s">
        <v>1519</v>
      </c>
      <c r="E33" s="131" t="s">
        <v>1467</v>
      </c>
      <c r="M33" s="131" t="s">
        <v>1468</v>
      </c>
      <c r="N33" s="131" t="s">
        <v>1441</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1088</v>
      </c>
      <c r="B34" s="131" t="s">
        <v>1467</v>
      </c>
      <c r="C34" s="131" t="s">
        <v>1071</v>
      </c>
      <c r="D34" s="131" t="s">
        <v>1519</v>
      </c>
      <c r="E34" s="131" t="s">
        <v>1467</v>
      </c>
      <c r="M34" s="131" t="s">
        <v>1468</v>
      </c>
      <c r="N34" s="131" t="s">
        <v>1441</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1089</v>
      </c>
      <c r="B35" s="131" t="s">
        <v>1470</v>
      </c>
      <c r="C35" s="131" t="s">
        <v>1071</v>
      </c>
      <c r="D35" s="131" t="s">
        <v>1519</v>
      </c>
      <c r="E35" s="131" t="s">
        <v>1469</v>
      </c>
      <c r="F35" s="131" t="s">
        <v>1470</v>
      </c>
      <c r="M35" s="131" t="s">
        <v>1471</v>
      </c>
      <c r="N35" s="131" t="s">
        <v>1441</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1089</v>
      </c>
      <c r="B36" s="131" t="s">
        <v>1470</v>
      </c>
      <c r="C36" s="131" t="s">
        <v>1071</v>
      </c>
      <c r="D36" s="131" t="s">
        <v>1519</v>
      </c>
      <c r="E36" s="131" t="s">
        <v>1469</v>
      </c>
      <c r="F36" s="131" t="s">
        <v>1470</v>
      </c>
      <c r="M36" s="131" t="s">
        <v>1471</v>
      </c>
      <c r="N36" s="131" t="s">
        <v>1441</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1089</v>
      </c>
      <c r="B37" s="131" t="s">
        <v>1470</v>
      </c>
      <c r="C37" s="131" t="s">
        <v>1071</v>
      </c>
      <c r="D37" s="131" t="s">
        <v>1519</v>
      </c>
      <c r="E37" s="131" t="s">
        <v>1469</v>
      </c>
      <c r="F37" s="131" t="s">
        <v>1470</v>
      </c>
      <c r="M37" s="131" t="s">
        <v>1471</v>
      </c>
      <c r="N37" s="131" t="s">
        <v>1441</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1089</v>
      </c>
      <c r="B38" s="131" t="s">
        <v>1470</v>
      </c>
      <c r="C38" s="131" t="s">
        <v>1071</v>
      </c>
      <c r="D38" s="131" t="s">
        <v>1519</v>
      </c>
      <c r="E38" s="131" t="s">
        <v>1469</v>
      </c>
      <c r="F38" s="131" t="s">
        <v>1470</v>
      </c>
      <c r="M38" s="131" t="s">
        <v>1471</v>
      </c>
      <c r="N38" s="131" t="s">
        <v>1441</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1089</v>
      </c>
      <c r="B39" s="131" t="s">
        <v>1472</v>
      </c>
      <c r="C39" s="131" t="s">
        <v>1071</v>
      </c>
      <c r="D39" s="131" t="s">
        <v>1519</v>
      </c>
      <c r="E39" s="131" t="s">
        <v>1469</v>
      </c>
      <c r="F39" s="131" t="s">
        <v>1472</v>
      </c>
      <c r="M39" s="131" t="s">
        <v>1473</v>
      </c>
      <c r="N39" s="131" t="s">
        <v>1319</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1089</v>
      </c>
      <c r="B40" s="131" t="s">
        <v>1472</v>
      </c>
      <c r="C40" s="131" t="s">
        <v>1071</v>
      </c>
      <c r="D40" s="131" t="s">
        <v>1519</v>
      </c>
      <c r="E40" s="131" t="s">
        <v>1469</v>
      </c>
      <c r="F40" s="131" t="s">
        <v>1472</v>
      </c>
      <c r="M40" s="131" t="s">
        <v>1473</v>
      </c>
      <c r="N40" s="131" t="s">
        <v>1317</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1089</v>
      </c>
      <c r="B41" s="131" t="s">
        <v>1472</v>
      </c>
      <c r="C41" s="131" t="s">
        <v>1071</v>
      </c>
      <c r="D41" s="131" t="s">
        <v>1519</v>
      </c>
      <c r="E41" s="131" t="s">
        <v>1469</v>
      </c>
      <c r="F41" s="131" t="s">
        <v>1472</v>
      </c>
      <c r="M41" s="131" t="s">
        <v>1473</v>
      </c>
      <c r="N41" s="131" t="s">
        <v>1319</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1089</v>
      </c>
      <c r="B42" s="131" t="s">
        <v>1472</v>
      </c>
      <c r="C42" s="131" t="s">
        <v>1071</v>
      </c>
      <c r="D42" s="131" t="s">
        <v>1519</v>
      </c>
      <c r="E42" s="131" t="s">
        <v>1469</v>
      </c>
      <c r="F42" s="131" t="s">
        <v>1472</v>
      </c>
      <c r="M42" s="131" t="s">
        <v>1473</v>
      </c>
      <c r="N42" s="131" t="s">
        <v>1317</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1089</v>
      </c>
      <c r="B43" s="131" t="s">
        <v>1472</v>
      </c>
      <c r="C43" s="131" t="s">
        <v>1071</v>
      </c>
      <c r="D43" s="131" t="s">
        <v>1519</v>
      </c>
      <c r="E43" s="131" t="s">
        <v>1469</v>
      </c>
      <c r="F43" s="131" t="s">
        <v>1472</v>
      </c>
      <c r="M43" s="131" t="s">
        <v>1473</v>
      </c>
      <c r="N43" s="131" t="s">
        <v>1319</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1089</v>
      </c>
      <c r="B44" s="131" t="s">
        <v>1472</v>
      </c>
      <c r="C44" s="131" t="s">
        <v>1071</v>
      </c>
      <c r="D44" s="131" t="s">
        <v>1519</v>
      </c>
      <c r="E44" s="131" t="s">
        <v>1469</v>
      </c>
      <c r="F44" s="131" t="s">
        <v>1472</v>
      </c>
      <c r="M44" s="131" t="s">
        <v>1473</v>
      </c>
      <c r="N44" s="131" t="s">
        <v>1317</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1089</v>
      </c>
      <c r="B45" s="131" t="s">
        <v>1472</v>
      </c>
      <c r="C45" s="131" t="s">
        <v>1071</v>
      </c>
      <c r="D45" s="131" t="s">
        <v>1519</v>
      </c>
      <c r="E45" s="131" t="s">
        <v>1469</v>
      </c>
      <c r="F45" s="131" t="s">
        <v>1472</v>
      </c>
      <c r="M45" s="131" t="s">
        <v>1473</v>
      </c>
      <c r="N45" s="131" t="s">
        <v>1319</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1089</v>
      </c>
      <c r="B46" s="131" t="s">
        <v>1472</v>
      </c>
      <c r="C46" s="131" t="s">
        <v>1071</v>
      </c>
      <c r="D46" s="131" t="s">
        <v>1519</v>
      </c>
      <c r="E46" s="131" t="s">
        <v>1469</v>
      </c>
      <c r="F46" s="131" t="s">
        <v>1472</v>
      </c>
      <c r="M46" s="131" t="s">
        <v>1473</v>
      </c>
      <c r="N46" s="131" t="s">
        <v>1317</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1088</v>
      </c>
      <c r="B47" s="131" t="s">
        <v>1474</v>
      </c>
      <c r="C47" s="131" t="s">
        <v>1071</v>
      </c>
      <c r="D47" s="131" t="s">
        <v>1520</v>
      </c>
      <c r="E47" s="131" t="s">
        <v>1474</v>
      </c>
      <c r="M47" s="131" t="s">
        <v>1475</v>
      </c>
      <c r="N47" s="131" t="s">
        <v>1441</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1088</v>
      </c>
      <c r="B48" s="131" t="s">
        <v>1474</v>
      </c>
      <c r="C48" s="131" t="s">
        <v>1071</v>
      </c>
      <c r="D48" s="131" t="s">
        <v>1520</v>
      </c>
      <c r="E48" s="131" t="s">
        <v>1474</v>
      </c>
      <c r="M48" s="131" t="s">
        <v>1475</v>
      </c>
      <c r="N48" s="131" t="s">
        <v>1441</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1088</v>
      </c>
      <c r="B49" s="131" t="s">
        <v>1474</v>
      </c>
      <c r="C49" s="131" t="s">
        <v>1071</v>
      </c>
      <c r="D49" s="131" t="s">
        <v>1520</v>
      </c>
      <c r="E49" s="131" t="s">
        <v>1474</v>
      </c>
      <c r="M49" s="131" t="s">
        <v>1475</v>
      </c>
      <c r="N49" s="131" t="s">
        <v>1441</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1089</v>
      </c>
      <c r="B50" s="131" t="s">
        <v>1477</v>
      </c>
      <c r="C50" s="131" t="s">
        <v>1071</v>
      </c>
      <c r="D50" s="131" t="s">
        <v>1520</v>
      </c>
      <c r="E50" s="131" t="s">
        <v>1476</v>
      </c>
      <c r="F50" s="131" t="s">
        <v>1477</v>
      </c>
      <c r="M50" s="131" t="s">
        <v>1478</v>
      </c>
      <c r="N50" s="131" t="s">
        <v>1441</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1089</v>
      </c>
      <c r="B51" s="131" t="s">
        <v>1477</v>
      </c>
      <c r="C51" s="131" t="s">
        <v>1071</v>
      </c>
      <c r="D51" s="131" t="s">
        <v>1520</v>
      </c>
      <c r="E51" s="131" t="s">
        <v>1476</v>
      </c>
      <c r="F51" s="131" t="s">
        <v>1477</v>
      </c>
      <c r="M51" s="131" t="s">
        <v>1478</v>
      </c>
      <c r="N51" s="131" t="s">
        <v>1441</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1089</v>
      </c>
      <c r="B52" s="131" t="s">
        <v>1479</v>
      </c>
      <c r="C52" s="131" t="s">
        <v>1071</v>
      </c>
      <c r="D52" s="131" t="s">
        <v>1520</v>
      </c>
      <c r="E52" s="131" t="s">
        <v>1476</v>
      </c>
      <c r="F52" s="131" t="s">
        <v>1479</v>
      </c>
      <c r="M52" s="131" t="s">
        <v>1480</v>
      </c>
      <c r="N52" s="131" t="s">
        <v>1441</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1089</v>
      </c>
      <c r="B53" s="131" t="s">
        <v>1479</v>
      </c>
      <c r="C53" s="131" t="s">
        <v>1071</v>
      </c>
      <c r="D53" s="131" t="s">
        <v>1520</v>
      </c>
      <c r="E53" s="131" t="s">
        <v>1476</v>
      </c>
      <c r="F53" s="131" t="s">
        <v>1479</v>
      </c>
      <c r="M53" s="131" t="s">
        <v>1480</v>
      </c>
      <c r="N53" s="131" t="s">
        <v>1441</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1089</v>
      </c>
      <c r="B54" s="131" t="s">
        <v>1481</v>
      </c>
      <c r="C54" s="131" t="s">
        <v>1071</v>
      </c>
      <c r="D54" s="131" t="s">
        <v>1520</v>
      </c>
      <c r="E54" s="131" t="s">
        <v>1476</v>
      </c>
      <c r="F54" s="131" t="s">
        <v>1481</v>
      </c>
      <c r="M54" s="131" t="s">
        <v>1482</v>
      </c>
      <c r="N54" s="131" t="s">
        <v>1441</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1089</v>
      </c>
      <c r="B55" s="131" t="s">
        <v>1481</v>
      </c>
      <c r="C55" s="131" t="s">
        <v>1071</v>
      </c>
      <c r="D55" s="131" t="s">
        <v>1520</v>
      </c>
      <c r="E55" s="131" t="s">
        <v>1476</v>
      </c>
      <c r="F55" s="131" t="s">
        <v>1481</v>
      </c>
      <c r="M55" s="131" t="s">
        <v>1482</v>
      </c>
      <c r="N55" s="131" t="s">
        <v>1441</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1089</v>
      </c>
      <c r="B56" s="131" t="s">
        <v>1481</v>
      </c>
      <c r="C56" s="131" t="s">
        <v>1071</v>
      </c>
      <c r="D56" s="131" t="s">
        <v>1520</v>
      </c>
      <c r="E56" s="131" t="s">
        <v>1476</v>
      </c>
      <c r="F56" s="131" t="s">
        <v>1481</v>
      </c>
      <c r="M56" s="131" t="s">
        <v>1482</v>
      </c>
      <c r="N56" s="131" t="s">
        <v>1441</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1088</v>
      </c>
      <c r="B57" s="131" t="s">
        <v>1483</v>
      </c>
      <c r="C57" s="131" t="s">
        <v>1071</v>
      </c>
      <c r="D57" s="131" t="s">
        <v>1520</v>
      </c>
      <c r="E57" s="131" t="s">
        <v>1483</v>
      </c>
      <c r="M57" s="131" t="s">
        <v>1484</v>
      </c>
      <c r="N57" s="131" t="s">
        <v>1441</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1089</v>
      </c>
      <c r="B58" s="131" t="s">
        <v>1486</v>
      </c>
      <c r="C58" s="131" t="s">
        <v>1071</v>
      </c>
      <c r="D58" s="131" t="s">
        <v>1521</v>
      </c>
      <c r="E58" s="131" t="s">
        <v>1485</v>
      </c>
      <c r="F58" s="131" t="s">
        <v>1486</v>
      </c>
      <c r="M58" s="131" t="s">
        <v>1487</v>
      </c>
      <c r="N58" s="131" t="s">
        <v>1441</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1091</v>
      </c>
      <c r="B59" s="131" t="s">
        <v>1490</v>
      </c>
      <c r="C59" s="131" t="s">
        <v>1071</v>
      </c>
      <c r="D59" s="131" t="s">
        <v>1521</v>
      </c>
      <c r="E59" s="131" t="s">
        <v>1485</v>
      </c>
      <c r="F59" s="131" t="s">
        <v>1488</v>
      </c>
      <c r="G59" s="131" t="s">
        <v>1489</v>
      </c>
      <c r="H59" s="131" t="s">
        <v>1490</v>
      </c>
      <c r="M59" s="131" t="s">
        <v>1491</v>
      </c>
      <c r="N59" s="131" t="s">
        <v>1441</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1091</v>
      </c>
      <c r="B60" s="131" t="s">
        <v>1492</v>
      </c>
      <c r="C60" s="131" t="s">
        <v>1071</v>
      </c>
      <c r="D60" s="131" t="s">
        <v>1521</v>
      </c>
      <c r="E60" s="131" t="s">
        <v>1485</v>
      </c>
      <c r="F60" s="131" t="s">
        <v>1488</v>
      </c>
      <c r="G60" s="131" t="s">
        <v>1489</v>
      </c>
      <c r="H60" s="131" t="s">
        <v>1492</v>
      </c>
      <c r="M60" s="131" t="s">
        <v>1493</v>
      </c>
      <c r="N60" s="131" t="s">
        <v>1441</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1091</v>
      </c>
      <c r="B61" s="131" t="s">
        <v>1494</v>
      </c>
      <c r="C61" s="131" t="s">
        <v>1071</v>
      </c>
      <c r="D61" s="131" t="s">
        <v>1521</v>
      </c>
      <c r="E61" s="131" t="s">
        <v>1485</v>
      </c>
      <c r="F61" s="131" t="s">
        <v>1488</v>
      </c>
      <c r="G61" s="131" t="s">
        <v>1489</v>
      </c>
      <c r="H61" s="131" t="s">
        <v>1494</v>
      </c>
      <c r="M61" s="131" t="s">
        <v>1495</v>
      </c>
      <c r="N61" s="131" t="s">
        <v>1441</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1091</v>
      </c>
      <c r="B62" s="131" t="s">
        <v>1494</v>
      </c>
      <c r="C62" s="131" t="s">
        <v>1071</v>
      </c>
      <c r="D62" s="131" t="s">
        <v>1521</v>
      </c>
      <c r="E62" s="131" t="s">
        <v>1485</v>
      </c>
      <c r="F62" s="131" t="s">
        <v>1488</v>
      </c>
      <c r="G62" s="131" t="s">
        <v>1489</v>
      </c>
      <c r="H62" s="131" t="s">
        <v>1494</v>
      </c>
      <c r="M62" s="131" t="s">
        <v>1495</v>
      </c>
      <c r="N62" s="131" t="s">
        <v>1441</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1090</v>
      </c>
      <c r="B63" s="131" t="s">
        <v>1496</v>
      </c>
      <c r="C63" s="131" t="s">
        <v>1071</v>
      </c>
      <c r="D63" s="131" t="s">
        <v>1521</v>
      </c>
      <c r="E63" s="131" t="s">
        <v>1485</v>
      </c>
      <c r="F63" s="131" t="s">
        <v>1488</v>
      </c>
      <c r="G63" s="131" t="s">
        <v>1496</v>
      </c>
      <c r="M63" s="131" t="s">
        <v>1497</v>
      </c>
      <c r="N63" s="131" t="s">
        <v>1441</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1090</v>
      </c>
      <c r="B64" s="131" t="s">
        <v>1496</v>
      </c>
      <c r="C64" s="131" t="s">
        <v>1071</v>
      </c>
      <c r="D64" s="131" t="s">
        <v>1521</v>
      </c>
      <c r="E64" s="131" t="s">
        <v>1485</v>
      </c>
      <c r="F64" s="131" t="s">
        <v>1488</v>
      </c>
      <c r="G64" s="131" t="s">
        <v>1496</v>
      </c>
      <c r="M64" s="131" t="s">
        <v>1497</v>
      </c>
      <c r="N64" s="131" t="s">
        <v>1441</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1090</v>
      </c>
      <c r="B65" s="131" t="s">
        <v>1496</v>
      </c>
      <c r="C65" s="131" t="s">
        <v>1071</v>
      </c>
      <c r="D65" s="131" t="s">
        <v>1521</v>
      </c>
      <c r="E65" s="131" t="s">
        <v>1485</v>
      </c>
      <c r="F65" s="131" t="s">
        <v>1488</v>
      </c>
      <c r="G65" s="131" t="s">
        <v>1496</v>
      </c>
      <c r="M65" s="131" t="s">
        <v>1497</v>
      </c>
      <c r="N65" s="131" t="s">
        <v>1441</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1090</v>
      </c>
      <c r="B66" s="131" t="s">
        <v>1496</v>
      </c>
      <c r="C66" s="131" t="s">
        <v>1071</v>
      </c>
      <c r="D66" s="131" t="s">
        <v>1521</v>
      </c>
      <c r="E66" s="131" t="s">
        <v>1485</v>
      </c>
      <c r="F66" s="131" t="s">
        <v>1488</v>
      </c>
      <c r="G66" s="131" t="s">
        <v>1496</v>
      </c>
      <c r="M66" s="131" t="s">
        <v>1497</v>
      </c>
      <c r="N66" s="131" t="s">
        <v>1441</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1090</v>
      </c>
      <c r="B67" s="131" t="s">
        <v>1496</v>
      </c>
      <c r="C67" s="131" t="s">
        <v>1071</v>
      </c>
      <c r="D67" s="131" t="s">
        <v>1521</v>
      </c>
      <c r="E67" s="131" t="s">
        <v>1485</v>
      </c>
      <c r="F67" s="131" t="s">
        <v>1488</v>
      </c>
      <c r="G67" s="131" t="s">
        <v>1496</v>
      </c>
      <c r="M67" s="131" t="s">
        <v>1497</v>
      </c>
      <c r="N67" s="131" t="s">
        <v>1441</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1090</v>
      </c>
      <c r="B68" s="131" t="s">
        <v>1496</v>
      </c>
      <c r="C68" s="131" t="s">
        <v>1071</v>
      </c>
      <c r="D68" s="131" t="s">
        <v>1521</v>
      </c>
      <c r="E68" s="131" t="s">
        <v>1485</v>
      </c>
      <c r="F68" s="131" t="s">
        <v>1488</v>
      </c>
      <c r="G68" s="131" t="s">
        <v>1496</v>
      </c>
      <c r="M68" s="131" t="s">
        <v>1497</v>
      </c>
      <c r="N68" s="131" t="s">
        <v>1441</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1090</v>
      </c>
      <c r="B69" s="131" t="s">
        <v>1496</v>
      </c>
      <c r="C69" s="131" t="s">
        <v>1071</v>
      </c>
      <c r="D69" s="131" t="s">
        <v>1521</v>
      </c>
      <c r="E69" s="131" t="s">
        <v>1485</v>
      </c>
      <c r="F69" s="131" t="s">
        <v>1488</v>
      </c>
      <c r="G69" s="131" t="s">
        <v>1496</v>
      </c>
      <c r="M69" s="131" t="s">
        <v>1497</v>
      </c>
      <c r="N69" s="131" t="s">
        <v>1441</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1090</v>
      </c>
      <c r="B70" s="131" t="s">
        <v>1496</v>
      </c>
      <c r="C70" s="131" t="s">
        <v>1071</v>
      </c>
      <c r="D70" s="131" t="s">
        <v>1521</v>
      </c>
      <c r="E70" s="131" t="s">
        <v>1485</v>
      </c>
      <c r="F70" s="131" t="s">
        <v>1488</v>
      </c>
      <c r="G70" s="131" t="s">
        <v>1496</v>
      </c>
      <c r="M70" s="131" t="s">
        <v>1497</v>
      </c>
      <c r="N70" s="131" t="s">
        <v>1441</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1090</v>
      </c>
      <c r="B71" s="131" t="s">
        <v>1496</v>
      </c>
      <c r="C71" s="131" t="s">
        <v>1071</v>
      </c>
      <c r="D71" s="131" t="s">
        <v>1521</v>
      </c>
      <c r="E71" s="131" t="s">
        <v>1485</v>
      </c>
      <c r="F71" s="131" t="s">
        <v>1488</v>
      </c>
      <c r="G71" s="131" t="s">
        <v>1496</v>
      </c>
      <c r="M71" s="131" t="s">
        <v>1497</v>
      </c>
      <c r="N71" s="131" t="s">
        <v>1441</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1090</v>
      </c>
      <c r="B72" s="131" t="s">
        <v>1498</v>
      </c>
      <c r="C72" s="131" t="s">
        <v>1071</v>
      </c>
      <c r="D72" s="131" t="s">
        <v>1521</v>
      </c>
      <c r="E72" s="131" t="s">
        <v>1485</v>
      </c>
      <c r="F72" s="131" t="s">
        <v>1488</v>
      </c>
      <c r="G72" s="131" t="s">
        <v>1498</v>
      </c>
      <c r="M72" s="131" t="s">
        <v>1499</v>
      </c>
      <c r="N72" s="131" t="s">
        <v>1441</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1090</v>
      </c>
      <c r="B73" s="131" t="s">
        <v>1498</v>
      </c>
      <c r="C73" s="131" t="s">
        <v>1071</v>
      </c>
      <c r="D73" s="131" t="s">
        <v>1521</v>
      </c>
      <c r="E73" s="131" t="s">
        <v>1485</v>
      </c>
      <c r="F73" s="131" t="s">
        <v>1488</v>
      </c>
      <c r="G73" s="131" t="s">
        <v>1498</v>
      </c>
      <c r="M73" s="131" t="s">
        <v>1499</v>
      </c>
      <c r="N73" s="131" t="s">
        <v>1441</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1090</v>
      </c>
      <c r="B74" s="131" t="s">
        <v>1498</v>
      </c>
      <c r="C74" s="131" t="s">
        <v>1071</v>
      </c>
      <c r="D74" s="131" t="s">
        <v>1521</v>
      </c>
      <c r="E74" s="131" t="s">
        <v>1485</v>
      </c>
      <c r="F74" s="131" t="s">
        <v>1488</v>
      </c>
      <c r="G74" s="131" t="s">
        <v>1498</v>
      </c>
      <c r="M74" s="131" t="s">
        <v>1499</v>
      </c>
      <c r="N74" s="131" t="s">
        <v>1441</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1090</v>
      </c>
      <c r="B75" s="131" t="s">
        <v>1498</v>
      </c>
      <c r="C75" s="131" t="s">
        <v>1071</v>
      </c>
      <c r="D75" s="131" t="s">
        <v>1521</v>
      </c>
      <c r="E75" s="131" t="s">
        <v>1485</v>
      </c>
      <c r="F75" s="131" t="s">
        <v>1488</v>
      </c>
      <c r="G75" s="131" t="s">
        <v>1498</v>
      </c>
      <c r="M75" s="131" t="s">
        <v>1499</v>
      </c>
      <c r="N75" s="131" t="s">
        <v>1441</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1090</v>
      </c>
      <c r="B76" s="131" t="s">
        <v>1498</v>
      </c>
      <c r="C76" s="131" t="s">
        <v>1071</v>
      </c>
      <c r="D76" s="131" t="s">
        <v>1521</v>
      </c>
      <c r="E76" s="131" t="s">
        <v>1485</v>
      </c>
      <c r="F76" s="131" t="s">
        <v>1488</v>
      </c>
      <c r="G76" s="131" t="s">
        <v>1498</v>
      </c>
      <c r="M76" s="131" t="s">
        <v>1499</v>
      </c>
      <c r="N76" s="131" t="s">
        <v>1441</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1090</v>
      </c>
      <c r="B77" s="131" t="s">
        <v>1498</v>
      </c>
      <c r="C77" s="131" t="s">
        <v>1071</v>
      </c>
      <c r="D77" s="131" t="s">
        <v>1521</v>
      </c>
      <c r="E77" s="131" t="s">
        <v>1485</v>
      </c>
      <c r="F77" s="131" t="s">
        <v>1488</v>
      </c>
      <c r="G77" s="131" t="s">
        <v>1498</v>
      </c>
      <c r="M77" s="131" t="s">
        <v>1499</v>
      </c>
      <c r="N77" s="131" t="s">
        <v>1441</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1090</v>
      </c>
      <c r="B78" s="131" t="s">
        <v>1498</v>
      </c>
      <c r="C78" s="131" t="s">
        <v>1071</v>
      </c>
      <c r="D78" s="131" t="s">
        <v>1521</v>
      </c>
      <c r="E78" s="131" t="s">
        <v>1485</v>
      </c>
      <c r="F78" s="131" t="s">
        <v>1488</v>
      </c>
      <c r="G78" s="131" t="s">
        <v>1498</v>
      </c>
      <c r="M78" s="131" t="s">
        <v>1499</v>
      </c>
      <c r="N78" s="131" t="s">
        <v>1441</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1090</v>
      </c>
      <c r="B79" s="131" t="s">
        <v>1498</v>
      </c>
      <c r="C79" s="131" t="s">
        <v>1071</v>
      </c>
      <c r="D79" s="131" t="s">
        <v>1521</v>
      </c>
      <c r="E79" s="131" t="s">
        <v>1485</v>
      </c>
      <c r="F79" s="131" t="s">
        <v>1488</v>
      </c>
      <c r="G79" s="131" t="s">
        <v>1498</v>
      </c>
      <c r="M79" s="131" t="s">
        <v>1499</v>
      </c>
      <c r="N79" s="131" t="s">
        <v>1441</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1090</v>
      </c>
      <c r="B80" s="131" t="s">
        <v>1498</v>
      </c>
      <c r="C80" s="131" t="s">
        <v>1071</v>
      </c>
      <c r="D80" s="131" t="s">
        <v>1521</v>
      </c>
      <c r="E80" s="131" t="s">
        <v>1485</v>
      </c>
      <c r="F80" s="131" t="s">
        <v>1488</v>
      </c>
      <c r="G80" s="131" t="s">
        <v>1498</v>
      </c>
      <c r="M80" s="131" t="s">
        <v>1499</v>
      </c>
      <c r="N80" s="131" t="s">
        <v>1441</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1090</v>
      </c>
      <c r="B81" s="131" t="s">
        <v>1500</v>
      </c>
      <c r="C81" s="131" t="s">
        <v>1071</v>
      </c>
      <c r="D81" s="131" t="s">
        <v>1521</v>
      </c>
      <c r="E81" s="131" t="s">
        <v>1485</v>
      </c>
      <c r="F81" s="131" t="s">
        <v>1488</v>
      </c>
      <c r="G81" s="131" t="s">
        <v>1500</v>
      </c>
      <c r="M81" s="131" t="s">
        <v>1501</v>
      </c>
      <c r="N81" s="131" t="s">
        <v>1441</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1090</v>
      </c>
      <c r="B82" s="131" t="s">
        <v>1500</v>
      </c>
      <c r="C82" s="131" t="s">
        <v>1071</v>
      </c>
      <c r="D82" s="131" t="s">
        <v>1521</v>
      </c>
      <c r="E82" s="131" t="s">
        <v>1485</v>
      </c>
      <c r="F82" s="131" t="s">
        <v>1488</v>
      </c>
      <c r="G82" s="131" t="s">
        <v>1500</v>
      </c>
      <c r="M82" s="131" t="s">
        <v>1501</v>
      </c>
      <c r="N82" s="131" t="s">
        <v>1441</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1090</v>
      </c>
      <c r="B83" s="131" t="s">
        <v>1500</v>
      </c>
      <c r="C83" s="131" t="s">
        <v>1071</v>
      </c>
      <c r="D83" s="131" t="s">
        <v>1521</v>
      </c>
      <c r="E83" s="131" t="s">
        <v>1485</v>
      </c>
      <c r="F83" s="131" t="s">
        <v>1488</v>
      </c>
      <c r="G83" s="131" t="s">
        <v>1500</v>
      </c>
      <c r="M83" s="131" t="s">
        <v>1501</v>
      </c>
      <c r="N83" s="131" t="s">
        <v>1441</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1090</v>
      </c>
      <c r="B84" s="131" t="s">
        <v>1500</v>
      </c>
      <c r="C84" s="131" t="s">
        <v>1071</v>
      </c>
      <c r="D84" s="131" t="s">
        <v>1521</v>
      </c>
      <c r="E84" s="131" t="s">
        <v>1485</v>
      </c>
      <c r="F84" s="131" t="s">
        <v>1488</v>
      </c>
      <c r="G84" s="131" t="s">
        <v>1500</v>
      </c>
      <c r="M84" s="131" t="s">
        <v>1501</v>
      </c>
      <c r="N84" s="131" t="s">
        <v>1441</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1090</v>
      </c>
      <c r="B85" s="131" t="s">
        <v>1500</v>
      </c>
      <c r="C85" s="131" t="s">
        <v>1071</v>
      </c>
      <c r="D85" s="131" t="s">
        <v>1521</v>
      </c>
      <c r="E85" s="131" t="s">
        <v>1485</v>
      </c>
      <c r="F85" s="131" t="s">
        <v>1488</v>
      </c>
      <c r="G85" s="131" t="s">
        <v>1500</v>
      </c>
      <c r="M85" s="131" t="s">
        <v>1501</v>
      </c>
      <c r="N85" s="131" t="s">
        <v>1441</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1090</v>
      </c>
      <c r="B86" s="131" t="s">
        <v>1500</v>
      </c>
      <c r="C86" s="131" t="s">
        <v>1071</v>
      </c>
      <c r="D86" s="131" t="s">
        <v>1521</v>
      </c>
      <c r="E86" s="131" t="s">
        <v>1485</v>
      </c>
      <c r="F86" s="131" t="s">
        <v>1488</v>
      </c>
      <c r="G86" s="131" t="s">
        <v>1500</v>
      </c>
      <c r="M86" s="131" t="s">
        <v>1501</v>
      </c>
      <c r="N86" s="131" t="s">
        <v>1441</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1090</v>
      </c>
      <c r="B87" s="131" t="s">
        <v>1500</v>
      </c>
      <c r="C87" s="131" t="s">
        <v>1071</v>
      </c>
      <c r="D87" s="131" t="s">
        <v>1521</v>
      </c>
      <c r="E87" s="131" t="s">
        <v>1485</v>
      </c>
      <c r="F87" s="131" t="s">
        <v>1488</v>
      </c>
      <c r="G87" s="131" t="s">
        <v>1500</v>
      </c>
      <c r="M87" s="131" t="s">
        <v>1501</v>
      </c>
      <c r="N87" s="131" t="s">
        <v>1441</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1089</v>
      </c>
      <c r="B88" s="131" t="s">
        <v>1503</v>
      </c>
      <c r="C88" s="131" t="s">
        <v>1071</v>
      </c>
      <c r="D88" s="131" t="s">
        <v>1521</v>
      </c>
      <c r="E88" s="131" t="s">
        <v>1502</v>
      </c>
      <c r="F88" s="131" t="s">
        <v>1503</v>
      </c>
      <c r="M88" s="131" t="s">
        <v>1504</v>
      </c>
      <c r="N88" s="131" t="s">
        <v>1441</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1089</v>
      </c>
      <c r="B89" s="131" t="s">
        <v>1503</v>
      </c>
      <c r="C89" s="131" t="s">
        <v>1071</v>
      </c>
      <c r="D89" s="131" t="s">
        <v>1521</v>
      </c>
      <c r="E89" s="131" t="s">
        <v>1502</v>
      </c>
      <c r="F89" s="131" t="s">
        <v>1503</v>
      </c>
      <c r="M89" s="131" t="s">
        <v>1504</v>
      </c>
      <c r="N89" s="131" t="s">
        <v>1441</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1089</v>
      </c>
      <c r="B90" s="131" t="s">
        <v>1503</v>
      </c>
      <c r="C90" s="131" t="s">
        <v>1071</v>
      </c>
      <c r="D90" s="131" t="s">
        <v>1521</v>
      </c>
      <c r="E90" s="131" t="s">
        <v>1502</v>
      </c>
      <c r="F90" s="131" t="s">
        <v>1503</v>
      </c>
      <c r="M90" s="131" t="s">
        <v>1504</v>
      </c>
      <c r="N90" s="131" t="s">
        <v>1441</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1089</v>
      </c>
      <c r="B91" s="131" t="s">
        <v>1505</v>
      </c>
      <c r="C91" s="131" t="s">
        <v>1071</v>
      </c>
      <c r="D91" s="131" t="s">
        <v>1521</v>
      </c>
      <c r="E91" s="131" t="s">
        <v>1502</v>
      </c>
      <c r="F91" s="131" t="s">
        <v>1505</v>
      </c>
      <c r="M91" s="131" t="s">
        <v>1506</v>
      </c>
      <c r="N91" s="131" t="s">
        <v>1441</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1089</v>
      </c>
      <c r="B92" s="131" t="s">
        <v>1508</v>
      </c>
      <c r="C92" s="131" t="s">
        <v>1071</v>
      </c>
      <c r="D92" s="131" t="s">
        <v>1522</v>
      </c>
      <c r="E92" s="131" t="s">
        <v>1507</v>
      </c>
      <c r="F92" s="131" t="s">
        <v>1508</v>
      </c>
      <c r="M92" s="131" t="s">
        <v>1509</v>
      </c>
      <c r="N92" s="131" t="s">
        <v>1441</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1089</v>
      </c>
      <c r="B93" s="131" t="s">
        <v>1511</v>
      </c>
      <c r="C93" s="131" t="s">
        <v>1071</v>
      </c>
      <c r="D93" s="131" t="s">
        <v>1522</v>
      </c>
      <c r="E93" s="131" t="s">
        <v>1510</v>
      </c>
      <c r="F93" s="131" t="s">
        <v>1511</v>
      </c>
      <c r="M93" s="131" t="s">
        <v>1512</v>
      </c>
      <c r="N93" s="131" t="s">
        <v>1441</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1089</v>
      </c>
      <c r="B94" s="131" t="s">
        <v>1513</v>
      </c>
      <c r="C94" s="131" t="s">
        <v>1071</v>
      </c>
      <c r="D94" s="131" t="s">
        <v>1522</v>
      </c>
      <c r="E94" s="131" t="s">
        <v>1510</v>
      </c>
      <c r="F94" s="131" t="s">
        <v>1513</v>
      </c>
      <c r="M94" s="131" t="s">
        <v>1514</v>
      </c>
      <c r="N94" s="131" t="s">
        <v>1441</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1089</v>
      </c>
      <c r="B95" s="131" t="s">
        <v>1515</v>
      </c>
      <c r="C95" s="131" t="s">
        <v>1071</v>
      </c>
      <c r="D95" s="131" t="s">
        <v>1522</v>
      </c>
      <c r="E95" s="131" t="s">
        <v>1510</v>
      </c>
      <c r="F95" s="131" t="s">
        <v>1515</v>
      </c>
      <c r="M95" s="131" t="s">
        <v>1516</v>
      </c>
      <c r="N95" s="131" t="s">
        <v>1441</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1089</v>
      </c>
      <c r="B96" s="131" t="s">
        <v>1517</v>
      </c>
      <c r="C96" s="131" t="s">
        <v>1071</v>
      </c>
      <c r="D96" s="131" t="s">
        <v>1522</v>
      </c>
      <c r="E96" s="131" t="s">
        <v>1510</v>
      </c>
      <c r="F96" s="131" t="s">
        <v>1517</v>
      </c>
      <c r="M96" s="131" t="s">
        <v>1518</v>
      </c>
      <c r="N96" s="131" t="s">
        <v>1441</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1292</v>
      </c>
      <c r="E1" s="94" t="s">
        <v>963</v>
      </c>
      <c r="F1" s="94" t="s">
        <v>341</v>
      </c>
      <c r="G1" s="94" t="s">
        <v>1268</v>
      </c>
      <c r="H1" s="94" t="s">
        <v>529</v>
      </c>
      <c r="I1" s="137" t="s">
        <v>1389</v>
      </c>
      <c r="J1" s="137" t="s">
        <v>548</v>
      </c>
      <c r="K1" s="137" t="s">
        <v>1293</v>
      </c>
      <c r="L1" s="94" t="s">
        <v>123</v>
      </c>
      <c r="M1" s="94" t="s">
        <v>1388</v>
      </c>
      <c r="N1" s="137" t="s">
        <v>1392</v>
      </c>
      <c r="O1" s="94" t="s">
        <v>558</v>
      </c>
      <c r="P1" s="94" t="s">
        <v>559</v>
      </c>
      <c r="Q1" s="94" t="s">
        <v>560</v>
      </c>
      <c r="R1" s="94" t="s">
        <v>561</v>
      </c>
      <c r="S1" s="94" t="s">
        <v>562</v>
      </c>
      <c r="T1" s="94" t="s">
        <v>563</v>
      </c>
      <c r="U1" s="94" t="s">
        <v>564</v>
      </c>
      <c r="V1" s="94" t="s">
        <v>530</v>
      </c>
      <c r="W1" s="94" t="s">
        <v>1267</v>
      </c>
      <c r="X1" s="94" t="s">
        <v>531</v>
      </c>
      <c r="Y1" s="94" t="s">
        <v>762</v>
      </c>
      <c r="Z1" s="94" t="s">
        <v>589</v>
      </c>
    </row>
    <row r="2" spans="1:26">
      <c r="A2" s="212"/>
      <c r="B2" t="s">
        <v>1270</v>
      </c>
      <c r="C2" t="s">
        <v>1117</v>
      </c>
      <c r="D2" t="s">
        <v>1007</v>
      </c>
      <c r="E2">
        <v>1</v>
      </c>
      <c r="F2" t="s">
        <v>1007</v>
      </c>
      <c r="G2" t="s">
        <v>1271</v>
      </c>
      <c r="I2" s="83">
        <v>44340</v>
      </c>
      <c r="J2" s="83">
        <v>44407</v>
      </c>
      <c r="Y2">
        <v>0</v>
      </c>
      <c r="Z2">
        <v>0</v>
      </c>
    </row>
    <row r="3" spans="1:26">
      <c r="B3" s="83">
        <v>44317</v>
      </c>
      <c r="C3" t="s">
        <v>1118</v>
      </c>
      <c r="D3" t="s">
        <v>1071</v>
      </c>
      <c r="E3">
        <v>2</v>
      </c>
      <c r="F3" t="s">
        <v>1081</v>
      </c>
      <c r="G3" t="s">
        <v>640</v>
      </c>
      <c r="I3" s="83">
        <v>44340</v>
      </c>
      <c r="J3" s="83">
        <v>44344</v>
      </c>
      <c r="Y3">
        <v>0</v>
      </c>
      <c r="Z3">
        <v>0</v>
      </c>
    </row>
    <row r="4" spans="1:26">
      <c r="B4" s="83">
        <v>44439</v>
      </c>
      <c r="C4" t="s">
        <v>1119</v>
      </c>
      <c r="D4" t="s">
        <v>1088</v>
      </c>
      <c r="E4">
        <v>3</v>
      </c>
      <c r="F4" t="s">
        <v>1082</v>
      </c>
      <c r="G4" t="s">
        <v>1272</v>
      </c>
      <c r="I4" s="83">
        <v>44340</v>
      </c>
      <c r="J4" s="83">
        <v>44343</v>
      </c>
      <c r="W4" t="s">
        <v>1273</v>
      </c>
      <c r="Y4" s="84">
        <v>1</v>
      </c>
      <c r="Z4" s="84">
        <v>1</v>
      </c>
    </row>
    <row r="5" spans="1:26">
      <c r="B5" s="84">
        <v>0.45</v>
      </c>
      <c r="C5" t="s">
        <v>1120</v>
      </c>
      <c r="D5" t="s">
        <v>1089</v>
      </c>
      <c r="E5">
        <v>3</v>
      </c>
      <c r="F5" t="s">
        <v>1083</v>
      </c>
      <c r="G5" t="s">
        <v>1274</v>
      </c>
      <c r="I5" s="83">
        <v>44344</v>
      </c>
      <c r="J5" s="83">
        <v>44344</v>
      </c>
      <c r="K5" s="83" t="s">
        <v>1294</v>
      </c>
      <c r="N5" s="83" t="s">
        <v>1294</v>
      </c>
      <c r="R5" s="83"/>
      <c r="Y5" s="84">
        <v>1</v>
      </c>
      <c r="Z5" s="84">
        <v>1</v>
      </c>
    </row>
    <row r="6" spans="1:26">
      <c r="B6" s="93">
        <v>0.43330000000000002</v>
      </c>
      <c r="C6" t="s">
        <v>1121</v>
      </c>
      <c r="D6" t="s">
        <v>1090</v>
      </c>
      <c r="E6">
        <v>3</v>
      </c>
      <c r="F6" t="s">
        <v>1104</v>
      </c>
      <c r="G6" t="s">
        <v>1102</v>
      </c>
      <c r="I6" s="83">
        <v>44340</v>
      </c>
      <c r="J6" s="83">
        <v>44342</v>
      </c>
      <c r="W6" t="s">
        <v>1275</v>
      </c>
      <c r="Y6">
        <v>0</v>
      </c>
      <c r="Z6">
        <v>0</v>
      </c>
    </row>
    <row r="7" spans="1:26">
      <c r="C7" t="s">
        <v>1122</v>
      </c>
      <c r="D7" t="s">
        <v>1091</v>
      </c>
      <c r="E7">
        <v>3</v>
      </c>
      <c r="F7" t="s">
        <v>1105</v>
      </c>
      <c r="G7" t="s">
        <v>1103</v>
      </c>
      <c r="I7" s="83">
        <v>44343</v>
      </c>
      <c r="J7" s="83">
        <v>44344</v>
      </c>
      <c r="W7" t="s">
        <v>1275</v>
      </c>
      <c r="Y7">
        <v>0</v>
      </c>
      <c r="Z7">
        <v>0</v>
      </c>
    </row>
    <row r="8" spans="1:26">
      <c r="C8" t="s">
        <v>1123</v>
      </c>
      <c r="D8" t="s">
        <v>1092</v>
      </c>
      <c r="E8">
        <v>2</v>
      </c>
      <c r="F8" t="s">
        <v>1084</v>
      </c>
      <c r="G8" t="s">
        <v>1276</v>
      </c>
      <c r="I8" s="83">
        <v>44347</v>
      </c>
      <c r="J8" s="83">
        <v>44365</v>
      </c>
      <c r="Y8">
        <v>0</v>
      </c>
      <c r="Z8">
        <v>0</v>
      </c>
    </row>
    <row r="9" spans="1:26">
      <c r="C9" t="s">
        <v>1124</v>
      </c>
      <c r="D9" t="s">
        <v>1093</v>
      </c>
      <c r="E9">
        <v>3</v>
      </c>
      <c r="F9" t="s">
        <v>1085</v>
      </c>
      <c r="G9" t="s">
        <v>1277</v>
      </c>
      <c r="I9" s="83">
        <v>44347</v>
      </c>
      <c r="J9" s="83">
        <v>44351</v>
      </c>
      <c r="W9" t="s">
        <v>1278</v>
      </c>
      <c r="Y9">
        <v>0</v>
      </c>
      <c r="Z9">
        <v>0</v>
      </c>
    </row>
    <row r="10" spans="1:26">
      <c r="C10" t="s">
        <v>1125</v>
      </c>
      <c r="D10" t="s">
        <v>1094</v>
      </c>
      <c r="E10">
        <v>3</v>
      </c>
      <c r="F10" t="s">
        <v>1106</v>
      </c>
      <c r="G10" t="s">
        <v>1279</v>
      </c>
      <c r="I10" s="83">
        <v>44354</v>
      </c>
      <c r="J10" s="83">
        <v>44365</v>
      </c>
      <c r="W10" t="s">
        <v>1278</v>
      </c>
      <c r="Y10">
        <v>0</v>
      </c>
      <c r="Z10">
        <v>0</v>
      </c>
    </row>
    <row r="11" spans="1:26">
      <c r="D11" t="s">
        <v>1095</v>
      </c>
      <c r="E11">
        <v>2</v>
      </c>
      <c r="F11" t="s">
        <v>1086</v>
      </c>
      <c r="G11" t="s">
        <v>1280</v>
      </c>
      <c r="I11" s="83">
        <v>44368</v>
      </c>
      <c r="J11" s="83">
        <v>44393</v>
      </c>
      <c r="Y11">
        <v>0</v>
      </c>
      <c r="Z11">
        <v>0</v>
      </c>
    </row>
    <row r="12" spans="1:26">
      <c r="D12" t="s">
        <v>1096</v>
      </c>
      <c r="E12">
        <v>3</v>
      </c>
      <c r="F12" t="s">
        <v>1087</v>
      </c>
      <c r="G12" t="s">
        <v>1281</v>
      </c>
      <c r="I12" s="83">
        <v>44368</v>
      </c>
      <c r="J12" s="83">
        <v>44386</v>
      </c>
      <c r="Y12">
        <v>0</v>
      </c>
      <c r="Z12">
        <v>0</v>
      </c>
    </row>
    <row r="13" spans="1:26">
      <c r="D13" t="s">
        <v>1097</v>
      </c>
      <c r="E13">
        <v>3</v>
      </c>
      <c r="F13" t="s">
        <v>1107</v>
      </c>
      <c r="G13" t="s">
        <v>1282</v>
      </c>
      <c r="I13" s="83">
        <v>44389</v>
      </c>
      <c r="J13" s="83">
        <v>44393</v>
      </c>
      <c r="W13" t="s">
        <v>1283</v>
      </c>
      <c r="Y13">
        <v>0</v>
      </c>
      <c r="Z13">
        <v>0</v>
      </c>
    </row>
    <row r="14" spans="1:26">
      <c r="D14" t="s">
        <v>1098</v>
      </c>
      <c r="E14">
        <v>2</v>
      </c>
      <c r="F14" t="s">
        <v>1108</v>
      </c>
      <c r="G14" t="s">
        <v>1284</v>
      </c>
      <c r="I14" s="83">
        <v>44396</v>
      </c>
      <c r="J14" s="83">
        <v>44407</v>
      </c>
      <c r="Y14">
        <v>0</v>
      </c>
      <c r="Z14">
        <v>0</v>
      </c>
    </row>
    <row r="15" spans="1:26">
      <c r="D15" t="s">
        <v>1099</v>
      </c>
      <c r="E15">
        <v>3</v>
      </c>
      <c r="F15" t="s">
        <v>1109</v>
      </c>
      <c r="G15" t="s">
        <v>1285</v>
      </c>
      <c r="I15" s="83">
        <v>44396</v>
      </c>
      <c r="J15" s="83">
        <v>44400</v>
      </c>
      <c r="W15" t="s">
        <v>1286</v>
      </c>
      <c r="Y15">
        <v>0</v>
      </c>
      <c r="Z15">
        <v>0</v>
      </c>
    </row>
    <row r="16" spans="1:26">
      <c r="D16" t="s">
        <v>1100</v>
      </c>
      <c r="E16">
        <v>3</v>
      </c>
      <c r="F16" t="s">
        <v>1110</v>
      </c>
      <c r="G16" t="s">
        <v>1287</v>
      </c>
      <c r="I16" s="83">
        <v>44403</v>
      </c>
      <c r="J16" s="83">
        <v>44405</v>
      </c>
      <c r="K16" s="83" t="s">
        <v>1295</v>
      </c>
      <c r="N16" s="83" t="s">
        <v>1295</v>
      </c>
      <c r="W16" t="s">
        <v>1288</v>
      </c>
      <c r="Y16">
        <v>0</v>
      </c>
      <c r="Z16">
        <v>0</v>
      </c>
    </row>
    <row r="17" spans="4:26">
      <c r="D17" t="s">
        <v>1101</v>
      </c>
      <c r="E17">
        <v>3</v>
      </c>
      <c r="F17" t="s">
        <v>1111</v>
      </c>
      <c r="G17" t="s">
        <v>1289</v>
      </c>
      <c r="I17" s="83">
        <v>44406</v>
      </c>
      <c r="J17" s="83">
        <v>44407</v>
      </c>
      <c r="W17" t="s">
        <v>1290</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COCONUT</cp:lastModifiedBy>
  <cp:lastPrinted>2021-01-01T13:36:29Z</cp:lastPrinted>
  <dcterms:created xsi:type="dcterms:W3CDTF">2018-02-18T09:45:14Z</dcterms:created>
  <dcterms:modified xsi:type="dcterms:W3CDTF">2022-01-10T07:08:53Z</dcterms:modified>
</cp:coreProperties>
</file>